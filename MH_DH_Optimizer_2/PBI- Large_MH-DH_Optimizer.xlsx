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st_Summary" sheetId="1" r:id="rId5"/>
    <sheet state="hidden" name="Accruals Zonal 26th-24th June25" sheetId="2" r:id="rId6"/>
    <sheet state="visible" name="Location_file" sheetId="3" r:id="rId7"/>
    <sheet state="visible" name="Expanded_Schedule" sheetId="4" r:id="rId8"/>
    <sheet state="hidden" name="Sheet20" sheetId="5" r:id="rId9"/>
    <sheet state="visible" name="Final_Assignment" sheetId="6" r:id="rId10"/>
    <sheet state="hidden" name="Test" sheetId="7" r:id="rId11"/>
    <sheet state="hidden" name="Check" sheetId="8" r:id="rId12"/>
    <sheet state="hidden" name="Accruals" sheetId="9" r:id="rId13"/>
    <sheet state="hidden" name="Sheet17" sheetId="10" r:id="rId14"/>
    <sheet state="hidden" name="3_Hop" sheetId="11" r:id="rId15"/>
    <sheet state="visible" name="Clustering_Output" sheetId="12" r:id="rId16"/>
    <sheet state="visible" name="Filtered_Routes" sheetId="13" r:id="rId17"/>
    <sheet state="hidden" name="Misc" sheetId="14" r:id="rId18"/>
    <sheet state="hidden" name="Sheet4" sheetId="15" r:id="rId19"/>
    <sheet state="visible" name="Distance_Matrix" sheetId="16" r:id="rId20"/>
    <sheet state="visible" name="Time_Matrix" sheetId="17" r:id="rId21"/>
  </sheets>
  <definedNames>
    <definedName hidden="1" localSheetId="2" name="_xlnm._FilterDatabase">Location_file!$A$1:$J$54</definedName>
    <definedName hidden="1" localSheetId="10" name="_xlnm._FilterDatabase">'3_Hop'!$A$51:$L$62</definedName>
  </definedNames>
  <calcPr/>
</workbook>
</file>

<file path=xl/sharedStrings.xml><?xml version="1.0" encoding="utf-8"?>
<sst xmlns="http://schemas.openxmlformats.org/spreadsheetml/2006/main" count="29485" uniqueCount="2039">
  <si>
    <t>Cost Summary:</t>
  </si>
  <si>
    <t>Current Trip Count</t>
  </si>
  <si>
    <t>Proposed Trip Count</t>
  </si>
  <si>
    <t>Count of DH</t>
  </si>
  <si>
    <t>Monthly Current Cost (Cr)</t>
  </si>
  <si>
    <t>Monthly Proposed Fixed Cost (Cr)</t>
  </si>
  <si>
    <t>Adhoc Cost (Cr)</t>
  </si>
  <si>
    <t>Total Savings</t>
  </si>
  <si>
    <t>location_name</t>
  </si>
  <si>
    <t>latitude</t>
  </si>
  <si>
    <t>longitude</t>
  </si>
  <si>
    <t>demand</t>
  </si>
  <si>
    <t>time_window_start (minutes)</t>
  </si>
  <si>
    <t>time_window_end (minutes)</t>
  </si>
  <si>
    <t>depot_departure (minutes)</t>
  </si>
  <si>
    <t>ML</t>
  </si>
  <si>
    <t>fixed_hop_position</t>
  </si>
  <si>
    <t>Freq_Allowed</t>
  </si>
  <si>
    <t>CTL/PBI</t>
  </si>
  <si>
    <t>NaN</t>
  </si>
  <si>
    <t>SAT/FKSIL</t>
  </si>
  <si>
    <t>SAT/HKD</t>
  </si>
  <si>
    <t>SAT/BDPR1</t>
  </si>
  <si>
    <t>SAT/FKKXJ</t>
  </si>
  <si>
    <t>SAT/FKSRN</t>
  </si>
  <si>
    <t>SAT/MNT1</t>
  </si>
  <si>
    <t>SAT/RJH2</t>
  </si>
  <si>
    <t>SAT/BKK1</t>
  </si>
  <si>
    <t>SAT/SRU</t>
  </si>
  <si>
    <t>SAT/IMPAL</t>
  </si>
  <si>
    <t>SAT/FKNHL</t>
  </si>
  <si>
    <t>SAT/FKDMC</t>
  </si>
  <si>
    <t>SAT/FKNLP</t>
  </si>
  <si>
    <t>SAT/HLF</t>
  </si>
  <si>
    <t>SAT/FKSHL</t>
  </si>
  <si>
    <t>SAT/COB1</t>
  </si>
  <si>
    <t>SAT/FKCOB</t>
  </si>
  <si>
    <t>SAT/DMP</t>
  </si>
  <si>
    <t>SAT/KMA</t>
  </si>
  <si>
    <t>SAT/DPU</t>
  </si>
  <si>
    <t>SAT/FKHJI</t>
  </si>
  <si>
    <t>SAT/DBI1</t>
  </si>
  <si>
    <t>SAT/HBL1</t>
  </si>
  <si>
    <t>SAT/FKGLPT</t>
  </si>
  <si>
    <t>SAT/BOKO</t>
  </si>
  <si>
    <t>SAT/NLV1</t>
  </si>
  <si>
    <t>SAT/FKNLV</t>
  </si>
  <si>
    <t>SAT/FKMAN</t>
  </si>
  <si>
    <t>SAT/UGR</t>
  </si>
  <si>
    <t>SAT/AJL</t>
  </si>
  <si>
    <t>SAT/FKIXA</t>
  </si>
  <si>
    <t>SAT/FKJOR</t>
  </si>
  <si>
    <t>SAT/MJI1</t>
  </si>
  <si>
    <t>SAT/PSG</t>
  </si>
  <si>
    <t>SAT/FKPSG</t>
  </si>
  <si>
    <t>SAT/TLM</t>
  </si>
  <si>
    <t>SAT/UDAIPUR</t>
  </si>
  <si>
    <t>SAT/DIG</t>
  </si>
  <si>
    <t>SAT/FKTSK</t>
  </si>
  <si>
    <t>SAT/DIBRUGARH</t>
  </si>
  <si>
    <t>SAT/JNH</t>
  </si>
  <si>
    <t>SAT/MGN</t>
  </si>
  <si>
    <t>SAT/FKNGAN</t>
  </si>
  <si>
    <t>SAT/FKTEZ</t>
  </si>
  <si>
    <t>SAT/FKBON</t>
  </si>
  <si>
    <t>SAT/FKBPRD</t>
  </si>
  <si>
    <t>SAT/HSG</t>
  </si>
  <si>
    <t>SAT/MOKO</t>
  </si>
  <si>
    <t>SAT/GUW</t>
  </si>
  <si>
    <t>SAT/Hatigaon</t>
  </si>
  <si>
    <t>SAT/GUW2</t>
  </si>
  <si>
    <t>SAT/PALASHBARI</t>
  </si>
  <si>
    <t>Route_ID</t>
  </si>
  <si>
    <t>Location</t>
  </si>
  <si>
    <t>Arrival_Time</t>
  </si>
  <si>
    <t>Departure_Time</t>
  </si>
  <si>
    <t>Freq</t>
  </si>
  <si>
    <t>Vehicle_Length</t>
  </si>
  <si>
    <t>Total_Demand</t>
  </si>
  <si>
    <t>Route_Sequence</t>
  </si>
  <si>
    <t>CTL/PBI -&gt; SAT/FKMAN -&gt; CTL/PBI</t>
  </si>
  <si>
    <t>CTL/PBI -&gt; SAT/UGR -&gt; CTL/PBI</t>
  </si>
  <si>
    <t>CTL/PBI -&gt; SAT/PALASHBARI -&gt; CTL/PBI</t>
  </si>
  <si>
    <t>CTL/PBI -&gt; SAT/PSG -&gt; SAT/MJI1 -&gt; CTL/PBI</t>
  </si>
  <si>
    <t>CTL/PBI -&gt; SAT/FKDMC -&gt; SAT/FKNLP -&gt; CTL/PBI</t>
  </si>
  <si>
    <t>CTL/PBI -&gt; SAT/FKNHL -&gt; CTL/PBI</t>
  </si>
  <si>
    <t>CTL/PBI -&gt; SAT/FKNGAN -&gt; CTL/PBI</t>
  </si>
  <si>
    <t>CTL/PBI -&gt; SAT/FKTEZ -&gt; CTL/PBI</t>
  </si>
  <si>
    <t>CTL/PBI -&gt; SAT/DIG -&gt; SAT/FKTSK -&gt; CTL/PBI</t>
  </si>
  <si>
    <t>CTL/PBI -&gt; SAT/DIBRUGARH -&gt; CTL/PBI</t>
  </si>
  <si>
    <t>CTL/PBI -&gt; SAT/MNT1 -&gt; SAT/RJH2 -&gt; SAT/FKSRN -&gt; CTL/PBI</t>
  </si>
  <si>
    <t>CTL/PBI -&gt; SAT/FKJOR -&gt; CTL/PBI</t>
  </si>
  <si>
    <t>CTL/PBI -&gt; SAT/BKK1 -&gt; SAT/SRU -&gt; CTL/PBI</t>
  </si>
  <si>
    <t>CTL/PBI -&gt; SAT/Hatigaon -&gt; CTL/PBI</t>
  </si>
  <si>
    <t>CTL/PBI -&gt; SAT/MOKO -&gt; CTL/PBI</t>
  </si>
  <si>
    <t>CTL/PBI -&gt; SAT/GUW2 -&gt; CTL/PBI</t>
  </si>
  <si>
    <t>CTL/PBI -&gt; SAT/GUW -&gt; CTL/PBI</t>
  </si>
  <si>
    <t>CTL/PBI -&gt; SAT/DMP -&gt; SAT/KMA -&gt; CTL/PBI</t>
  </si>
  <si>
    <t>CTL/PBI -&gt; SAT/FKHJI -&gt; SAT/DPU -&gt; CTL/PBI</t>
  </si>
  <si>
    <t>CTL/PBI -&gt; SAT/MGN -&gt; CTL/PBI</t>
  </si>
  <si>
    <t>CTL/PBI -&gt; SAT/HLF -&gt; CTL/PBI</t>
  </si>
  <si>
    <t>CTL/PBI -&gt; SAT/IMPAL -&gt; CTL/PBI</t>
  </si>
  <si>
    <t>CTL/PBI -&gt; SAT/JNH -&gt; CTL/PBI</t>
  </si>
  <si>
    <t>CTL/PBI -&gt; SAT/FKSIL -&gt; SAT/HKD -&gt; CTL/PBI</t>
  </si>
  <si>
    <t>CTL/PBI -&gt; SAT/BDPR1 -&gt; SAT/FKKXJ -&gt; CTL/PBI</t>
  </si>
  <si>
    <t>CTL/PBI -&gt; SAT/FKSHL -&gt; CTL/PBI</t>
  </si>
  <si>
    <t>CTL/PBI -&gt; SAT/AJL -&gt; CTL/PBI</t>
  </si>
  <si>
    <t>CTL/PBI -&gt; SAT/UDAIPUR -&gt; SAT/TLM -&gt; CTL/PBI</t>
  </si>
  <si>
    <t>CTL/PBI -&gt; SAT/FKPSG -&gt; CTL/PBI</t>
  </si>
  <si>
    <t>CTL/PBI -&gt; SAT/FKIXA -&gt; CTL/PBI</t>
  </si>
  <si>
    <t>CTL/PBI -&gt; SAT/BOKO -&gt; CTL/PBI</t>
  </si>
  <si>
    <t>CTL/PBI -&gt; SAT/FKGLPT -&gt; CTL/PBI</t>
  </si>
  <si>
    <t>CTL/PBI -&gt; SAT/HSG -&gt; CTL/PBI</t>
  </si>
  <si>
    <t>CTL/PBI -&gt; SAT/DBI1 -&gt; SAT/HBL1 -&gt; CTL/PBI</t>
  </si>
  <si>
    <t>CTL/PBI -&gt; SAT/FKCOB -&gt; SAT/COB1 -&gt; CTL/PBI</t>
  </si>
  <si>
    <t>CTL/PBI -&gt; SAT/FKBON -&gt; CTL/PBI</t>
  </si>
  <si>
    <t>CTL/PBI -&gt; SAT/FKBPRD -&gt; CTL/PBI</t>
  </si>
  <si>
    <t>CTL/PBI -&gt; SAT/NLV1 -&gt; SAT/FKNLV -&gt; CTL/PBI</t>
  </si>
  <si>
    <t>SATELLITEHUB_FKSIL</t>
  </si>
  <si>
    <t>SATELLITEHUB_HKD</t>
  </si>
  <si>
    <t>SATELLITEHUB_FKKXJ</t>
  </si>
  <si>
    <t>SATELLITEHUB_BDPR1</t>
  </si>
  <si>
    <t>SATELLITEHUB_FKSRN</t>
  </si>
  <si>
    <t>SATELLITEHUB_MNT1</t>
  </si>
  <si>
    <t>SATELLITEHUB_RJH2</t>
  </si>
  <si>
    <t>SATELLITEHUB_BKK1</t>
  </si>
  <si>
    <t>SATELLITEHUB_SRU</t>
  </si>
  <si>
    <t>SATELLITEHUB_IMPAL</t>
  </si>
  <si>
    <t>Satellitehub_FKNHL</t>
  </si>
  <si>
    <t>SATELLITEHUB_FKNLP</t>
  </si>
  <si>
    <t>SATELLITEHUB_FKDMC</t>
  </si>
  <si>
    <t>SATELLITEHUB_HLF</t>
  </si>
  <si>
    <t>SatelliteHub_FKSHL</t>
  </si>
  <si>
    <t>SATELLITEHUB_COB1</t>
  </si>
  <si>
    <t>SATELLITEHUB_FKCOB</t>
  </si>
  <si>
    <t>SATELLITEHUB_DMP</t>
  </si>
  <si>
    <t>SATELLITEHUB_KMA</t>
  </si>
  <si>
    <t>SATELLITEHUB_FKHJI</t>
  </si>
  <si>
    <t>SATELLITEHUB_DPU</t>
  </si>
  <si>
    <t>SATELLITEHUB_HBL1</t>
  </si>
  <si>
    <t>Satellitehub_DBI1</t>
  </si>
  <si>
    <t>SATELLITEHUB_FKGLPT</t>
  </si>
  <si>
    <t>Satellitehub_BOKO</t>
  </si>
  <si>
    <t>SATELLITEHUB_FKNLV</t>
  </si>
  <si>
    <t>SATELLITEHUB_NLV1</t>
  </si>
  <si>
    <t>SATELLITEHUB_FKMAN</t>
  </si>
  <si>
    <t>SATELLITEHUB_UGR</t>
  </si>
  <si>
    <t>SATELLITEHUB_AJL</t>
  </si>
  <si>
    <t>SATELLITEHUB_FKIXA</t>
  </si>
  <si>
    <t>SATELLITEHUB_FKJOR</t>
  </si>
  <si>
    <t>SATELLITEHUB_MJI1</t>
  </si>
  <si>
    <t>SATELLITEHUB_PSG</t>
  </si>
  <si>
    <t>SATELLITEHUB_FKPSG</t>
  </si>
  <si>
    <t>SATELLITEHUB_TLM</t>
  </si>
  <si>
    <t>Satellitehub_Udaipur</t>
  </si>
  <si>
    <t>Satellitehub_Dibrugarh</t>
  </si>
  <si>
    <t>SATELLITEHUB_FKTSK</t>
  </si>
  <si>
    <t>SATELLITEHUB_DIG</t>
  </si>
  <si>
    <t>SATELLITEHUB_JNH</t>
  </si>
  <si>
    <t>SATELLITEHUB_MGN</t>
  </si>
  <si>
    <t>SATELLITEHUB_FKNGAN</t>
  </si>
  <si>
    <t>SATELLITEHUB_FKTEZ</t>
  </si>
  <si>
    <t>SATELLITEHUB_FKBPRD</t>
  </si>
  <si>
    <t>SATELLITEHUB_FKBON</t>
  </si>
  <si>
    <t>Satellitehub_HSG</t>
  </si>
  <si>
    <t>SATELLITEHUB_MOKO</t>
  </si>
  <si>
    <t>SATELLITEHUB_GUW</t>
  </si>
  <si>
    <t>Satellitehub_Hatigaon</t>
  </si>
  <si>
    <t>SATELLITEHUB_GUW2</t>
  </si>
  <si>
    <t>Satellitehub_PalashBari</t>
  </si>
  <si>
    <t>route_sequence</t>
  </si>
  <si>
    <t>hubs</t>
  </si>
  <si>
    <t>dist</t>
  </si>
  <si>
    <t>group</t>
  </si>
  <si>
    <t>monthly_cost</t>
  </si>
  <si>
    <t>total_demand</t>
  </si>
  <si>
    <t>assigned_vehicle_length</t>
  </si>
  <si>
    <t>arrival_times</t>
  </si>
  <si>
    <t>departure_times</t>
  </si>
  <si>
    <t>updated_depot_departure</t>
  </si>
  <si>
    <t>['SAT/FKSIL', 'SAT/HKD']</t>
  </si>
  <si>
    <t>1.0-0</t>
  </si>
  <si>
    <t>2988.0:3240.0:4462.0</t>
  </si>
  <si>
    <t>3108.0:3360.0</t>
  </si>
  <si>
    <t>['SAT/BDPR1', 'SAT/FKKXJ']</t>
  </si>
  <si>
    <t>2.0-0</t>
  </si>
  <si>
    <t>3014.0:3240.0:4488.0</t>
  </si>
  <si>
    <t>3134.0:3360.0</t>
  </si>
  <si>
    <t>['SAT/MNT1', 'SAT/RJH2', 'SAT/FKSRN']</t>
  </si>
  <si>
    <t>3.0-0</t>
  </si>
  <si>
    <t>2598.0:2858.0:3240.0:4338.0</t>
  </si>
  <si>
    <t>2718.0:2978.0:3360.0</t>
  </si>
  <si>
    <t>['SAT/BKK1', 'SAT/SRU']</t>
  </si>
  <si>
    <t>4.0-0</t>
  </si>
  <si>
    <t>3014.0:3240.0:4146.0</t>
  </si>
  <si>
    <t>['SAT/IMPAL']</t>
  </si>
  <si>
    <t>5.0-0</t>
  </si>
  <si>
    <t>3240.0:4830.0</t>
  </si>
  <si>
    <t>['SAT/FKNHL']</t>
  </si>
  <si>
    <t>6.0-0</t>
  </si>
  <si>
    <t>3240.0:4156.0</t>
  </si>
  <si>
    <t>['SAT/FKDMC', 'SAT/FKNLP']</t>
  </si>
  <si>
    <t>7.0-0</t>
  </si>
  <si>
    <t>2872.0:3240.0:4232.0</t>
  </si>
  <si>
    <t>2992.0:3360.0</t>
  </si>
  <si>
    <t>['SAT/HLF']</t>
  </si>
  <si>
    <t>8.0-0</t>
  </si>
  <si>
    <t>3240.0:4194.0</t>
  </si>
  <si>
    <t>['SAT/FKSHL']</t>
  </si>
  <si>
    <t>9.0-0</t>
  </si>
  <si>
    <t>3240.0:3714.0</t>
  </si>
  <si>
    <t>['SAT/FKCOB', 'SAT/COB1']</t>
  </si>
  <si>
    <t>10.0-0</t>
  </si>
  <si>
    <t>3106.0:3240.0:4234.0</t>
  </si>
  <si>
    <t>3226.0:3360.0</t>
  </si>
  <si>
    <t>['SAT/DMP', 'SAT/KMA']</t>
  </si>
  <si>
    <t>15.0-0</t>
  </si>
  <si>
    <t>2850.0:3240.0:4288.0</t>
  </si>
  <si>
    <t>2970.0:3360.0</t>
  </si>
  <si>
    <t>['SAT/FKHJI', 'SAT/DPU']</t>
  </si>
  <si>
    <t>16.0-0</t>
  </si>
  <si>
    <t>2910.0:3240.0:4014.0</t>
  </si>
  <si>
    <t>3030.0:3360.0</t>
  </si>
  <si>
    <t>['SAT/DBI1', 'SAT/HBL1']</t>
  </si>
  <si>
    <t>17.0-0</t>
  </si>
  <si>
    <t>2920.0:3240.0:3940.0</t>
  </si>
  <si>
    <t>3040.0:3360.0</t>
  </si>
  <si>
    <t>['SAT/BOKO']</t>
  </si>
  <si>
    <t>18.0-0</t>
  </si>
  <si>
    <t>3240.0:3502.0</t>
  </si>
  <si>
    <t>CTL/PBI -&gt; SAT/BOKO -&gt; SAT/FKGLPT -&gt; CTL/PBI</t>
  </si>
  <si>
    <t>['SAT/FKGLPT']</t>
  </si>
  <si>
    <t>3240.0:3782.0</t>
  </si>
  <si>
    <t>['SAT/NLV1', 'SAT/FKNLV']</t>
  </si>
  <si>
    <t>19.0-0</t>
  </si>
  <si>
    <t>3118.0:3240.0:3634.0</t>
  </si>
  <si>
    <t>3238.0:3360.0</t>
  </si>
  <si>
    <t>CTL/PBI -&gt; SAT/FKMAN -&gt;  SAT/UGR -&gt; CTL/PBI</t>
  </si>
  <si>
    <t>['SAT/FKMAN']</t>
  </si>
  <si>
    <t>20.0-0</t>
  </si>
  <si>
    <t>3240.0:3580.0</t>
  </si>
  <si>
    <t>['SAT/UGR']</t>
  </si>
  <si>
    <t>3240.0:3716.0</t>
  </si>
  <si>
    <t>['SAT/AJL']</t>
  </si>
  <si>
    <t>21.0-0</t>
  </si>
  <si>
    <t>3240.0:5162.0</t>
  </si>
  <si>
    <t>['SAT/FKIXA']</t>
  </si>
  <si>
    <t>22.0-0</t>
  </si>
  <si>
    <t>3240.0:5156.0</t>
  </si>
  <si>
    <t>['SAT/FKJOR']</t>
  </si>
  <si>
    <t>23.0-0</t>
  </si>
  <si>
    <t>3240.0:4168.0</t>
  </si>
  <si>
    <t>['SAT/PSG', 'SAT/MJI1']</t>
  </si>
  <si>
    <t>24.0-0</t>
  </si>
  <si>
    <t>2558.0:3240.0:4344.0</t>
  </si>
  <si>
    <t>2678.0:3360.0</t>
  </si>
  <si>
    <t>CTL/PBI -&gt;  SAT/FKPSG -&gt; SAT/UDAIPUR -&gt; SAT/TLM -&gt; CTL/PBI</t>
  </si>
  <si>
    <t>['SAT/UDAIPUR', 'SAT/TLM']</t>
  </si>
  <si>
    <t>25.0-0</t>
  </si>
  <si>
    <t>2910.0:3240.0:5082.0</t>
  </si>
  <si>
    <t>['SAT/FKPSG']</t>
  </si>
  <si>
    <t>3240.0:4688.0</t>
  </si>
  <si>
    <t>CTL/PBI -&gt; SAT/DIBRUGARH -&gt;  SAT/DIG -&gt; SAT/FKTSK -&gt; CTL/PBI</t>
  </si>
  <si>
    <t>['SAT/DIG', 'SAT/FKTSK']</t>
  </si>
  <si>
    <t>26.0-0</t>
  </si>
  <si>
    <t>3060.0:3240.0:4632.0</t>
  </si>
  <si>
    <t>3180.0:3360.0</t>
  </si>
  <si>
    <t>['SAT/DIBRUGARH']</t>
  </si>
  <si>
    <t>3240.0:4534.0</t>
  </si>
  <si>
    <t>['SAT/JNH']</t>
  </si>
  <si>
    <t>27.0-0</t>
  </si>
  <si>
    <t>3240.0:3852.0</t>
  </si>
  <si>
    <t>['SAT/MGN']</t>
  </si>
  <si>
    <t>28.0-0</t>
  </si>
  <si>
    <t>3240.0:3526.0</t>
  </si>
  <si>
    <t>CTL/PBI -&gt; SAT/FKNGAN -&gt; SAT/FKTEZ  -&gt; CTL/PBI</t>
  </si>
  <si>
    <t>['SAT/FKNGAN']</t>
  </si>
  <si>
    <t>29.0-0</t>
  </si>
  <si>
    <t>3240.0:3458.0</t>
  </si>
  <si>
    <t>['SAT/FKTEZ']</t>
  </si>
  <si>
    <t>3240.0:3870.0</t>
  </si>
  <si>
    <t>CTL/PBI -&gt; SAT/FKBPRD -&gt; SAT/FKBON -&gt; CTL/PBI</t>
  </si>
  <si>
    <t>['SAT/FKBON']</t>
  </si>
  <si>
    <t>30.0-0</t>
  </si>
  <si>
    <t>3240.0:3866.0</t>
  </si>
  <si>
    <t>['SAT/FKBPRD']</t>
  </si>
  <si>
    <t>3240.0:3726.0</t>
  </si>
  <si>
    <t>['SAT/HSG']</t>
  </si>
  <si>
    <t>31.0-0</t>
  </si>
  <si>
    <t>3240.0:4100.0</t>
  </si>
  <si>
    <t>['SAT/MOKO']</t>
  </si>
  <si>
    <t>32.0-0</t>
  </si>
  <si>
    <t>3240.0:4560.0</t>
  </si>
  <si>
    <t>['SAT/GUW']</t>
  </si>
  <si>
    <t>33.0-0</t>
  </si>
  <si>
    <t>3240.0:3450.0</t>
  </si>
  <si>
    <t>['SAT/Hatigaon']</t>
  </si>
  <si>
    <t>34.0-0</t>
  </si>
  <si>
    <t>3240.0:3480.0</t>
  </si>
  <si>
    <t>['SAT/GUW2']</t>
  </si>
  <si>
    <t>35.0-0</t>
  </si>
  <si>
    <t>3240.0:3465.0</t>
  </si>
  <si>
    <t>['SAT/PALASHBARI']</t>
  </si>
  <si>
    <t>36.0-0</t>
  </si>
  <si>
    <t>3240.0:3375.0</t>
  </si>
  <si>
    <t>destination</t>
  </si>
  <si>
    <t>city</t>
  </si>
  <si>
    <t>Agartala</t>
  </si>
  <si>
    <t>Guwahati</t>
  </si>
  <si>
    <t>Jorhat</t>
  </si>
  <si>
    <t>Tezpur</t>
  </si>
  <si>
    <t>Silchar</t>
  </si>
  <si>
    <t>Shillong</t>
  </si>
  <si>
    <t>Naharlagun</t>
  </si>
  <si>
    <t>CENTRALHUB_LM_IXA3X</t>
  </si>
  <si>
    <t>MH-MH</t>
  </si>
  <si>
    <t>Nagaon</t>
  </si>
  <si>
    <t>Cooch Behar</t>
  </si>
  <si>
    <t>Tinsukia</t>
  </si>
  <si>
    <t>Dimapur</t>
  </si>
  <si>
    <t>Sibsagar</t>
  </si>
  <si>
    <t>Panisagar</t>
  </si>
  <si>
    <t>Lakhimpur</t>
  </si>
  <si>
    <t>Bongaigaon</t>
  </si>
  <si>
    <t>Aizawl</t>
  </si>
  <si>
    <t>Managaldoi</t>
  </si>
  <si>
    <t>Dibrugarh</t>
  </si>
  <si>
    <t>Bokakhat</t>
  </si>
  <si>
    <t>Barbhag</t>
  </si>
  <si>
    <t>Nalbari</t>
  </si>
  <si>
    <t>Imphal</t>
  </si>
  <si>
    <t>Hojai</t>
  </si>
  <si>
    <t>Habrubil</t>
  </si>
  <si>
    <t>Goalpara</t>
  </si>
  <si>
    <t>Karimganj</t>
  </si>
  <si>
    <t>Barpeta</t>
  </si>
  <si>
    <t>Dhemaji</t>
  </si>
  <si>
    <t>Digboi</t>
  </si>
  <si>
    <t>Morigaon</t>
  </si>
  <si>
    <t>Palashbari</t>
  </si>
  <si>
    <t>Boko</t>
  </si>
  <si>
    <t>Rajgarh</t>
  </si>
  <si>
    <t>Udaipur</t>
  </si>
  <si>
    <t>Taliamura</t>
  </si>
  <si>
    <t>Mangaldoi</t>
  </si>
  <si>
    <t>Diphu</t>
  </si>
  <si>
    <t>Cachar</t>
  </si>
  <si>
    <t>Dhubri</t>
  </si>
  <si>
    <t>jayantia hills</t>
  </si>
  <si>
    <t>CENTRALHUB_LM_AJLX</t>
  </si>
  <si>
    <t>Maranhat Town</t>
  </si>
  <si>
    <t>Hatsingimari</t>
  </si>
  <si>
    <t>Pasighat</t>
  </si>
  <si>
    <t>Sarupathar</t>
  </si>
  <si>
    <t>Kohima</t>
  </si>
  <si>
    <t>Halflong</t>
  </si>
  <si>
    <t>Majuli</t>
  </si>
  <si>
    <t>Mokokchung</t>
  </si>
  <si>
    <t>final_group</t>
  </si>
  <si>
    <t>hop_count</t>
  </si>
  <si>
    <t>distance_savings</t>
  </si>
  <si>
    <t>max_distance</t>
  </si>
  <si>
    <t>route_distance</t>
  </si>
  <si>
    <t>assigned</t>
  </si>
  <si>
    <t>840.0-0-0-5 hrs</t>
  </si>
  <si>
    <t>CENTRALHUB_L_YKBX1 -&gt; SATELLITEHUB_RUDRAPUR -&gt; SATELLITEHUB_HLW1 -&gt; CENTRALHUB_L_YKBX1</t>
  </si>
  <si>
    <t>1515.0:1800.0:2640.0</t>
  </si>
  <si>
    <t>1695.0:1980.0</t>
  </si>
  <si>
    <t>Yes</t>
  </si>
  <si>
    <t>CENTRALHUB_L_YKBX1 -&gt; SATELLITEHUB_BAREILLY -&gt; SATELLITEHUB_BUDAUN1 -&gt; CENTRALHUB_L_YKBX1</t>
  </si>
  <si>
    <t>1500.0:1800.0:2610.0</t>
  </si>
  <si>
    <t>1680.0:1980.0</t>
  </si>
  <si>
    <t>CENTRALHUB_L_YKBX1 -&gt; SATELLITEHUB_DDN -&gt; SATELLITEHUB_DDNHOPE -&gt; CENTRALHUB_L_YKBX1</t>
  </si>
  <si>
    <t>1560.0:1800.0:2595.0</t>
  </si>
  <si>
    <t>1740.0:1980.0</t>
  </si>
  <si>
    <t>CENTRALHUB_L_YKBX1 -&gt; SATELLITEHUB_SIKAR -&gt; SATELLITEHUB_JHUNJHUNU -&gt; CENTRALHUB_L_YKBX1</t>
  </si>
  <si>
    <t>1515.0:1800.0:2505.0</t>
  </si>
  <si>
    <t>CENTRALHUB_L_YKBX1 -&gt; SATELLITEHUB_HWRF1 -&gt; SATELLITEHUB_SHAMLI -&gt; CENTRALHUB_L_YKBX1</t>
  </si>
  <si>
    <t>1410.0:1800.0:2205.0</t>
  </si>
  <si>
    <t>1590.0:1920.0</t>
  </si>
  <si>
    <t>CENTRALHUB_L_YKBX1 -&gt; SATELLITEHUB_KNL1 -&gt; SATELLITEHUB_PANIPAT -&gt; CENTRALHUB_L_YKBX1</t>
  </si>
  <si>
    <t>1485.0:1800.0:2220.0</t>
  </si>
  <si>
    <t>1665.0:1980.0</t>
  </si>
  <si>
    <t>CENTRALHUB_L_YKBX1 -&gt; SATELLITEHUB_BULANDSHAHAR -&gt; SATELLITEHUB_ALGR -&gt; CENTRALHUB_L_YKBX1</t>
  </si>
  <si>
    <t>1455.0:1800.0:2295.0</t>
  </si>
  <si>
    <t>1635.0:1980.0</t>
  </si>
  <si>
    <t>CENTRALHUB_L_YKBX1 -&gt; SATELLITEHUB_FTH -&gt; CENTRALHUB_L_YKBX1</t>
  </si>
  <si>
    <t>1800.0:2355.0</t>
  </si>
  <si>
    <t>CENTRALHUB_L_YKBX1 -&gt; SATELLITEHUB_SAHARANPUR -&gt; CENTRALHUB_L_YKBX1</t>
  </si>
  <si>
    <t>1800.0:2415.0</t>
  </si>
  <si>
    <t>CENTRALHUB_L_YKBX1 -&gt; SATELLITEHUB_BIJNOR -&gt; CENTRALHUB_L_YKBX1</t>
  </si>
  <si>
    <t>1800.0:2460.0</t>
  </si>
  <si>
    <t>CENTRALHUB_L_YKBX1 -&gt; SATELLITEHUB_MRD -&gt; CENTRALHUB_L_YKBX1</t>
  </si>
  <si>
    <t>1800.0:2430.0</t>
  </si>
  <si>
    <t>Formulated Date</t>
  </si>
  <si>
    <t>Facility Name_Zonal</t>
  </si>
  <si>
    <t>Actual Date (DD/MM/YY)</t>
  </si>
  <si>
    <t>BCP connection Date ( DD/MM/YY)</t>
  </si>
  <si>
    <t>INBOUND OR OUTBOUND</t>
  </si>
  <si>
    <t>Trip ID</t>
  </si>
  <si>
    <t>Return Trips-(1-2-3)</t>
  </si>
  <si>
    <t>Vendor Name</t>
  </si>
  <si>
    <t>Vehicle No.</t>
  </si>
  <si>
    <t>REGULAR/ADHOC</t>
  </si>
  <si>
    <t>Billed Vehicle Type (A/R)</t>
  </si>
  <si>
    <t>Actual VEHICLE SIZE</t>
  </si>
  <si>
    <t>Billing Size</t>
  </si>
  <si>
    <t>Fuel Type</t>
  </si>
  <si>
    <t>DUTY HOURS</t>
  </si>
  <si>
    <t>C/MENT ID</t>
  </si>
  <si>
    <t>C/MENT DATE &amp; TIME</t>
  </si>
  <si>
    <t>ACTUAL DATE &amp; TIME OF ARRIVAL OR DEPARTURE</t>
  </si>
  <si>
    <t>BAGS</t>
  </si>
  <si>
    <t>ERP WEIGHT / SENDER WEIGHT</t>
  </si>
  <si>
    <t>Shipmen count</t>
  </si>
  <si>
    <t>Docket Wgt / Physical weight</t>
  </si>
  <si>
    <t>If the weight in N/A what wgt to be taken</t>
  </si>
  <si>
    <t>Local/ zonal / National</t>
  </si>
  <si>
    <t>DIRECT OR VIA</t>
  </si>
  <si>
    <t>SURFACE/ AIR</t>
  </si>
  <si>
    <t>FTL OR COLOADING</t>
  </si>
  <si>
    <t>1WAY/2WAY</t>
  </si>
  <si>
    <t>SOURCE</t>
  </si>
  <si>
    <t>DESTINATION</t>
  </si>
  <si>
    <t>Main Route Lane</t>
  </si>
  <si>
    <t>ROUTE / LANE</t>
  </si>
  <si>
    <t>OPENING KM ( Zonal)</t>
  </si>
  <si>
    <t>CLOSING KM ( Zonal)</t>
  </si>
  <si>
    <t>Total KM</t>
  </si>
  <si>
    <t>Rate Per Km</t>
  </si>
  <si>
    <t>Amount</t>
  </si>
  <si>
    <t>Toll Amount Per Trip &amp; Green Tax</t>
  </si>
  <si>
    <t>Accrual kM</t>
  </si>
  <si>
    <t>Cost Per Shipment</t>
  </si>
  <si>
    <t>MH - MH/DH/PH</t>
  </si>
  <si>
    <t>Remarks for 0 km / absent / week off/ removal of vehicle etc.</t>
  </si>
  <si>
    <t>GATE PASS/ DOCKET NO.</t>
  </si>
  <si>
    <t>Adhoc reason( why adhoc vehicle organized ) vehicle break down / salvage/ spillover / beach etc</t>
  </si>
  <si>
    <t>Cross Charge %</t>
  </si>
  <si>
    <t>Cross charge Amount</t>
  </si>
  <si>
    <t>cross charge to -CL/B2B/MYNTRA/MH</t>
  </si>
  <si>
    <t>Pcikup Location</t>
  </si>
  <si>
    <t>Tagging</t>
  </si>
  <si>
    <t>LH</t>
  </si>
  <si>
    <t>Grocery</t>
  </si>
  <si>
    <t>NL</t>
  </si>
  <si>
    <t>FM</t>
  </si>
  <si>
    <t>a</t>
  </si>
  <si>
    <t>Ok/Not Ok</t>
  </si>
  <si>
    <t>Count</t>
  </si>
  <si>
    <t>Cost</t>
  </si>
  <si>
    <t>Centralhub_L_YKBX1</t>
  </si>
  <si>
    <t>Outbound</t>
  </si>
  <si>
    <t>FLZRP00109135258</t>
  </si>
  <si>
    <t>HARI CARGO</t>
  </si>
  <si>
    <t>UP32PN6581</t>
  </si>
  <si>
    <t>Regular</t>
  </si>
  <si>
    <t>CNG</t>
  </si>
  <si>
    <t>241074209, 241104214, 241062891</t>
  </si>
  <si>
    <t>########</t>
  </si>
  <si>
    <t>Zonal</t>
  </si>
  <si>
    <t>Direct</t>
  </si>
  <si>
    <t>Surface</t>
  </si>
  <si>
    <t>FTL</t>
  </si>
  <si>
    <t>2 Way</t>
  </si>
  <si>
    <t>SAT/DDN-SAT/DDNH</t>
  </si>
  <si>
    <t>CTL/YKBX1-SAT/DDN-CLT/DDN1-SAT/DDNH-CTL/DEL8</t>
  </si>
  <si>
    <t>Fixed</t>
  </si>
  <si>
    <t>MH-DH</t>
  </si>
  <si>
    <t>ok</t>
  </si>
  <si>
    <t>.CTL/YKBX1-SAT/ALGR-CTL/ALGR-CTL/DEL8</t>
  </si>
  <si>
    <t>FLZRP00109133705</t>
  </si>
  <si>
    <t>Haryana Express</t>
  </si>
  <si>
    <t>HR55AL1283</t>
  </si>
  <si>
    <t>241063397, 241081073</t>
  </si>
  <si>
    <t>SAT/JHUN-SAT/SIKAR</t>
  </si>
  <si>
    <t>CTL/YKBX1-SAT/JHUN-SAT/SIKAR-CTL/SIKA-CTL/YKBX1</t>
  </si>
  <si>
    <t>CTL/FRN-CTL/YKBX1-SAT/MZN-CTL/MZN-SAT/SHAM-CTL/YKBX1-CTL/FRN</t>
  </si>
  <si>
    <t>FLZRP00109135385</t>
  </si>
  <si>
    <t>HR55AU8177</t>
  </si>
  <si>
    <t>241064642, 241096526</t>
  </si>
  <si>
    <t>SAT/HWRF1</t>
  </si>
  <si>
    <t>CTL/YKBX1-SAT/HWRF1-CTL/HWRF1-CTL/DEL8</t>
  </si>
  <si>
    <t>CTL/YKBX1-CTL/FRN-SAT/AGR1-CTL/AGR1-CTL/DEL8</t>
  </si>
  <si>
    <t>FLZRP00109135897</t>
  </si>
  <si>
    <t>UP32PN6580</t>
  </si>
  <si>
    <t>Adhoc</t>
  </si>
  <si>
    <t>241096352, 241124751,241105801</t>
  </si>
  <si>
    <t>SAT/HWRF1/DDN</t>
  </si>
  <si>
    <t>CTL/YKBX1-SAT/HWRF1-CTL/HWRF1-SAT/DDN-CTL/DEL8</t>
  </si>
  <si>
    <t>CTL/YKBX1-CTL/FRN-SAT/ALWA-CTL/ALWA-CTL/DEL8</t>
  </si>
  <si>
    <t>FLZRP00109136194</t>
  </si>
  <si>
    <t>M M LOGISTICS</t>
  </si>
  <si>
    <t>DL01MB0183</t>
  </si>
  <si>
    <t>241062726, 241072264, 241115044</t>
  </si>
  <si>
    <t>SAT/SAHA</t>
  </si>
  <si>
    <t>CTL/YKBX1-SAT/SAHA-CTL/SAHA-CTL/DEL8</t>
  </si>
  <si>
    <t>FLZRP00109135562</t>
  </si>
  <si>
    <t>RAHUL CARGO</t>
  </si>
  <si>
    <t>HR47E2902</t>
  </si>
  <si>
    <t>241062868, 241134607</t>
  </si>
  <si>
    <t>SAT/ALGR</t>
  </si>
  <si>
    <t>CTL/YKBX1-SAT/ALGR-CTL/ALGR-CTL/DEL8</t>
  </si>
  <si>
    <t>FLZRP00109136979</t>
  </si>
  <si>
    <t>Chirag Road Line</t>
  </si>
  <si>
    <t>HR38AC7298</t>
  </si>
  <si>
    <t>241064831, 241141628</t>
  </si>
  <si>
    <t>SAT/RUDRAPUR</t>
  </si>
  <si>
    <t>CTL/YKBX1-SAT/RUDRAPUR-CTL/RUDRAPUR-CTL/DEL8</t>
  </si>
  <si>
    <t>CTL/YKBX1-SAT/RUDRAPUR-CTL/DEL8</t>
  </si>
  <si>
    <t>CL</t>
  </si>
  <si>
    <t>CentralHub_RUDRAPUR</t>
  </si>
  <si>
    <t>FM Pickup</t>
  </si>
  <si>
    <t>CTL/YKBX1-SAT/ALGR-CTL/ALGR-SAT/BUDAUN1-CTL/DEL8</t>
  </si>
  <si>
    <t>FLZRP00109137145</t>
  </si>
  <si>
    <t>DL01MA7241</t>
  </si>
  <si>
    <t>241100007, 241110740</t>
  </si>
  <si>
    <t>SAT/HLW1</t>
  </si>
  <si>
    <t>CTL/YKBX1-SAT/HLW1-CTL/HLW1-CTL/YKBX1</t>
  </si>
  <si>
    <t>CTL/YKBX1-SAT/ALGR-SAT/BUDAUN1</t>
  </si>
  <si>
    <t>FLZRP00109140686</t>
  </si>
  <si>
    <t>NARENDRA TRANSPORT</t>
  </si>
  <si>
    <t>DL01MB4009</t>
  </si>
  <si>
    <t>241116639, 241117962, 241134561</t>
  </si>
  <si>
    <t>SAT/AGR1</t>
  </si>
  <si>
    <t>CTL/YKBX1-SAT/BARE-CTL/BAREIL-CTL/DEL8</t>
  </si>
  <si>
    <t>FLZRA00109182326</t>
  </si>
  <si>
    <t>DL01MA7110</t>
  </si>
  <si>
    <t>241135491, 241165401</t>
  </si>
  <si>
    <t>SAT/FTH</t>
  </si>
  <si>
    <t>CTL/YKBX1-SAT/FTH-CTL/FTH-CTL/DEL8</t>
  </si>
  <si>
    <t>CTL/YKBX1-SAT/BIJNOR-CTL/BIJNOR-CTL/YKBX1</t>
  </si>
  <si>
    <t>FLZRA00109141014</t>
  </si>
  <si>
    <t>DL01M8917</t>
  </si>
  <si>
    <t>241099141, 241133908</t>
  </si>
  <si>
    <t>CTL/YKBX1-SAT/FTH</t>
  </si>
  <si>
    <t>CTL/YKBX1-SAT/BIJNOR-CTL/YKBX1</t>
  </si>
  <si>
    <t>FLZRP00109179150</t>
  </si>
  <si>
    <t>NITIN TRANSPORT COMPANY</t>
  </si>
  <si>
    <t>HR55AH3720</t>
  </si>
  <si>
    <t>Diesel</t>
  </si>
  <si>
    <t>SAT/ALWA</t>
  </si>
  <si>
    <t>FLZRP00109152084</t>
  </si>
  <si>
    <t>DL01MB4199</t>
  </si>
  <si>
    <t>SAT/BULAND</t>
  </si>
  <si>
    <t>CTL/YKBX1-SAT/BULAND-CTL/DEL8</t>
  </si>
  <si>
    <t>CTL/YKBX1-SAT/BULAND</t>
  </si>
  <si>
    <t>CTL/YKBX1-SAT/BUDAUN1</t>
  </si>
  <si>
    <t>FLZRP00109152202</t>
  </si>
  <si>
    <t>HR47E2800</t>
  </si>
  <si>
    <t>241130819, 241174207,241140526</t>
  </si>
  <si>
    <t>SAT/MZN-SAT/SHAM</t>
  </si>
  <si>
    <t>CTL/YKBX1-SAT/MZN-CTL/MZN-SAT/SHAM-CTL/YKBX1</t>
  </si>
  <si>
    <t>CTL/YKBX1-SAT/BUDAUN1-CTL/DEL8</t>
  </si>
  <si>
    <t>FLZRP00109152411</t>
  </si>
  <si>
    <t>DL01MB1978</t>
  </si>
  <si>
    <t>241161691, 241194860</t>
  </si>
  <si>
    <t>SAT/BARE</t>
  </si>
  <si>
    <t>FLZRP00109179383</t>
  </si>
  <si>
    <t>HR69C4288</t>
  </si>
  <si>
    <t>241147900, 241198890, 241200117, 241201292</t>
  </si>
  <si>
    <t>SAT/PANI</t>
  </si>
  <si>
    <t>CTL/YKBX1-SAT/PANI-CTL/PANIPA-MP/PANIPA-CTL/DEL8</t>
  </si>
  <si>
    <t>FLZRP00109178142</t>
  </si>
  <si>
    <t>HR55W2559</t>
  </si>
  <si>
    <t>241185498, 241204246, 241207113</t>
  </si>
  <si>
    <t>SAT/KNL1</t>
  </si>
  <si>
    <t>CTL/YKBX1-SAT/KNL1-CTL/DEL8</t>
  </si>
  <si>
    <t>FLZRP00109153680</t>
  </si>
  <si>
    <t>DL01MB0790</t>
  </si>
  <si>
    <t>241121111, 241210195</t>
  </si>
  <si>
    <t>SAT/MRD</t>
  </si>
  <si>
    <t>CTL/YKBX1-SAT/MRD-CTL/MRD-CTL/DEL8</t>
  </si>
  <si>
    <t>CTL/YKBX1-SAT/BULAND-CTL/BULANDSHAHAR-CTL/DEL8</t>
  </si>
  <si>
    <t>FLZRP00109209330</t>
  </si>
  <si>
    <t>HR55AL6289</t>
  </si>
  <si>
    <t>241195998, 241233423</t>
  </si>
  <si>
    <t>SAT/MEER</t>
  </si>
  <si>
    <t>CTL/YKBX1-SAT/MEER-CTL/DEL8</t>
  </si>
  <si>
    <t>CTL/YKBX1-SAT/DDN-CLT/DDN1-SAT/DDNH-CTL/DDNH-CTL/DEL8</t>
  </si>
  <si>
    <t>FLZRP00109209484</t>
  </si>
  <si>
    <t>HR55AW0740</t>
  </si>
  <si>
    <t>241207105, 241236277 , 241223064</t>
  </si>
  <si>
    <t>SAT/MNR-SAT/BIJNOR</t>
  </si>
  <si>
    <t>CTL/YKBX1-SAT/MNR-SAT/BIJNOR-CTL/YKBX1</t>
  </si>
  <si>
    <t>FLZRP00109135259</t>
  </si>
  <si>
    <t>UP32PN5570</t>
  </si>
  <si>
    <t>FLZRP00109133706</t>
  </si>
  <si>
    <t>HR55AL1938</t>
  </si>
  <si>
    <t>FLZRP00109135386</t>
  </si>
  <si>
    <t>HR55AS6970</t>
  </si>
  <si>
    <t>241305208, 241315297</t>
  </si>
  <si>
    <t>FLZRP00109136195</t>
  </si>
  <si>
    <t>DL01MB0281</t>
  </si>
  <si>
    <t>241305155, 241308797, 241351318</t>
  </si>
  <si>
    <t>FLZRP00109243372</t>
  </si>
  <si>
    <t>NL01AE5620</t>
  </si>
  <si>
    <t>241339711, 241381753</t>
  </si>
  <si>
    <t>CTL/YKBX1-SAT/HWRF1</t>
  </si>
  <si>
    <t>FLZRP00109228757</t>
  </si>
  <si>
    <t>DL01MA5430</t>
  </si>
  <si>
    <t>SAT/BUDAUN1</t>
  </si>
  <si>
    <t>FLZRP00109136980</t>
  </si>
  <si>
    <t>HR38AC0661</t>
  </si>
  <si>
    <t>241305145, 241337705, 241380187</t>
  </si>
  <si>
    <t>FLZRP00109137146</t>
  </si>
  <si>
    <t>HR38AC2491</t>
  </si>
  <si>
    <t>FLZRP00109223328</t>
  </si>
  <si>
    <t>DL01MB1904</t>
  </si>
  <si>
    <t>241342408, 241344317</t>
  </si>
  <si>
    <t>FLZRP00109222031</t>
  </si>
  <si>
    <t>FLZRP00109226270</t>
  </si>
  <si>
    <t>CTL/YKBX1-SAT/MEER-CTL/YKBX1</t>
  </si>
  <si>
    <t>FLZRP00109223642</t>
  </si>
  <si>
    <t>FLZRA00109208148</t>
  </si>
  <si>
    <t>DL01MB1863</t>
  </si>
  <si>
    <t>241363890,241343560, 241386651</t>
  </si>
  <si>
    <t>CTL/YKBX1-SAT/MNR-CTL/YKBX1</t>
  </si>
  <si>
    <t>FLZRP00109251084</t>
  </si>
  <si>
    <t>DL01MA7788</t>
  </si>
  <si>
    <t>CTL/YKBX1-SAT/MNR--CTL/YKBX1</t>
  </si>
  <si>
    <t>FLZRP00109251746</t>
  </si>
  <si>
    <t>241384110, 24140632</t>
  </si>
  <si>
    <t>FLZRP00109224689</t>
  </si>
  <si>
    <t>241383013, 241446374</t>
  </si>
  <si>
    <t>FLZRP00109224799</t>
  </si>
  <si>
    <t>DL01LAE7323</t>
  </si>
  <si>
    <t>CTL/YKBX1-SAT/MNR-SAT/BIJNOR-CTL/BIJNOR-CTL/YKBX1</t>
  </si>
  <si>
    <t>FLZRP00109256280</t>
  </si>
  <si>
    <t>HR55AL4152</t>
  </si>
  <si>
    <t>241422011, 241479405</t>
  </si>
  <si>
    <t>FLZRP00109258534</t>
  </si>
  <si>
    <t>HR55AJ8857</t>
  </si>
  <si>
    <t>241480581, 241490081</t>
  </si>
  <si>
    <t>SAT/MNR</t>
  </si>
  <si>
    <t>FLZRP00109247969</t>
  </si>
  <si>
    <t>HR55AR6635</t>
  </si>
  <si>
    <t>241436841, 241489650</t>
  </si>
  <si>
    <t>SAT/BIJNOR</t>
  </si>
  <si>
    <t>CTL/YKBX1-SAT/MRD-SAT/BARE</t>
  </si>
  <si>
    <t>FLZRP00109278581</t>
  </si>
  <si>
    <t>UP32PN6579</t>
  </si>
  <si>
    <t>241568413, 241572189, 241577827, 241611918</t>
  </si>
  <si>
    <t>CTL/YKBX1-SAT/MRD-SAT/BARE-CTL/BAREIL-CTL/DEL8</t>
  </si>
  <si>
    <t>FLZRP00109278606</t>
  </si>
  <si>
    <t>241595746, 241567809, 241618596</t>
  </si>
  <si>
    <t>FLZRP00109278748</t>
  </si>
  <si>
    <t>FLZRP00109278760</t>
  </si>
  <si>
    <t>241568795, 241588702</t>
  </si>
  <si>
    <t>FLZRP00109297718</t>
  </si>
  <si>
    <t>241610373,241617347, 241625037, 241636782</t>
  </si>
  <si>
    <t>SAT/SAHA-SAT/HWRF1</t>
  </si>
  <si>
    <t>CTL/YKBX1-SAT/SAHA-SAT/HWRF1</t>
  </si>
  <si>
    <t>FLZRP00109135564</t>
  </si>
  <si>
    <t>241639838, 241651152, 241665723</t>
  </si>
  <si>
    <t>FLZRP00109311958</t>
  </si>
  <si>
    <t>DL01MB2851</t>
  </si>
  <si>
    <t>241667551, 241669334, 241669915, 241677852</t>
  </si>
  <si>
    <t>FLZRP00109278899</t>
  </si>
  <si>
    <t>FLZRP00109278929</t>
  </si>
  <si>
    <t>CTL/YKBX1-SAT/SHAM-CTL/SHAM-CTL/YKBX1</t>
  </si>
  <si>
    <t>FLZRP00109278952</t>
  </si>
  <si>
    <t>241573624, 241619786</t>
  </si>
  <si>
    <t>CTL/YKBX1-SAT/SHAM-CTL/YKBX1</t>
  </si>
  <si>
    <t>FLZRP00109281817</t>
  </si>
  <si>
    <t>241624508, 241630941, 241668431</t>
  </si>
  <si>
    <t>CTL/YKBX1-CTL/DEL8-CTL/LKO3</t>
  </si>
  <si>
    <t>FLZRP00109308285</t>
  </si>
  <si>
    <t>241655875, 241681268</t>
  </si>
  <si>
    <t>FLZRP00109303737</t>
  </si>
  <si>
    <t>DL01MA7797</t>
  </si>
  <si>
    <t>241656084, 241683649</t>
  </si>
  <si>
    <t>CTL/YKBX1-CTL/FPT</t>
  </si>
  <si>
    <t>FLZRP00109306616</t>
  </si>
  <si>
    <t>CTL/YKBX1-CTL/FRN-SAT/JAI-SAT/JAIV-CTL/DEL8</t>
  </si>
  <si>
    <t>FLZRP00109282668</t>
  </si>
  <si>
    <t>DL01MB4098</t>
  </si>
  <si>
    <t>241660613, 241669650,241577284, 241669623</t>
  </si>
  <si>
    <t>SAT/MRD-SAT/BARE</t>
  </si>
  <si>
    <t>CTL/YKBX1-CTL/LKO3</t>
  </si>
  <si>
    <t>FLZRP00109297167</t>
  </si>
  <si>
    <t>241659884, 241702360</t>
  </si>
  <si>
    <t>CTL/YKBX1-DEL/YKB-LUH/LUH-CTL/FPT</t>
  </si>
  <si>
    <t>FLZRP00109308451</t>
  </si>
  <si>
    <t>241656272, 241661195, 241694413</t>
  </si>
  <si>
    <t>FLZRP00109315700</t>
  </si>
  <si>
    <t>241691388, 241713635, 241722136</t>
  </si>
  <si>
    <t>FLZRP00109308063</t>
  </si>
  <si>
    <t>241654675, 241700991,241683587</t>
  </si>
  <si>
    <t>CTL/YKBX1-SAT/JAI</t>
  </si>
  <si>
    <t>FLZRP00109319458</t>
  </si>
  <si>
    <t>NL01AE5622</t>
  </si>
  <si>
    <t>241724481, 241736926</t>
  </si>
  <si>
    <t>CTL/YKBX1-SAT/JAI-CTL/DEL8</t>
  </si>
  <si>
    <t>FLZRP00109315864</t>
  </si>
  <si>
    <t>241730964, 241757081</t>
  </si>
  <si>
    <t>CTL/YKBX1-SAT/JAI-MP/JAIFM-CTL/DEL8</t>
  </si>
  <si>
    <t>FLZRP00109317733</t>
  </si>
  <si>
    <t>241734061, 241752302, 241769351</t>
  </si>
  <si>
    <t>FLZRP00109327755</t>
  </si>
  <si>
    <t>241860473, 241896596,241851319</t>
  </si>
  <si>
    <t>FLZRP00109327779</t>
  </si>
  <si>
    <t>241859147, 241903070,241849903</t>
  </si>
  <si>
    <t>FLZRP00109327803</t>
  </si>
  <si>
    <t>241852150, 241889936</t>
  </si>
  <si>
    <t>FLZRP00109339261</t>
  </si>
  <si>
    <t>UP32PN5569</t>
  </si>
  <si>
    <t>241906759, 241917238, 241917478,241947182, 241952285, 241953911</t>
  </si>
  <si>
    <t>FLZRP00109327855</t>
  </si>
  <si>
    <t>241849408, 241870298</t>
  </si>
  <si>
    <t>FLZRP00109327886</t>
  </si>
  <si>
    <t>241857104, 241893910</t>
  </si>
  <si>
    <t>FLZRP00109340066</t>
  </si>
  <si>
    <t>DL01MB3355</t>
  </si>
  <si>
    <t>241917256, 241937615,241906060, 241937481</t>
  </si>
  <si>
    <t>SAT/ALGR-SAT/BUDAUN1</t>
  </si>
  <si>
    <t>FLZRP00109329495</t>
  </si>
  <si>
    <t>241852063, 241898060</t>
  </si>
  <si>
    <t>FLZRP00109327946</t>
  </si>
  <si>
    <t>241869514, 241938988</t>
  </si>
  <si>
    <t>FLZRP00109330130</t>
  </si>
  <si>
    <t>241877362, 241877892</t>
  </si>
  <si>
    <t>FLZRP00109327978</t>
  </si>
  <si>
    <t>241872707, 241949548</t>
  </si>
  <si>
    <t>FLZRP00109329406</t>
  </si>
  <si>
    <t>241895969, 241955802</t>
  </si>
  <si>
    <t>FLZRP00109353454</t>
  </si>
  <si>
    <t>FLZRP00109345618</t>
  </si>
  <si>
    <t>241916773,241906022, 241944998</t>
  </si>
  <si>
    <t>FLZRP00109354420</t>
  </si>
  <si>
    <t>241971328, 241997832</t>
  </si>
  <si>
    <t>FLZRP00109308452</t>
  </si>
  <si>
    <t>241966857, 242000192, 242012065</t>
  </si>
  <si>
    <t>FLZRP00109358054</t>
  </si>
  <si>
    <t>FLZRP00109353274</t>
  </si>
  <si>
    <t>241938662, 242019192</t>
  </si>
  <si>
    <t>FLZRP00109366264</t>
  </si>
  <si>
    <t>FLZRP00109366469</t>
  </si>
  <si>
    <t>FLZRP00109366569</t>
  </si>
  <si>
    <t>FLZRP00109377378</t>
  </si>
  <si>
    <t>242150419, 242189319 ,242140586</t>
  </si>
  <si>
    <t>FLZRP00109377461</t>
  </si>
  <si>
    <t>242139163, 242147643 ,242156390</t>
  </si>
  <si>
    <t>FLZRP00109377487</t>
  </si>
  <si>
    <t>242140966, 242163858, 242201787</t>
  </si>
  <si>
    <t>FLZRP00109377509</t>
  </si>
  <si>
    <t>242140204, 242144207</t>
  </si>
  <si>
    <t>FLZRP00109401679</t>
  </si>
  <si>
    <t>242209205, 242241945,242220972, 242226520</t>
  </si>
  <si>
    <t>FLZRP00109397624</t>
  </si>
  <si>
    <t>244531470, 244559512</t>
  </si>
  <si>
    <t>FLZRP00109377815</t>
  </si>
  <si>
    <t>242140877, 242218771</t>
  </si>
  <si>
    <t>FLZRP00109377568</t>
  </si>
  <si>
    <t>FLZRP00109377646</t>
  </si>
  <si>
    <t>242165878, 242236526</t>
  </si>
  <si>
    <t>FLZRP00109380941</t>
  </si>
  <si>
    <t>242199452,242189799, 242233062</t>
  </si>
  <si>
    <t>FLZRA00109405125</t>
  </si>
  <si>
    <t>242226435, 242237616, 242246513</t>
  </si>
  <si>
    <t>FLZRP00109394317</t>
  </si>
  <si>
    <t>242222528, 242266844</t>
  </si>
  <si>
    <t>FLZRP00109404654</t>
  </si>
  <si>
    <t>242212729, 242242121</t>
  </si>
  <si>
    <t>FLZRP00109404837</t>
  </si>
  <si>
    <t>SAT/SHAM</t>
  </si>
  <si>
    <t>FLZRP00109382598</t>
  </si>
  <si>
    <t>242178695 ,242145195, 242209308</t>
  </si>
  <si>
    <t>FLZRP00109404516</t>
  </si>
  <si>
    <t>DL01MB4085</t>
  </si>
  <si>
    <t>FLZRP00109308453</t>
  </si>
  <si>
    <t>Sai Baba Crane</t>
  </si>
  <si>
    <t>DL01GE0320</t>
  </si>
  <si>
    <t>242289542, 242303984</t>
  </si>
  <si>
    <t>FLZRP00109407659</t>
  </si>
  <si>
    <t>DL01MB3232</t>
  </si>
  <si>
    <t>FLZRP00109403352</t>
  </si>
  <si>
    <t>242211062, 242300296</t>
  </si>
  <si>
    <t>FLZRP00109366250</t>
  </si>
  <si>
    <t>HR55AU9247</t>
  </si>
  <si>
    <t>FLZRP00109414184</t>
  </si>
  <si>
    <t>242313018, 242342754</t>
  </si>
  <si>
    <t>FLZRP00109421524</t>
  </si>
  <si>
    <t>FLZRP00109425967</t>
  </si>
  <si>
    <t>FLZRP00109426003</t>
  </si>
  <si>
    <t>242418704, 242449845,242403346</t>
  </si>
  <si>
    <t>FLZRP00109426049</t>
  </si>
  <si>
    <t>242402349, 242423775, 242464864</t>
  </si>
  <si>
    <t>FLZRP00109426108</t>
  </si>
  <si>
    <t>242402610, 242404423</t>
  </si>
  <si>
    <t>FLZRP00109426164</t>
  </si>
  <si>
    <t>242418736, 242473639</t>
  </si>
  <si>
    <t>FLZRP00109432085</t>
  </si>
  <si>
    <t>DL01MA7728</t>
  </si>
  <si>
    <t>242419902, 242468873</t>
  </si>
  <si>
    <t>FLZRP00109426272</t>
  </si>
  <si>
    <t>242434002, 242484067</t>
  </si>
  <si>
    <t>FLZRP00109137150</t>
  </si>
  <si>
    <t>FLZRP00109427025</t>
  </si>
  <si>
    <t>242457309, 242502477</t>
  </si>
  <si>
    <t>FLZRP00109453686</t>
  </si>
  <si>
    <t>242477106, 242494059, 242494253</t>
  </si>
  <si>
    <t>FLZRP00109308288</t>
  </si>
  <si>
    <t>242491835, 242520754</t>
  </si>
  <si>
    <t>FLZRP00109282671</t>
  </si>
  <si>
    <t>242525197, 242555022,242504929</t>
  </si>
  <si>
    <t>FLZRP00109297171</t>
  </si>
  <si>
    <t>242476365, 242504461</t>
  </si>
  <si>
    <t>FLZRP00109308454</t>
  </si>
  <si>
    <t>242529826, 242544412, 242545029</t>
  </si>
  <si>
    <t>FLZRP00109407660</t>
  </si>
  <si>
    <t>242515853, 242546759</t>
  </si>
  <si>
    <t>FLZRP00109308066</t>
  </si>
  <si>
    <t>242484074, 242521477</t>
  </si>
  <si>
    <t>FLZRP00109366265</t>
  </si>
  <si>
    <t>242531495, 242592162</t>
  </si>
  <si>
    <t>FLZRP00109464442</t>
  </si>
  <si>
    <t>HR55AH4071</t>
  </si>
  <si>
    <t>FLZRP00109462017</t>
  </si>
  <si>
    <t>242550393, 242598523</t>
  </si>
  <si>
    <t>FLZRP00109471444</t>
  </si>
  <si>
    <t>242671371, 242709923,242662537</t>
  </si>
  <si>
    <t>FLZRP00109471484</t>
  </si>
  <si>
    <t>242684260, 242713223,242662368</t>
  </si>
  <si>
    <t>FLZRP00109471499</t>
  </si>
  <si>
    <t>242678858, 242733489</t>
  </si>
  <si>
    <t>FLZRP00109471521</t>
  </si>
  <si>
    <t>242663527, 242666512</t>
  </si>
  <si>
    <t>FLZRP00109491502</t>
  </si>
  <si>
    <t>FLZRP00109471936</t>
  </si>
  <si>
    <t>242681498, 242739404</t>
  </si>
  <si>
    <t>FLZRP00109471959</t>
  </si>
  <si>
    <t>242687314, 242735720</t>
  </si>
  <si>
    <t>FLZRP00109476824</t>
  </si>
  <si>
    <t>242702528, 242703628</t>
  </si>
  <si>
    <t>FLZRP00109480338</t>
  </si>
  <si>
    <t>242731240, 242774106</t>
  </si>
  <si>
    <t>FLZRP00109308289</t>
  </si>
  <si>
    <t>242752019, 242779483</t>
  </si>
  <si>
    <t>FLZRP00109135568</t>
  </si>
  <si>
    <t>FLZRP00109500051</t>
  </si>
  <si>
    <t>242768501, 242794910</t>
  </si>
  <si>
    <t>FLZRP00109479363</t>
  </si>
  <si>
    <t>242721645, 242777036,242709797</t>
  </si>
  <si>
    <t>FLZRP00109496182</t>
  </si>
  <si>
    <t>242744653, 242792162</t>
  </si>
  <si>
    <t>FLZRP00109308455</t>
  </si>
  <si>
    <t>FLZRP00109407661</t>
  </si>
  <si>
    <t>242783608, 242791423, 242817438</t>
  </si>
  <si>
    <t>FLZRP00109496114</t>
  </si>
  <si>
    <t>242788596, 242829576</t>
  </si>
  <si>
    <t>FLZRP00109366266</t>
  </si>
  <si>
    <t>FLZRP00109462018</t>
  </si>
  <si>
    <t>242847450 ,242831389</t>
  </si>
  <si>
    <t>FLZRP00109515089</t>
  </si>
  <si>
    <t>242923990, 242961970,242916663</t>
  </si>
  <si>
    <t>FLZRP00109515351</t>
  </si>
  <si>
    <t>242915252, 242962498,242932499</t>
  </si>
  <si>
    <t>FLZRP00109515374</t>
  </si>
  <si>
    <t>242922759, 242934679</t>
  </si>
  <si>
    <t>FLZRP00109530420</t>
  </si>
  <si>
    <t>242954789, 242959325, 242987908,242975489, 242977797</t>
  </si>
  <si>
    <t>FLZRP00109515396</t>
  </si>
  <si>
    <t>242919111, 242925755, 242968994</t>
  </si>
  <si>
    <t>FLZRP00109530894</t>
  </si>
  <si>
    <t>HR47D4257</t>
  </si>
  <si>
    <t>242968062, 242973893, 242999784</t>
  </si>
  <si>
    <t>FLZRP00109517585</t>
  </si>
  <si>
    <t>242947631, 242987264</t>
  </si>
  <si>
    <t>FLZRP00109515802</t>
  </si>
  <si>
    <t>FLZRP00109518595</t>
  </si>
  <si>
    <t>242971683, 243010168</t>
  </si>
  <si>
    <t>FLZRP00109515475</t>
  </si>
  <si>
    <t>242970447, 242972307,242975891</t>
  </si>
  <si>
    <t>FLZRP00109518643</t>
  </si>
  <si>
    <t>242982547, 243019574</t>
  </si>
  <si>
    <t>FLZRP00109538957</t>
  </si>
  <si>
    <t>243031699, 243047665</t>
  </si>
  <si>
    <t>FLZRP00109535235</t>
  </si>
  <si>
    <t>FLZRP00109536418</t>
  </si>
  <si>
    <t>243006546,242987711, 243024320</t>
  </si>
  <si>
    <t>FLZRP00109536553</t>
  </si>
  <si>
    <t>243004370, 243043894</t>
  </si>
  <si>
    <t>FLZRP00109308456</t>
  </si>
  <si>
    <t>243044694, 243048588, 243050737</t>
  </si>
  <si>
    <t>FLZRP00109407662</t>
  </si>
  <si>
    <t>243035243, 243052000, 243066728</t>
  </si>
  <si>
    <t>FLZRP00109308068</t>
  </si>
  <si>
    <t>243036315, 243063584</t>
  </si>
  <si>
    <t>FLZRP00109366267</t>
  </si>
  <si>
    <t>FLZRP00109548290</t>
  </si>
  <si>
    <t>HR55AJ9406</t>
  </si>
  <si>
    <t>243090397, 243094148</t>
  </si>
  <si>
    <t>FLZRP00109462019</t>
  </si>
  <si>
    <t>FLZRP00109135266</t>
  </si>
  <si>
    <t>243176303, 243206947,243168523</t>
  </si>
  <si>
    <t>FLZRP00109133713</t>
  </si>
  <si>
    <t>243184387, 243206935,243167818</t>
  </si>
  <si>
    <t>FLZRP00109135394</t>
  </si>
  <si>
    <t>243171104, 243235824</t>
  </si>
  <si>
    <t>FLZRP00109136202</t>
  </si>
  <si>
    <t>243166255, 243169671, 243218760</t>
  </si>
  <si>
    <t>FLZRP00109135570</t>
  </si>
  <si>
    <t>243190252, 243213221,243243987</t>
  </si>
  <si>
    <t>FLZRP00109136987</t>
  </si>
  <si>
    <t>243207535, 243245309</t>
  </si>
  <si>
    <t>FLZRP00109137153</t>
  </si>
  <si>
    <t>243196921, 243219207, 243246456</t>
  </si>
  <si>
    <t>FLZRP00109557395</t>
  </si>
  <si>
    <t>243194751, 243229419</t>
  </si>
  <si>
    <t>FLZRP00109303978</t>
  </si>
  <si>
    <t>243209037, 243253139</t>
  </si>
  <si>
    <t>FLZRP00109582080</t>
  </si>
  <si>
    <t>FLZRP00109585068</t>
  </si>
  <si>
    <t>DL01MA4266</t>
  </si>
  <si>
    <t>FLZRP00109583069</t>
  </si>
  <si>
    <t>HR55AK5149</t>
  </si>
  <si>
    <t>243256313, 243284121</t>
  </si>
  <si>
    <t>FLZRP00109563930</t>
  </si>
  <si>
    <t>243241382,243241464, 243266856</t>
  </si>
  <si>
    <t>FLZRP00109583943</t>
  </si>
  <si>
    <t>FLZRP00109584158</t>
  </si>
  <si>
    <t>243299022, 243315241</t>
  </si>
  <si>
    <t>FLZRP00109584514</t>
  </si>
  <si>
    <t>243285087, 243318553</t>
  </si>
  <si>
    <t>FLZRP00109584544</t>
  </si>
  <si>
    <t>243293243, 243321032</t>
  </si>
  <si>
    <t>FLZRP00109366268</t>
  </si>
  <si>
    <t>FLZRP00109462020</t>
  </si>
  <si>
    <t>243344353, 243358720</t>
  </si>
  <si>
    <t>FLZRP00109603480</t>
  </si>
  <si>
    <t>UP32PN6569</t>
  </si>
  <si>
    <t>243430935, 243440906</t>
  </si>
  <si>
    <t>FLZRP00109603536</t>
  </si>
  <si>
    <t>243438392, 243474086, 243428472, 243474112</t>
  </si>
  <si>
    <t>FLZRP00109603556</t>
  </si>
  <si>
    <t>FLZRP00109603579</t>
  </si>
  <si>
    <t>243428978, 243441643</t>
  </si>
  <si>
    <t>FLZRP00109603612</t>
  </si>
  <si>
    <t>243487742, 243487871, 243456115, 243498974</t>
  </si>
  <si>
    <t>FLZRP00109135571</t>
  </si>
  <si>
    <t>243514710, 243515616, 243519066,243506952</t>
  </si>
  <si>
    <t>FLZRP00109616073</t>
  </si>
  <si>
    <t>243460419, 243499894</t>
  </si>
  <si>
    <t>FLZRP00109603677</t>
  </si>
  <si>
    <t>243470697, 243493372, 243497377</t>
  </si>
  <si>
    <t>FLZRP00109137154</t>
  </si>
  <si>
    <t>243471871, 243529039</t>
  </si>
  <si>
    <t>FLZRP00109622904</t>
  </si>
  <si>
    <t>243496271, 243534797</t>
  </si>
  <si>
    <t>FLZRP00109281824</t>
  </si>
  <si>
    <t>243499040, 243527573, 243527581</t>
  </si>
  <si>
    <t>FLZRP00109308293</t>
  </si>
  <si>
    <t>FLZRP00109282675</t>
  </si>
  <si>
    <t>243538682, 243555780,243524904, 243555788</t>
  </si>
  <si>
    <t>FLZRP00109297175</t>
  </si>
  <si>
    <t>243557358, 243572891</t>
  </si>
  <si>
    <t>FLZRP00109308458</t>
  </si>
  <si>
    <t>243568054, 243571122, 243575336</t>
  </si>
  <si>
    <t>FLZRP00109407664</t>
  </si>
  <si>
    <t>243566838, 243589405</t>
  </si>
  <si>
    <t>FLZRP00109308071</t>
  </si>
  <si>
    <t>243573854, 243595765</t>
  </si>
  <si>
    <t>FLZRP00109366269</t>
  </si>
  <si>
    <t>243608396, 243626681</t>
  </si>
  <si>
    <t>FLZRP00109647753</t>
  </si>
  <si>
    <t>FLZRP00109462021</t>
  </si>
  <si>
    <t>FLZRP00109653979</t>
  </si>
  <si>
    <t>FLZRP00109654017</t>
  </si>
  <si>
    <t>243697960, 243704781 ,243698185, 243745506</t>
  </si>
  <si>
    <t>FLZRP00109654031</t>
  </si>
  <si>
    <t>243698725, 243744024</t>
  </si>
  <si>
    <t>FLZRP00109654046</t>
  </si>
  <si>
    <t>243697631, 243713321</t>
  </si>
  <si>
    <t>FLZRP00109675268</t>
  </si>
  <si>
    <t>243744943, 243751431, 243752986 ,243754220, 243774238</t>
  </si>
  <si>
    <t>FLZRP00109654085</t>
  </si>
  <si>
    <t>243704320, 243745423, 243745447</t>
  </si>
  <si>
    <t>FLZRP00109658374</t>
  </si>
  <si>
    <t>243729197, 243782550</t>
  </si>
  <si>
    <t>FLZRP00109659465</t>
  </si>
  <si>
    <t>243739626, 243792415</t>
  </si>
  <si>
    <t>FLZRP00109659590</t>
  </si>
  <si>
    <t>243750922, 243795341</t>
  </si>
  <si>
    <t>FLZRP00109659853</t>
  </si>
  <si>
    <t>243760316, 243797834</t>
  </si>
  <si>
    <t>FLZRP00109281825</t>
  </si>
  <si>
    <t>243816528, 243844280</t>
  </si>
  <si>
    <t>FLZRP00109660319</t>
  </si>
  <si>
    <t>FLZRP00109674541</t>
  </si>
  <si>
    <t>FLZRP00109674738</t>
  </si>
  <si>
    <t>FLZRP00109674821</t>
  </si>
  <si>
    <t>243806507, 243817528,243792428, 243817396</t>
  </si>
  <si>
    <t>FLZRP00109674872</t>
  </si>
  <si>
    <t>243829150, 243836545,243797447, 243833374, 243833377</t>
  </si>
  <si>
    <t>FLZRP00109308459</t>
  </si>
  <si>
    <t>243840626, 243852835, 243852863</t>
  </si>
  <si>
    <t>FLZRP00109407665</t>
  </si>
  <si>
    <t>243815945, 243858953</t>
  </si>
  <si>
    <t>FLZRP00109308072</t>
  </si>
  <si>
    <t>243845250, 243858366, 243858494</t>
  </si>
  <si>
    <t>FLZRP00109366270</t>
  </si>
  <si>
    <t>243871255, 243894821</t>
  </si>
  <si>
    <t>FLZRP00109462022</t>
  </si>
  <si>
    <t>243884430 , 243871620</t>
  </si>
  <si>
    <t>FLZRP00109699784</t>
  </si>
  <si>
    <t>243981359, 244013522,243969657</t>
  </si>
  <si>
    <t>FLZRP00109133716</t>
  </si>
  <si>
    <t>243967287, 244016816,243993384</t>
  </si>
  <si>
    <t>FLZRP00109699895</t>
  </si>
  <si>
    <t>243968612, 244009316</t>
  </si>
  <si>
    <t>FLZRP00109720508</t>
  </si>
  <si>
    <t>244013991, 244041574 ,244018976, 244041087</t>
  </si>
  <si>
    <t>FLZRP00109700410</t>
  </si>
  <si>
    <t>243968997, 243981195, 244021843</t>
  </si>
  <si>
    <t>FLZRP00109700449</t>
  </si>
  <si>
    <t>243970226, 244028887 ,243995263</t>
  </si>
  <si>
    <t>FLZRP00109725705</t>
  </si>
  <si>
    <t>244044982, 244057197,244035170, 244057449</t>
  </si>
  <si>
    <t>FLZRP00109707497</t>
  </si>
  <si>
    <t>244011561, 244040550</t>
  </si>
  <si>
    <t>FLZRP00109700699</t>
  </si>
  <si>
    <t>244014269, 244058481</t>
  </si>
  <si>
    <t>FLZRP00109715119</t>
  </si>
  <si>
    <t>244019640, 244060253</t>
  </si>
  <si>
    <t>FLZRP00109700740</t>
  </si>
  <si>
    <t>244019614, 244066776</t>
  </si>
  <si>
    <t>FLZRP00109715252</t>
  </si>
  <si>
    <t>244028116, 244047994, 244048025</t>
  </si>
  <si>
    <t>FLZRP00109723820</t>
  </si>
  <si>
    <t>244054317, 244092652</t>
  </si>
  <si>
    <t>FLZRP00109722381</t>
  </si>
  <si>
    <t>244062636, 244075863,244043783, 244075817</t>
  </si>
  <si>
    <t>FLZRP00109297179</t>
  </si>
  <si>
    <t>244076925, 244093199</t>
  </si>
  <si>
    <t>FLZRP00109308461</t>
  </si>
  <si>
    <t>244095559, 244114049</t>
  </si>
  <si>
    <t>FLZRP00109407666</t>
  </si>
  <si>
    <t>244090197, 244115285</t>
  </si>
  <si>
    <t>FLZRA00109734619</t>
  </si>
  <si>
    <t>DL01MA3387</t>
  </si>
  <si>
    <t>244111559, 244112188, 244118855</t>
  </si>
  <si>
    <t>FLZRP00109723678</t>
  </si>
  <si>
    <t>244047283, 244119244</t>
  </si>
  <si>
    <t>FLZRP00109366271</t>
  </si>
  <si>
    <t>244135235, 244159713</t>
  </si>
  <si>
    <t>FLZRP00109462023</t>
  </si>
  <si>
    <t>244138848, 244168287</t>
  </si>
  <si>
    <t>FLZRP00109690207</t>
  </si>
  <si>
    <t>FLZRP00109745658</t>
  </si>
  <si>
    <t>244250814 ,244231397, 244262773</t>
  </si>
  <si>
    <t>FLZRP00109762319</t>
  </si>
  <si>
    <t>244263957,244273355, 244317558</t>
  </si>
  <si>
    <t>FLZRP00109745696</t>
  </si>
  <si>
    <t>244230523, 244276572 ,244255564, 244257096</t>
  </si>
  <si>
    <t>FLZRP00109745776</t>
  </si>
  <si>
    <t>244232907, 244283868</t>
  </si>
  <si>
    <t>FLZRP00109745868</t>
  </si>
  <si>
    <t>244229876, 244231560, 244283302,244267524</t>
  </si>
  <si>
    <t>FLZRP00109745966</t>
  </si>
  <si>
    <t>244233553, 244280260</t>
  </si>
  <si>
    <t>FLZRP00109746033</t>
  </si>
  <si>
    <t>244261566, 244312936</t>
  </si>
  <si>
    <t>FLZRP00109746087</t>
  </si>
  <si>
    <t>244278816, 244322391</t>
  </si>
  <si>
    <t>FLZRP00109751739</t>
  </si>
  <si>
    <t>244279005, 244325080</t>
  </si>
  <si>
    <t>FLZRP00109771047</t>
  </si>
  <si>
    <t>244305531, 244336281</t>
  </si>
  <si>
    <t>FLZRP00109757649</t>
  </si>
  <si>
    <t>DL01LAE2799</t>
  </si>
  <si>
    <t>244364711, 244377230</t>
  </si>
  <si>
    <t>FLZRP00109774374</t>
  </si>
  <si>
    <t>FLZRP00109768182</t>
  </si>
  <si>
    <t>FLZRP00109770830</t>
  </si>
  <si>
    <t>244307264, 244325661</t>
  </si>
  <si>
    <t>FLZRA00109780711</t>
  </si>
  <si>
    <t>DL01MA3760</t>
  </si>
  <si>
    <t>244363079, 244368686</t>
  </si>
  <si>
    <t>FLZRP00109765727</t>
  </si>
  <si>
    <t>244323063, 244337139,244308480, 244336949</t>
  </si>
  <si>
    <t>FLZRP00109770329</t>
  </si>
  <si>
    <t>DL1MB1978</t>
  </si>
  <si>
    <t>244338752, 244359272</t>
  </si>
  <si>
    <t>FLZRP00109308462</t>
  </si>
  <si>
    <t>244353944, 244365276, 244365365</t>
  </si>
  <si>
    <t>FLZRP00109407667</t>
  </si>
  <si>
    <t>FLZRP00109771172</t>
  </si>
  <si>
    <t>244363308, 244367338, 244375178</t>
  </si>
  <si>
    <t>FLZRP00109366272</t>
  </si>
  <si>
    <t>244394971, 244413059</t>
  </si>
  <si>
    <t>FLZRP00109462024</t>
  </si>
  <si>
    <t>244393370, 244405565, 244405758</t>
  </si>
  <si>
    <t>FLZRP00109690208</t>
  </si>
  <si>
    <t>Centralhub_FRN</t>
  </si>
  <si>
    <t>FLZRP00109759869</t>
  </si>
  <si>
    <t>DL01MA6283</t>
  </si>
  <si>
    <t>22 FT</t>
  </si>
  <si>
    <t>###########</t>
  </si>
  <si>
    <t>ZONAL</t>
  </si>
  <si>
    <t>Via</t>
  </si>
  <si>
    <t>YKBX1</t>
  </si>
  <si>
    <t>SATELLITEHUB_MZN</t>
  </si>
  <si>
    <t>FLZRP00109792569</t>
  </si>
  <si>
    <t>244501198 ,244487466, 244523005</t>
  </si>
  <si>
    <t>FLZRP00109792595</t>
  </si>
  <si>
    <t>244484657, 244526186 ,244505476</t>
  </si>
  <si>
    <t>FLZRP00109792789</t>
  </si>
  <si>
    <t>244485390, 244520873, 244530072</t>
  </si>
  <si>
    <t>FLZRP00109813943</t>
  </si>
  <si>
    <t>244550685, 244571979</t>
  </si>
  <si>
    <t>FLZRP00109805573</t>
  </si>
  <si>
    <t>244520064, 244551187 ,244535783, 244550451</t>
  </si>
  <si>
    <t>FLZRP00109792831</t>
  </si>
  <si>
    <t>244485684, 244502994, 244547681</t>
  </si>
  <si>
    <t>FLZRP00109797403</t>
  </si>
  <si>
    <t>FLZRP00109797808</t>
  </si>
  <si>
    <t>244495012, 244557366</t>
  </si>
  <si>
    <t>FLZRP00109819503</t>
  </si>
  <si>
    <t>DL01MA3602</t>
  </si>
  <si>
    <t>244575115, 244605145,244559043</t>
  </si>
  <si>
    <t>FLZRP00109799330/CLZRA00109822728</t>
  </si>
  <si>
    <t>FLZRP00109808687</t>
  </si>
  <si>
    <t>FLZRP00109792953</t>
  </si>
  <si>
    <t>FLZRP00109813504</t>
  </si>
  <si>
    <t>244544587, 244588207</t>
  </si>
  <si>
    <t>FLZRP00109814714</t>
  </si>
  <si>
    <t>FLZRP00109800178</t>
  </si>
  <si>
    <t>FLZRP00109809159</t>
  </si>
  <si>
    <t>FLZRP00109810304</t>
  </si>
  <si>
    <t>244579091, 244610326</t>
  </si>
  <si>
    <t>FLZRP00109818154</t>
  </si>
  <si>
    <t>244601616, 244623940</t>
  </si>
  <si>
    <t>FLZRP00109407668</t>
  </si>
  <si>
    <t>244604964, 244613239, 244613371, 244627857</t>
  </si>
  <si>
    <t>FLZRA00109828856</t>
  </si>
  <si>
    <t>244629798, 244634988</t>
  </si>
  <si>
    <t>FLZRP00109818970</t>
  </si>
  <si>
    <t>244615992, 244632107</t>
  </si>
  <si>
    <t>FLZRP00109308075</t>
  </si>
  <si>
    <t>244629659, 244635450</t>
  </si>
  <si>
    <t>FLZRP00109366273</t>
  </si>
  <si>
    <t>244642194, 244655646</t>
  </si>
  <si>
    <t>FLZRP00109831729</t>
  </si>
  <si>
    <t>244678324, 244687288</t>
  </si>
  <si>
    <t>FLZRP00109690209</t>
  </si>
  <si>
    <t>FLZRP00109462025</t>
  </si>
  <si>
    <t>244654730, 244682020</t>
  </si>
  <si>
    <t>FLZRP00109838394</t>
  </si>
  <si>
    <t>244751896, 244774085 ,244735151</t>
  </si>
  <si>
    <t>FLZRP00109838504</t>
  </si>
  <si>
    <t>244734927 ,244754578, 244775802</t>
  </si>
  <si>
    <t>FLZRP00109838519</t>
  </si>
  <si>
    <t>244739727, 244786776</t>
  </si>
  <si>
    <t>FLZRP00109135400</t>
  </si>
  <si>
    <t>244847741, 244850659</t>
  </si>
  <si>
    <t>FLZRP00109849039</t>
  </si>
  <si>
    <t>244810746,244823168, 244839417</t>
  </si>
  <si>
    <t>FLZRP00109838095</t>
  </si>
  <si>
    <t>244714700, 244717539, 244761124</t>
  </si>
  <si>
    <t>FLZRP00109849878</t>
  </si>
  <si>
    <t>244769753, 244782269, 244794872</t>
  </si>
  <si>
    <t>FLZRP00109842909</t>
  </si>
  <si>
    <t>HR38AJ0578</t>
  </si>
  <si>
    <t>244785385, 244808092, 244810364</t>
  </si>
  <si>
    <t>FLZRA00109866898</t>
  </si>
  <si>
    <t>DL01MA6216</t>
  </si>
  <si>
    <t>244844460, 244854171, 244854235</t>
  </si>
  <si>
    <t>FLZRP00109838550</t>
  </si>
  <si>
    <t>244764610, 244804348, 244805885</t>
  </si>
  <si>
    <t>FLZRP00109136993</t>
  </si>
  <si>
    <t>DL01MA5443</t>
  </si>
  <si>
    <t>244843769, 244860667</t>
  </si>
  <si>
    <t>FLZRP00109843103</t>
  </si>
  <si>
    <t>244777875, 244839987</t>
  </si>
  <si>
    <t>FLZRP00109843440</t>
  </si>
  <si>
    <t>244788522, 244833195</t>
  </si>
  <si>
    <t>FLZRP00109303984</t>
  </si>
  <si>
    <t>244790929,244779059, 244826218</t>
  </si>
  <si>
    <t>FLZRP00109281830</t>
  </si>
  <si>
    <t>244842830, 244861139</t>
  </si>
  <si>
    <t>FLZRP00109308298</t>
  </si>
  <si>
    <t>244847824, 244861646</t>
  </si>
  <si>
    <t>FLZRP00109862718</t>
  </si>
  <si>
    <t>244823789, 244856868</t>
  </si>
  <si>
    <t>FLZRP00109866488</t>
  </si>
  <si>
    <t>FLZRA00109873103</t>
  </si>
  <si>
    <t>DL01MA9797</t>
  </si>
  <si>
    <t>FLZRP00109282680</t>
  </si>
  <si>
    <t>244826975, 244839571,244813199, 244839855</t>
  </si>
  <si>
    <t>FLZRP00109297183</t>
  </si>
  <si>
    <t>244853930, 244869369</t>
  </si>
  <si>
    <t>FLZRP00109308464</t>
  </si>
  <si>
    <t>244860101, 244864270, 244870453</t>
  </si>
  <si>
    <t>FLZRP00109407669</t>
  </si>
  <si>
    <t>244860589, 244884753</t>
  </si>
  <si>
    <t>FLZRP00109308076</t>
  </si>
  <si>
    <t>244858943, 244887710</t>
  </si>
  <si>
    <t>FLZRA00109871215</t>
  </si>
  <si>
    <t>244868660, 244888389,244874174, 244888413</t>
  </si>
  <si>
    <t>FLZRP00109366274</t>
  </si>
  <si>
    <t>244902710, 244912962</t>
  </si>
  <si>
    <t>FLZRP00109874433</t>
  </si>
  <si>
    <t>244912600, 244919123</t>
  </si>
  <si>
    <t>FLZRP00109462026</t>
  </si>
  <si>
    <t>244901833, 244919532</t>
  </si>
  <si>
    <t>FLZRP00109690210</t>
  </si>
  <si>
    <t>FLZRP00109881719</t>
  </si>
  <si>
    <t>245000512, 245027443,244988840</t>
  </si>
  <si>
    <t>FLZRP00109881895</t>
  </si>
  <si>
    <t>244985773,244994399, 245028632</t>
  </si>
  <si>
    <t>FLZRP00109881928</t>
  </si>
  <si>
    <t>244999571, 245043214</t>
  </si>
  <si>
    <t>FLZRP00109900538</t>
  </si>
  <si>
    <t>245035445,245038192, 245061052</t>
  </si>
  <si>
    <t>FLZRP00109882021</t>
  </si>
  <si>
    <t>244986823, 244990822</t>
  </si>
  <si>
    <t>FLZRP00109882115</t>
  </si>
  <si>
    <t>KD Transport Co.</t>
  </si>
  <si>
    <t>HR47F2932</t>
  </si>
  <si>
    <t>245023808, 245055005</t>
  </si>
  <si>
    <t>FLZRP00109882189</t>
  </si>
  <si>
    <t>245027353, 245054018</t>
  </si>
  <si>
    <t>FLZRP00109903845</t>
  </si>
  <si>
    <t>245080144, 245082399,245064588, 245083886</t>
  </si>
  <si>
    <t>FLZRP00109882438</t>
  </si>
  <si>
    <t>245028500, 245058908, 245071912</t>
  </si>
  <si>
    <t>FLZRP00109882484</t>
  </si>
  <si>
    <t>FLZRP00109882639</t>
  </si>
  <si>
    <t>245042797, 245078828</t>
  </si>
  <si>
    <t>FLZRP00109882724</t>
  </si>
  <si>
    <t>245063909, 245080698, 245085460</t>
  </si>
  <si>
    <t>FLZRP00109883495</t>
  </si>
  <si>
    <t>245076457, 245077302, 245101404</t>
  </si>
  <si>
    <t>FLZRP00109911785</t>
  </si>
  <si>
    <t>245090952, 245109592</t>
  </si>
  <si>
    <t>FLZRP00109282681</t>
  </si>
  <si>
    <t>245077976, 245085086, 245090265,245067731, 245090169</t>
  </si>
  <si>
    <t>FLZRP00109297184</t>
  </si>
  <si>
    <t>245092277, 245102842</t>
  </si>
  <si>
    <t>FLZRP00109884523</t>
  </si>
  <si>
    <t>245111815, 245133409</t>
  </si>
  <si>
    <t>FLZRP00109884699</t>
  </si>
  <si>
    <t>245109614, 245131342</t>
  </si>
  <si>
    <t>FLZRP00109910521</t>
  </si>
  <si>
    <t>KD TRANSPORT</t>
  </si>
  <si>
    <t>HR47G2863</t>
  </si>
  <si>
    <t>245121682, 245135212</t>
  </si>
  <si>
    <t>FLZRP00109308077</t>
  </si>
  <si>
    <t>245116450, 245132914</t>
  </si>
  <si>
    <t>FLZRP00109918496</t>
  </si>
  <si>
    <t>FLZRP00109915803</t>
  </si>
  <si>
    <t>245151051, 245168750</t>
  </si>
  <si>
    <t>FLZRP00109915846</t>
  </si>
  <si>
    <t>FLZRP00109925698</t>
  </si>
  <si>
    <t>245267217, 245289805,245248913</t>
  </si>
  <si>
    <t>FLZRP00109927065</t>
  </si>
  <si>
    <t>245267276, 245286333,245248661</t>
  </si>
  <si>
    <t>FLZRP00109927109</t>
  </si>
  <si>
    <t>245249684, 245288196, 245289199</t>
  </si>
  <si>
    <t>FLZRA00109941426</t>
  </si>
  <si>
    <t>245289267, 245289908, 245289910</t>
  </si>
  <si>
    <t>FLZRP00109927158</t>
  </si>
  <si>
    <t>245246527, 245294274</t>
  </si>
  <si>
    <t>FLZRP00109927217</t>
  </si>
  <si>
    <t>UP32PN6583</t>
  </si>
  <si>
    <t>245281300, 245290535, 245313044</t>
  </si>
  <si>
    <t>FLZRP00109927354</t>
  </si>
  <si>
    <t>245266980, 245302597</t>
  </si>
  <si>
    <t>FLZRA00109941144</t>
  </si>
  <si>
    <t>HR47F8072</t>
  </si>
  <si>
    <t>245315203, 245342493,245305936, 245342633</t>
  </si>
  <si>
    <t>FLZRP00109927554</t>
  </si>
  <si>
    <t>245295613, 245325831</t>
  </si>
  <si>
    <t>FLZRP00109927747</t>
  </si>
  <si>
    <t>245290918, 245332240</t>
  </si>
  <si>
    <t>FLZRP00109927849</t>
  </si>
  <si>
    <t>245254665, 245297605</t>
  </si>
  <si>
    <t>FLZRP00109940604</t>
  </si>
  <si>
    <t>245314447, 245346199</t>
  </si>
  <si>
    <t>FLZRP00109927883</t>
  </si>
  <si>
    <t>245343594, 245356533, 245357051</t>
  </si>
  <si>
    <t>FLZRP00109928116</t>
  </si>
  <si>
    <t>245343296, 245365874</t>
  </si>
  <si>
    <t>FLZRP00109929247</t>
  </si>
  <si>
    <t>245327288, 245369704</t>
  </si>
  <si>
    <t>FLZRP00109953425</t>
  </si>
  <si>
    <t>245332008, 245365285</t>
  </si>
  <si>
    <t>FLZRP00109945415</t>
  </si>
  <si>
    <t>FLZRP00109297185</t>
  </si>
  <si>
    <t>245349535, 245373534</t>
  </si>
  <si>
    <t>FLZRP00109308466</t>
  </si>
  <si>
    <t>245365337, 245389431</t>
  </si>
  <si>
    <t>FLZRP00109407671</t>
  </si>
  <si>
    <t>245365945, 245395087</t>
  </si>
  <si>
    <t>FLZRP00109953251</t>
  </si>
  <si>
    <t>245352617, 245357223, 245391239</t>
  </si>
  <si>
    <t>FLZRP00109959786</t>
  </si>
  <si>
    <t>245400800, 245405572</t>
  </si>
  <si>
    <t>FLZRP00109366276</t>
  </si>
  <si>
    <t>245413852, 245432715</t>
  </si>
  <si>
    <t>FLZRP00109954068</t>
  </si>
  <si>
    <t>HR47F9981</t>
  </si>
  <si>
    <t>245442043, 245450116</t>
  </si>
  <si>
    <t>FLZRP00109954119</t>
  </si>
  <si>
    <t>245418649, 245432051</t>
  </si>
  <si>
    <t>FLZRP00109690212</t>
  </si>
  <si>
    <t>FLZRP00109973647</t>
  </si>
  <si>
    <t>245783372, 245814158,245778786,245764579</t>
  </si>
  <si>
    <t>FLZRP00109133722</t>
  </si>
  <si>
    <t>245763478, 245806588,245786594`</t>
  </si>
  <si>
    <t>FLZRP00109135403</t>
  </si>
  <si>
    <t>245766498, 245800569</t>
  </si>
  <si>
    <t>FLZRA00109981083</t>
  </si>
  <si>
    <t>245804047, 245833494</t>
  </si>
  <si>
    <t>FLZRP00109136211</t>
  </si>
  <si>
    <t>245765162, 245772171</t>
  </si>
  <si>
    <t>FLZRP00109135580</t>
  </si>
  <si>
    <t>245764226, 245808411</t>
  </si>
  <si>
    <t>FLZRP00109974828</t>
  </si>
  <si>
    <t>245815420, 245837458,245812616, 245837667</t>
  </si>
  <si>
    <t>FLZRP00109136998</t>
  </si>
  <si>
    <t>245797652, 245851879</t>
  </si>
  <si>
    <t>FLZRP00109993145</t>
  </si>
  <si>
    <t>FLZRP00109970700</t>
  </si>
  <si>
    <t>245816165, 245862254</t>
  </si>
  <si>
    <t>FLZRP00109983386</t>
  </si>
  <si>
    <t>245819735, 245852281, 245863629</t>
  </si>
  <si>
    <t>FLZRP00110000022</t>
  </si>
  <si>
    <t>245823525, 245879053</t>
  </si>
  <si>
    <t>FLZRP00109308301</t>
  </si>
  <si>
    <t>245830718, 245888892</t>
  </si>
  <si>
    <t>FLZRA00109982896</t>
  </si>
  <si>
    <t>245848698, 245854579, 245855611,245829170, 245861999</t>
  </si>
  <si>
    <t>FLZRP00109297186</t>
  </si>
  <si>
    <t>245876210, 245899427</t>
  </si>
  <si>
    <t>FLZRP00109308467</t>
  </si>
  <si>
    <t>245904655, 245919815</t>
  </si>
  <si>
    <t>FLZRP00110004679</t>
  </si>
  <si>
    <t>245900707, 245922785</t>
  </si>
  <si>
    <t>FLZRP00109407672</t>
  </si>
  <si>
    <t>245850276, 245869826, 245869893, 245910867</t>
  </si>
  <si>
    <t>FLZRP00109999794</t>
  </si>
  <si>
    <t>245851632, 245945436</t>
  </si>
  <si>
    <t>FLZRP00109366278</t>
  </si>
  <si>
    <t>245918700, 245957587 ,245948750</t>
  </si>
  <si>
    <t>FLZRP00109690214</t>
  </si>
  <si>
    <t>FLZRP00109462030</t>
  </si>
  <si>
    <t>245922810, 245923440</t>
  </si>
  <si>
    <t>FLZRP00110015894</t>
  </si>
  <si>
    <t>FLZRP00110016461</t>
  </si>
  <si>
    <t>FLZRP00110016482</t>
  </si>
  <si>
    <t>FLZRA00110024828</t>
  </si>
  <si>
    <t>FLZRP00110015974</t>
  </si>
  <si>
    <t>FLZRP00110019319</t>
  </si>
  <si>
    <t>FLZRA00110035621</t>
  </si>
  <si>
    <t>FLZRP00110016705</t>
  </si>
  <si>
    <t>FLZRP00110015995</t>
  </si>
  <si>
    <t>FLZRP00110016852</t>
  </si>
  <si>
    <t>FLZRP00110025427</t>
  </si>
  <si>
    <t>FLZRP00110037969</t>
  </si>
  <si>
    <t>FLZRP00110036741</t>
  </si>
  <si>
    <t>HR47G0762</t>
  </si>
  <si>
    <t>245834898, 245896273</t>
  </si>
  <si>
    <t>FLZRP00110037519</t>
  </si>
  <si>
    <t>FLZRA00110025705</t>
  </si>
  <si>
    <t>FLZRP00110044757</t>
  </si>
  <si>
    <t>FLZRP00109308469</t>
  </si>
  <si>
    <t>FLZRP00109407674</t>
  </si>
  <si>
    <t>FLZRP00110037593</t>
  </si>
  <si>
    <t>FLZRP00109366279 /FLZRP00110059481</t>
  </si>
  <si>
    <t>HR55AH4071 /HR55AJ8857</t>
  </si>
  <si>
    <t>FLZRP00110051566</t>
  </si>
  <si>
    <t>FLZRP00110053734</t>
  </si>
  <si>
    <t>FLZRP00110060670</t>
  </si>
  <si>
    <t>246047615, 246076471,246030141</t>
  </si>
  <si>
    <t>FLZRP00110060719</t>
  </si>
  <si>
    <t>246027907, 246065995,246043040</t>
  </si>
  <si>
    <t>FLZRP00110060746</t>
  </si>
  <si>
    <t>246029601, 246051625, 246051981</t>
  </si>
  <si>
    <t>FLZRA00110066396</t>
  </si>
  <si>
    <t>246081506, 246085595,246089997, 246098478, 246109740</t>
  </si>
  <si>
    <t>FLZRP00110082720</t>
  </si>
  <si>
    <t>246107325, 246107719, 246122651</t>
  </si>
  <si>
    <t>FLZRP00110060946</t>
  </si>
  <si>
    <t>246067685, 246110116</t>
  </si>
  <si>
    <t>FLZRP00110060831</t>
  </si>
  <si>
    <t>246027295, 246070384</t>
  </si>
  <si>
    <t>FLZRP00110060847</t>
  </si>
  <si>
    <t>246054101, 246060251</t>
  </si>
  <si>
    <t>FLZRP00110060866</t>
  </si>
  <si>
    <t>FLZRP00110065853</t>
  </si>
  <si>
    <t>246070935, 246113901</t>
  </si>
  <si>
    <t>FLZRP00110089468</t>
  </si>
  <si>
    <t>246029797, 246037441, 246039805</t>
  </si>
  <si>
    <t>FLZRP00109308303</t>
  </si>
  <si>
    <t>246039363, 246098895</t>
  </si>
  <si>
    <t>FLZRA00110069551</t>
  </si>
  <si>
    <t>FLZRP00109297188</t>
  </si>
  <si>
    <t>246076848, 246104320,246091418</t>
  </si>
  <si>
    <t>FLZRP00109308470</t>
  </si>
  <si>
    <t>FLZRP00109407675</t>
  </si>
  <si>
    <t>246115957, 246161968</t>
  </si>
  <si>
    <t>FLZRP00109308082</t>
  </si>
  <si>
    <t>246147492, 246167071</t>
  </si>
  <si>
    <t>FLZRP00109366280</t>
  </si>
  <si>
    <t>FLZRP00109690216</t>
  </si>
  <si>
    <t>FLZRP00110089957</t>
  </si>
  <si>
    <t>FLZRP00110115467</t>
  </si>
  <si>
    <t>FLZRP00110115522</t>
  </si>
  <si>
    <t>246298771, 246302710,246279980</t>
  </si>
  <si>
    <t>FLZRP00110115544</t>
  </si>
  <si>
    <t>246280786, 246319551, 246319645</t>
  </si>
  <si>
    <t>FLZRA00110119860</t>
  </si>
  <si>
    <t>246334916, 246361918, 246372849,246332350, 246372917</t>
  </si>
  <si>
    <t>FLZRP00110115572</t>
  </si>
  <si>
    <t>246297875, 246303642, 246332731</t>
  </si>
  <si>
    <t>FLZRP00110116294</t>
  </si>
  <si>
    <t>246282743, 246303689, 246352345</t>
  </si>
  <si>
    <t>FLZRP00110115583</t>
  </si>
  <si>
    <t>246317556, 246364293,246328680</t>
  </si>
  <si>
    <t>FLZRP00110115596</t>
  </si>
  <si>
    <t>246333334, 246362783</t>
  </si>
  <si>
    <t>FLZRP00110116377</t>
  </si>
  <si>
    <t>FLZRP00110127634</t>
  </si>
  <si>
    <t>FLZRP00110140903</t>
  </si>
  <si>
    <t>FLZRP00109308304</t>
  </si>
  <si>
    <t>FLZRP00110139031</t>
  </si>
  <si>
    <t>246337300, 246388405</t>
  </si>
  <si>
    <t>FLZRP00110146289</t>
  </si>
  <si>
    <t>FLZRA00110121871</t>
  </si>
  <si>
    <t>246306697, 246356275, 246370253,246286533, 246370327</t>
  </si>
  <si>
    <t>FLZRP00110146248</t>
  </si>
  <si>
    <t>FLZRP00109308471</t>
  </si>
  <si>
    <t>246391447, 246396984, 246407938,246397280</t>
  </si>
  <si>
    <t>FLZRP00109407677</t>
  </si>
  <si>
    <t>FLZRP00109308083</t>
  </si>
  <si>
    <t>246395864, 246424537</t>
  </si>
  <si>
    <t>FLZRP00110149273</t>
  </si>
  <si>
    <t>FLZRP00110149309</t>
  </si>
  <si>
    <t>246423929 , 246415833, 246449673</t>
  </si>
  <si>
    <t>FLZRP00110164206</t>
  </si>
  <si>
    <t>246534314, 246571535,246524813</t>
  </si>
  <si>
    <t>FLZRP00110164250</t>
  </si>
  <si>
    <t>246524460, 246561475,246538533</t>
  </si>
  <si>
    <t>######</t>
  </si>
  <si>
    <t>FLZRP00110164253</t>
  </si>
  <si>
    <t>246524991, 246583186</t>
  </si>
  <si>
    <t>FLZRP00110164259</t>
  </si>
  <si>
    <t>246497519, 246497533</t>
  </si>
  <si>
    <t>FLZRP00110164262</t>
  </si>
  <si>
    <t>246533166, 246580190</t>
  </si>
  <si>
    <t>FLZRP00110175341</t>
  </si>
  <si>
    <t>M.D Transport Co.</t>
  </si>
  <si>
    <t>HR55AX8216</t>
  </si>
  <si>
    <t>246543526, 246593316</t>
  </si>
  <si>
    <t>FLZRP00110164819</t>
  </si>
  <si>
    <t>246563315, 246592979</t>
  </si>
  <si>
    <t>FLZRP00110164825</t>
  </si>
  <si>
    <t>246560404, 246569916</t>
  </si>
  <si>
    <t>FLZRP00110165482</t>
  </si>
  <si>
    <t>DL01MB1940</t>
  </si>
  <si>
    <t>246541275, 246548642</t>
  </si>
  <si>
    <t>FLZRP00110181830</t>
  </si>
  <si>
    <t>246560868, 246575605, 246583824</t>
  </si>
  <si>
    <t>FLZRP00109308305</t>
  </si>
  <si>
    <t>FLZRA00110165449</t>
  </si>
  <si>
    <t>DL01MB3368</t>
  </si>
  <si>
    <t>246569924, 246589251,246550831</t>
  </si>
  <si>
    <t>FLZRP00110165513</t>
  </si>
  <si>
    <t>FLZRP00110195380</t>
  </si>
  <si>
    <t>246632784, 246651132, 246658775,246642209, 246651193</t>
  </si>
  <si>
    <t>FLZRP00110195400</t>
  </si>
  <si>
    <t>FLZRP00110195053</t>
  </si>
  <si>
    <t>246654097, 246667444</t>
  </si>
  <si>
    <t>FLZRP00109366282</t>
  </si>
  <si>
    <t>FLZRP00109690218</t>
  </si>
  <si>
    <t>FLZRP00110197087</t>
  </si>
  <si>
    <t>246665014, 246694622</t>
  </si>
  <si>
    <t>FLZRP00110204969</t>
  </si>
  <si>
    <t>246766807, 246808350,246750901</t>
  </si>
  <si>
    <t>FLZRP00110204981</t>
  </si>
  <si>
    <t>FLZRP00110204983</t>
  </si>
  <si>
    <t>246802813, 246825971, 246846264</t>
  </si>
  <si>
    <t>FLZRP00109136216</t>
  </si>
  <si>
    <t>246741813, 246749807, 246823412</t>
  </si>
  <si>
    <t>FLZRP00110204985</t>
  </si>
  <si>
    <t>246772526, 246787648, 246788607</t>
  </si>
  <si>
    <t>FLZRP00110204998</t>
  </si>
  <si>
    <t>246785228, 246837733</t>
  </si>
  <si>
    <t>FLZRP00110205000</t>
  </si>
  <si>
    <t>246769073, 246829068</t>
  </si>
  <si>
    <t>FLZRP00110205724</t>
  </si>
  <si>
    <t>246815910, 246865361</t>
  </si>
  <si>
    <t>FLZRP00110209680</t>
  </si>
  <si>
    <t>246834470, 246869151</t>
  </si>
  <si>
    <t>FLZRP00110234038</t>
  </si>
  <si>
    <t>246855080, 246875564</t>
  </si>
  <si>
    <t>FLZRP00110230676</t>
  </si>
  <si>
    <t>246872661, 246890377</t>
  </si>
  <si>
    <t>FLZRP00110205929</t>
  </si>
  <si>
    <t>MD Transport Co.</t>
  </si>
  <si>
    <t>HR55AX1002</t>
  </si>
  <si>
    <t>FLZRP00110210953</t>
  </si>
  <si>
    <t>FLZRA00110205854</t>
  </si>
  <si>
    <t>246789518, 246871060,246852089</t>
  </si>
  <si>
    <t>FLZRP00110211349</t>
  </si>
  <si>
    <t>246890031, 246904133</t>
  </si>
  <si>
    <t>FLZRP00110211437</t>
  </si>
  <si>
    <t>246894714, 246917050</t>
  </si>
  <si>
    <t>FLZRP00110211489</t>
  </si>
  <si>
    <t>FLZRP00109366283</t>
  </si>
  <si>
    <t>FLZRP00110239291</t>
  </si>
  <si>
    <t>246913923, 246936320</t>
  </si>
  <si>
    <t>consignment_id</t>
  </si>
  <si>
    <t>ref_id</t>
  </si>
  <si>
    <t>trip_id</t>
  </si>
  <si>
    <t>mode</t>
  </si>
  <si>
    <t>type</t>
  </si>
  <si>
    <t>business_entity_type</t>
  </si>
  <si>
    <t>trip_type</t>
  </si>
  <si>
    <t>trip_tag</t>
  </si>
  <si>
    <t>contract_type</t>
  </si>
  <si>
    <t>supply_chain</t>
  </si>
  <si>
    <t>trip_source</t>
  </si>
  <si>
    <t>trip_destination</t>
  </si>
  <si>
    <t>trip_source_type</t>
  </si>
  <si>
    <t>trip_dest_type</t>
  </si>
  <si>
    <t>source_zone</t>
  </si>
  <si>
    <t>dest_zone</t>
  </si>
  <si>
    <t>execution_type</t>
  </si>
  <si>
    <t>trip_route</t>
  </si>
  <si>
    <t>trip_status</t>
  </si>
  <si>
    <t>event_trip_created_datetime</t>
  </si>
  <si>
    <t>event_trip_confirmed_datetime</t>
  </si>
  <si>
    <t>event_trip_started_datetime</t>
  </si>
  <si>
    <t>event_trip_completed_datetime</t>
  </si>
  <si>
    <t>event_trip_aborted_datetime</t>
  </si>
  <si>
    <t>event_trip_cancelled_datetime</t>
  </si>
  <si>
    <t>trip_end_datetime</t>
  </si>
  <si>
    <t>consignment_source_id</t>
  </si>
  <si>
    <t>consignment_destination_id</t>
  </si>
  <si>
    <t>consignment_source_hub_type</t>
  </si>
  <si>
    <t>consignment_dest_hub_type</t>
  </si>
  <si>
    <t>consignment_source_client</t>
  </si>
  <si>
    <t>consignment_dest_client</t>
  </si>
  <si>
    <t>consignment_source</t>
  </si>
  <si>
    <t>consignment_destination</t>
  </si>
  <si>
    <t>consignment_created_at</t>
  </si>
  <si>
    <t>consignment_received_at</t>
  </si>
  <si>
    <t>consignment_weight</t>
  </si>
  <si>
    <t>consignment_status</t>
  </si>
  <si>
    <t>consignment_volume</t>
  </si>
  <si>
    <t>vehicle_number</t>
  </si>
  <si>
    <t>vehicle_length</t>
  </si>
  <si>
    <t>vehicle_breadth</t>
  </si>
  <si>
    <t>vehicle_height</t>
  </si>
  <si>
    <t>vendor_id</t>
  </si>
  <si>
    <t>vendor_name</t>
  </si>
  <si>
    <t>mr_flag</t>
  </si>
  <si>
    <t>bag_no_of_load_units</t>
  </si>
  <si>
    <t>shipment_no_of_load_units</t>
  </si>
  <si>
    <t>semi_large_no_of_load_units</t>
  </si>
  <si>
    <t>box_no_of_load_units</t>
  </si>
  <si>
    <t>large_no_of_load_units</t>
  </si>
  <si>
    <t>tote_no_of_load_units</t>
  </si>
  <si>
    <t>total_fk_bag_shipments</t>
  </si>
  <si>
    <t>total_shipment_shipments</t>
  </si>
  <si>
    <t>total_fk_semi_large_shipments</t>
  </si>
  <si>
    <t>total_box_shipments</t>
  </si>
  <si>
    <t>total_large_shipments</t>
  </si>
  <si>
    <t>total_gtnl_shipments</t>
  </si>
  <si>
    <t>total_tote_shipments</t>
  </si>
  <si>
    <t>bag_fwd_shipments</t>
  </si>
  <si>
    <t>semi_large_fwd_shipments</t>
  </si>
  <si>
    <t>large_fwd_shipments</t>
  </si>
  <si>
    <t>tote_fwd_shipments</t>
  </si>
  <si>
    <t>bag_rev_shipments</t>
  </si>
  <si>
    <t>shipment_rev_shipments</t>
  </si>
  <si>
    <t>semi_large_rev_shipments</t>
  </si>
  <si>
    <t>box_rev_shipments</t>
  </si>
  <si>
    <t>large_rev_shipments</t>
  </si>
  <si>
    <t>gtnl_rev_shipments</t>
  </si>
  <si>
    <t>tote_rev_shipments</t>
  </si>
  <si>
    <t>vehicle_type_name</t>
  </si>
  <si>
    <t>consignment_type</t>
  </si>
  <si>
    <t>MYN_SYN_flag</t>
  </si>
  <si>
    <t>NL_Synergy_flag</t>
  </si>
  <si>
    <t>Trip_Tagging</t>
  </si>
  <si>
    <t>consignment_source_city</t>
  </si>
  <si>
    <t>consignment_dest_city</t>
  </si>
  <si>
    <t>trip_source_city</t>
  </si>
  <si>
    <t>trip_dest_city</t>
  </si>
  <si>
    <t>two_way_flag</t>
  </si>
  <si>
    <t>abort_user</t>
  </si>
  <si>
    <t>create_user</t>
  </si>
  <si>
    <t>consignment_closed_time</t>
  </si>
  <si>
    <t>execution_type_new</t>
  </si>
  <si>
    <t>total_myn_shipments</t>
  </si>
  <si>
    <t>myn_fwd_shipments</t>
  </si>
  <si>
    <t>myn_rev_shipments</t>
  </si>
  <si>
    <t>FLLRP00110675932</t>
  </si>
  <si>
    <t>ROAD</t>
  </si>
  <si>
    <t>LOCAL</t>
  </si>
  <si>
    <t>FSD</t>
  </si>
  <si>
    <t>MH - DH</t>
  </si>
  <si>
    <t>FLEET</t>
  </si>
  <si>
    <t>Non_Large</t>
  </si>
  <si>
    <t>MotherHub_JJH</t>
  </si>
  <si>
    <t>GandhinagarMPHub_DEL</t>
  </si>
  <si>
    <t>MOTHER_HUB</t>
  </si>
  <si>
    <t>DELIVERY_HUB</t>
  </si>
  <si>
    <t>North</t>
  </si>
  <si>
    <t>PLANNED</t>
  </si>
  <si>
    <t>GUR/JJH-DEL/GDM</t>
  </si>
  <si>
    <t>COMPLETED</t>
  </si>
  <si>
    <t>FLIPKART</t>
  </si>
  <si>
    <t>DELIVERED</t>
  </si>
  <si>
    <t>DL01LAJ6738</t>
  </si>
  <si>
    <t>M/s Xpress Logistics Solution</t>
  </si>
  <si>
    <t>17 FT</t>
  </si>
  <si>
    <t>BAG</t>
  </si>
  <si>
    <t>FK</t>
  </si>
  <si>
    <t>JHAJJAR</t>
  </si>
  <si>
    <t>DELHI</t>
  </si>
  <si>
    <t>neeraj.chandra</t>
  </si>
  <si>
    <t>FLLRP00112524297</t>
  </si>
  <si>
    <t>RajakilpakamMYNTRAHub_CHN</t>
  </si>
  <si>
    <t>South</t>
  </si>
  <si>
    <t>RJK/MAA-MYN/M01-DXT/KKL-MYN/R99-RJK/MAA</t>
  </si>
  <si>
    <t>IN_TRANSIT</t>
  </si>
  <si>
    <t>MYN</t>
  </si>
  <si>
    <t>SelaiyurMYNTRAHub_POR_SLR</t>
  </si>
  <si>
    <t>TN12AY6121</t>
  </si>
  <si>
    <t>RADURE HANDLING PRIVATE LIMITED</t>
  </si>
  <si>
    <t>6.5 Ft</t>
  </si>
  <si>
    <t>SEMI_LARGE_SHIPMENT</t>
  </si>
  <si>
    <t>CHENNAI</t>
  </si>
  <si>
    <t>ca.2444050</t>
  </si>
  <si>
    <t>FLLRP00111083289</t>
  </si>
  <si>
    <t>FatehpurHub_FEH</t>
  </si>
  <si>
    <t>MalwaMDH_LAL</t>
  </si>
  <si>
    <t>GWL/FEH-LAL/MDH-KHJ/MDH-GWL/FEH</t>
  </si>
  <si>
    <t>UP71BT2115</t>
  </si>
  <si>
    <t>Golden Aero</t>
  </si>
  <si>
    <t>FATEHPUR</t>
  </si>
  <si>
    <t>MALWA</t>
  </si>
  <si>
    <t>ajeet.yadav</t>
  </si>
  <si>
    <t>FLLRP00111615664</t>
  </si>
  <si>
    <t>MH - MH</t>
  </si>
  <si>
    <t>Large</t>
  </si>
  <si>
    <t>CentralHub_Alite_L_PTW9</t>
  </si>
  <si>
    <t>CentralHub_L_YKBX1</t>
  </si>
  <si>
    <t>CTL/PTW9-CTL/EFB4-CTL/PTW10-CTL/HAI9-CTL/SAJ1-CTL/SAJ12-CTL/YKBX1</t>
  </si>
  <si>
    <t>CentralHub_Alite_F_SAJ12</t>
  </si>
  <si>
    <t>HR55W9241</t>
  </si>
  <si>
    <t>NAVEEN TRANSPORT SERVICE</t>
  </si>
  <si>
    <t>32 Ft</t>
  </si>
  <si>
    <t>SHIPMENT_PART_BOX</t>
  </si>
  <si>
    <t>GURUGRAM</t>
  </si>
  <si>
    <t>kulvantk.vc</t>
  </si>
  <si>
    <t>CLZRP00110601961</t>
  </si>
  <si>
    <t>COLOADER</t>
  </si>
  <si>
    <t>ElasticRunBhathatODH_BHA</t>
  </si>
  <si>
    <t>Motherhub_LKO_BTS</t>
  </si>
  <si>
    <t>PATLIPUTRA LOGISTICS</t>
  </si>
  <si>
    <t>GORAKHPUR</t>
  </si>
  <si>
    <t>Lucknow</t>
  </si>
  <si>
    <t>piyushkumar.tiwari</t>
  </si>
  <si>
    <t>FLLRP00111989410</t>
  </si>
  <si>
    <t>SecunderabadMYNTRAHub_SEC</t>
  </si>
  <si>
    <t>JeedimetlaMYNTRA_SKV_JDM</t>
  </si>
  <si>
    <t>SEC/HYD-MYN/M33</t>
  </si>
  <si>
    <t>TS07UC6136</t>
  </si>
  <si>
    <t>Mahindra Logistics Limited</t>
  </si>
  <si>
    <t>8 FT</t>
  </si>
  <si>
    <t>HYDERABAD</t>
  </si>
  <si>
    <t>ca.2709534</t>
  </si>
  <si>
    <t>CLZRP00110746364</t>
  </si>
  <si>
    <t>GroceryMH_VIJ</t>
  </si>
  <si>
    <t>GanapavaramODH_GPM</t>
  </si>
  <si>
    <t>Del Cargo Express Logistics</t>
  </si>
  <si>
    <t>TOTE</t>
  </si>
  <si>
    <t>grc</t>
  </si>
  <si>
    <t>VIJAYAWADA</t>
  </si>
  <si>
    <t>GANAPAVARAM</t>
  </si>
  <si>
    <t>ramsetty.s</t>
  </si>
  <si>
    <t>Vehicle</t>
  </si>
  <si>
    <t>FRQ</t>
  </si>
  <si>
    <t>CpK</t>
  </si>
  <si>
    <t>Monthly Cost</t>
  </si>
  <si>
    <t>660.0-0-0-5 hrs</t>
  </si>
  <si>
    <t>CENTRALHUB_L_YKBX1 -&gt; SATELLITEHUB_MZN -&gt; SATELLITEHUB_HWRF1 -&gt; SATELLITEHUB_KNL1 -&gt; CENTRALHUB_L_YKBX1</t>
  </si>
  <si>
    <t>1035.0:1305.0:1800.0:2325.0</t>
  </si>
  <si>
    <t>1155.0:1485.0:1980.0</t>
  </si>
  <si>
    <t>690.0-0-0-5 hrs</t>
  </si>
  <si>
    <t>CENTRALHUB_L_YKBX1 -&gt; SATELLITEHUB_DDNHOPE -&gt; SATELLITEHUB_DDN -&gt; CENTRALHUB_L_YKBX1</t>
  </si>
  <si>
    <t>1560.0:1800.0:2565.0</t>
  </si>
  <si>
    <t>CENTRALHUB_L_YKBX1 -&gt; SATELLITEHUB_MNR -&gt; SATELLITEHUB_BIJNOR -&gt; SATELLITEHUB_SHAMLI -&gt; CENTRALHUB_L_YKBX1</t>
  </si>
  <si>
    <t>990.0:1380.0:1800.0:2265.0</t>
  </si>
  <si>
    <t>1110.0:1560.0:1980.0</t>
  </si>
  <si>
    <t>1515.0:1800.0:2445.0</t>
  </si>
  <si>
    <t>1695.0:1920.0</t>
  </si>
  <si>
    <t>CENTRALHUB_L_YKBX1 -&gt; SATELLITEHUB_MEERUT -&gt; SATELLITEHUB_PANIPAT -&gt; SATELLITEHUB_SONIPAT -&gt; CENTRALHUB_L_YKBX1</t>
  </si>
  <si>
    <t>1125.0:1545.0:1800.0:2160.0</t>
  </si>
  <si>
    <t>1305.0:1725.0:1980.0</t>
  </si>
  <si>
    <t>CENTRALHUB_L_YKBX1 -&gt; SATELLITEHUB_BULANDSHAHAR -&gt; SATELLITEHUB_HLW1 -&gt; CENTRALHUB_L_YKBX1</t>
  </si>
  <si>
    <t>1140.0:1800.0:2640.0</t>
  </si>
  <si>
    <t>1320.0:1980.0</t>
  </si>
  <si>
    <t>CENTRALHUB_L_YKBX1 -&gt; SATELLITEHUB_PALWAL -&gt; SATELLITEHUB_ALGR -&gt; SATELLITEHUB_ALWAR -&gt; CENTRALHUB_L_YKBX1</t>
  </si>
  <si>
    <t>885.0:1245.0:1800.0:2265.0</t>
  </si>
  <si>
    <t>1065.0:1425.0:1980.0</t>
  </si>
  <si>
    <t>675.0-0-0-5 hrs</t>
  </si>
  <si>
    <t>CENTRALHUB_L_YKBX1 -&gt; SATELLITEHUB_RUDRAPUR -&gt; CENTRALHUB_L_YKBX1</t>
  </si>
  <si>
    <t>1800.0:2595.0</t>
  </si>
  <si>
    <t>CENTRALHUB_L_YKBX1 -&gt; SATELLITEHUB_GHAZIABAD -&gt; CENTRALHUB_L_YKBX1</t>
  </si>
  <si>
    <t>1800.0:2175.0</t>
  </si>
  <si>
    <t>CENTRALHUB_L_YKBX1 -&gt; SATELLITEHUB_AGR1 -&gt; CENTRALHUB_L_YKBX1</t>
  </si>
  <si>
    <t>1800.0:2385.0</t>
  </si>
  <si>
    <t>0.0-0-0-5 hrs</t>
  </si>
  <si>
    <t>Syn FM</t>
  </si>
  <si>
    <t>CENTRALHUB_L_YKBX1 -&gt; SATELLITEHUB_RTK1 -&gt; CENTRALHUB_L_YKBX1</t>
  </si>
  <si>
    <t>CENTRALHUB_L_YKBX1 -&gt; SATELLITEHUB_JHUNJHUNU -&gt; SATELLITEHUB_SIKAR -&gt; CENTRALHUB_L_YKBX1</t>
  </si>
  <si>
    <t>1575.0:1800.0:2505.0</t>
  </si>
  <si>
    <t>CENTRALHUB_L_YKBX1 -&gt; SATELLITEHUB_PANIPAT -&gt; SATELLITEHUB_SONIPAT -&gt; CENTRALHUB_L_YKBX1</t>
  </si>
  <si>
    <t>CENTRALHUB_L_YKBX1 -&gt; SATELLITEHUB_PALWAL -&gt; SATELLITEHUB_ALGR -&gt; CENTRALHUB_L_YKBX1</t>
  </si>
  <si>
    <t>1440.0:1800.0:2295.0</t>
  </si>
  <si>
    <t>1620.0:1980.0</t>
  </si>
  <si>
    <t>720.0-0-0-5 hrs</t>
  </si>
  <si>
    <t>CENTRALHUB_L_YKBX1 -&gt; SATELLITEHUB_ALWAR -&gt; CENTRALHUB_L_YKBX1</t>
  </si>
  <si>
    <t>1800.0:2265.0</t>
  </si>
  <si>
    <t>780.0-0-0-5 hrs</t>
  </si>
  <si>
    <t>CENTRALHUB_L_YKBX1 -&gt; SATELLITEHUB_KNL1 -&gt; SATELLITEHUB_HWRF1 -&gt; CENTRALHUB_L_YKBX1</t>
  </si>
  <si>
    <t>1305.0:1800.0:2460.0</t>
  </si>
  <si>
    <t>1485.0:1980.0</t>
  </si>
  <si>
    <t>CENTRALHUB_L_YKBX1 -&gt; SATELLITEHUB_SHAMLI -&gt; SATELLITEHUB_MZN -&gt; SATELLITEHUB_BIJNOR -&gt; CENTRALHUB_L_YKBX1</t>
  </si>
  <si>
    <t>1215.0:1440.0:1800.0:2460.0</t>
  </si>
  <si>
    <t>1335.0:1620.0:1980.0</t>
  </si>
  <si>
    <t>CENTRALHUB_L_YKBX1 -&gt; SATELLITEHUB_ALGR -&gt; SATELLITEHUB_BULANDSHAHAR -&gt; CENTRALHUB_L_YKBX1</t>
  </si>
  <si>
    <t>1545.0:1800.0:2160.0</t>
  </si>
  <si>
    <t>1725.0:1980.0</t>
  </si>
  <si>
    <t>CENTRALHUB_L_YKBX1 -&gt; SATELLITEHUB_HLW1 -&gt; SATELLITEHUB_RUDRAPUR -&gt; CENTRALHUB_L_YKBX1</t>
  </si>
  <si>
    <t>1515.0:1800.0:2595.0</t>
  </si>
  <si>
    <t>CENTRALHUB_L_YKBX1 -&gt; SATELLITEHUB_MZN -&gt; SATELLITEHUB_HWRF1 -&gt; CENTRALHUB_L_YKBX1</t>
  </si>
  <si>
    <t>1470.0:1800.0:2460.0</t>
  </si>
  <si>
    <t>1650.0:1980.0</t>
  </si>
  <si>
    <t>810.0-0-0-5 hrs</t>
  </si>
  <si>
    <t>CENTRALHUB_L_YKBX1 -&gt; SATELLITEHUB_BULANDSHAHAR -&gt; SATELLITEHUB_SHAMLI -&gt; CENTRALHUB_L_YKBX1</t>
  </si>
  <si>
    <t>1320.0:1800.0:2205.0</t>
  </si>
  <si>
    <t>1500.0:1920.0</t>
  </si>
  <si>
    <t>870.0-0-0-5 hrs</t>
  </si>
  <si>
    <t>CENTRALHUB_L_YKBX1 -&gt; SATELLITEHUB_ALGR -&gt; CENTRALHUB_L_YKBX1</t>
  </si>
  <si>
    <t>1800.0:2295.0</t>
  </si>
  <si>
    <t>CENTRALHUB_L_YKBX1 -&gt; SATELLITEHUB_PANIPAT -&gt; CENTRALHUB_L_YKBX1</t>
  </si>
  <si>
    <t>1800.0:2220.0</t>
  </si>
  <si>
    <t>bearing</t>
  </si>
  <si>
    <t>bearing_group</t>
  </si>
  <si>
    <t>hubs_set</t>
  </si>
  <si>
    <t>{'SAT/UGR'}</t>
  </si>
  <si>
    <t>{'SAT/FKMAN'}</t>
  </si>
  <si>
    <t>CTL/PBI -&gt; SAT/UGR -&gt; SAT/FKMAN -&gt; CTL/PBI</t>
  </si>
  <si>
    <t>['SAT/UGR', 'SAT/FKMAN']</t>
  </si>
  <si>
    <t>{'SAT/FKMAN', 'SAT/UGR'}</t>
  </si>
  <si>
    <t>{'SAT/PALASHBARI'}</t>
  </si>
  <si>
    <t>CTL/PBI -&gt; SAT/PSG -&gt; CTL/PBI</t>
  </si>
  <si>
    <t>['SAT/PSG']</t>
  </si>
  <si>
    <t>{'SAT/PSG'}</t>
  </si>
  <si>
    <t>CTL/PBI -&gt; SAT/MJI1 -&gt; CTL/PBI</t>
  </si>
  <si>
    <t>['SAT/MJI1']</t>
  </si>
  <si>
    <t>{'SAT/MJI1'}</t>
  </si>
  <si>
    <t>{'SAT/MJI1', 'SAT/PSG'}</t>
  </si>
  <si>
    <t>CTL/PBI -&gt; SAT/FKDMC -&gt; CTL/PBI</t>
  </si>
  <si>
    <t>['SAT/FKDMC']</t>
  </si>
  <si>
    <t>{'SAT/FKDMC'}</t>
  </si>
  <si>
    <t>CTL/PBI -&gt; SAT/FKNLP -&gt; CTL/PBI</t>
  </si>
  <si>
    <t>['SAT/FKNLP']</t>
  </si>
  <si>
    <t>{'SAT/FKNLP'}</t>
  </si>
  <si>
    <t>{'SAT/FKNLP', 'SAT/FKDMC'}</t>
  </si>
  <si>
    <t>{'SAT/FKNHL'}</t>
  </si>
  <si>
    <t>{'SAT/FKTEZ'}</t>
  </si>
  <si>
    <t>{'SAT/FKNGAN'}</t>
  </si>
  <si>
    <t>CTL/PBI -&gt; SAT/FKTEZ -&gt; SAT/FKNGAN -&gt; CTL/PBI</t>
  </si>
  <si>
    <t>['SAT/FKTEZ', 'SAT/FKNGAN']</t>
  </si>
  <si>
    <t>{'SAT/FKNGAN', 'SAT/FKTEZ'}</t>
  </si>
  <si>
    <t>{'SAT/DIBRUGARH'}</t>
  </si>
  <si>
    <t>CTL/PBI -&gt; SAT/DIG -&gt; CTL/PBI</t>
  </si>
  <si>
    <t>['SAT/DIG']</t>
  </si>
  <si>
    <t>{'SAT/DIG'}</t>
  </si>
  <si>
    <t>CTL/PBI -&gt; SAT/FKTSK -&gt; CTL/PBI</t>
  </si>
  <si>
    <t>['SAT/FKTSK']</t>
  </si>
  <si>
    <t>{'SAT/FKTSK'}</t>
  </si>
  <si>
    <t>CTL/PBI -&gt; SAT/DIBRUGARH -&gt; SAT/DIG -&gt; CTL/PBI</t>
  </si>
  <si>
    <t>['SAT/DIBRUGARH', 'SAT/DIG']</t>
  </si>
  <si>
    <t>{'SAT/DIG', 'SAT/DIBRUGARH'}</t>
  </si>
  <si>
    <t>CTL/PBI -&gt; SAT/DIBRUGARH -&gt; SAT/FKTSK -&gt; CTL/PBI</t>
  </si>
  <si>
    <t>['SAT/DIBRUGARH', 'SAT/FKTSK']</t>
  </si>
  <si>
    <t>{'SAT/DIBRUGARH', 'SAT/FKTSK'}</t>
  </si>
  <si>
    <t>{'SAT/DIG', 'SAT/FKTSK'}</t>
  </si>
  <si>
    <t>CTL/PBI -&gt; SAT/DIBRUGARH -&gt; SAT/DIG -&gt; SAT/FKTSK -&gt; CTL/PBI</t>
  </si>
  <si>
    <t>['SAT/DIBRUGARH', 'SAT/DIG', 'SAT/FKTSK']</t>
  </si>
  <si>
    <t>{'SAT/DIG', 'SAT/DIBRUGARH', 'SAT/FKTSK'}</t>
  </si>
  <si>
    <t>CTL/PBI -&gt; SAT/MNT1 -&gt; CTL/PBI</t>
  </si>
  <si>
    <t>['SAT/MNT1']</t>
  </si>
  <si>
    <t>{'SAT/MNT1'}</t>
  </si>
  <si>
    <t>CTL/PBI -&gt; SAT/RJH2 -&gt; CTL/PBI</t>
  </si>
  <si>
    <t>['SAT/RJH2']</t>
  </si>
  <si>
    <t>{'SAT/RJH2'}</t>
  </si>
  <si>
    <t>CTL/PBI -&gt; SAT/FKSRN -&gt; CTL/PBI</t>
  </si>
  <si>
    <t>['SAT/FKSRN']</t>
  </si>
  <si>
    <t>{'SAT/FKSRN'}</t>
  </si>
  <si>
    <t>CTL/PBI -&gt; SAT/MNT1 -&gt; SAT/RJH2 -&gt; CTL/PBI</t>
  </si>
  <si>
    <t>['SAT/MNT1', 'SAT/RJH2']</t>
  </si>
  <si>
    <t>{'SAT/MNT1', 'SAT/RJH2'}</t>
  </si>
  <si>
    <t>CTL/PBI -&gt; SAT/MNT1 -&gt; SAT/FKSRN -&gt; CTL/PBI</t>
  </si>
  <si>
    <t>['SAT/MNT1', 'SAT/FKSRN']</t>
  </si>
  <si>
    <t>{'SAT/MNT1', 'SAT/FKSRN'}</t>
  </si>
  <si>
    <t>CTL/PBI -&gt; SAT/RJH2 -&gt; SAT/FKSRN -&gt; CTL/PBI</t>
  </si>
  <si>
    <t>['SAT/RJH2', 'SAT/FKSRN']</t>
  </si>
  <si>
    <t>{'SAT/RJH2', 'SAT/FKSRN'}</t>
  </si>
  <si>
    <t>{'SAT/MNT1', 'SAT/RJH2', 'SAT/FKSRN'}</t>
  </si>
  <si>
    <t>{'SAT/FKJOR'}</t>
  </si>
  <si>
    <t>CTL/PBI -&gt; SAT/BKK1 -&gt; CTL/PBI</t>
  </si>
  <si>
    <t>['SAT/BKK1']</t>
  </si>
  <si>
    <t>{'SAT/BKK1'}</t>
  </si>
  <si>
    <t>CTL/PBI -&gt; SAT/SRU -&gt; CTL/PBI</t>
  </si>
  <si>
    <t>['SAT/SRU']</t>
  </si>
  <si>
    <t>{'SAT/SRU'}</t>
  </si>
  <si>
    <t>{'SAT/BKK1', 'SAT/SRU'}</t>
  </si>
  <si>
    <t>{'SAT/Hatigaon'}</t>
  </si>
  <si>
    <t>{'SAT/MOKO'}</t>
  </si>
  <si>
    <t>{'SAT/GUW2'}</t>
  </si>
  <si>
    <t>{'SAT/GUW'}</t>
  </si>
  <si>
    <t>CTL/PBI -&gt; SAT/DMP -&gt; CTL/PBI</t>
  </si>
  <si>
    <t>['SAT/DMP']</t>
  </si>
  <si>
    <t>{'SAT/DMP'}</t>
  </si>
  <si>
    <t>CTL/PBI -&gt; SAT/KMA -&gt; CTL/PBI</t>
  </si>
  <si>
    <t>['SAT/KMA']</t>
  </si>
  <si>
    <t>{'SAT/KMA'}</t>
  </si>
  <si>
    <t>{'SAT/DMP', 'SAT/KMA'}</t>
  </si>
  <si>
    <t>CTL/PBI -&gt; SAT/FKHJI -&gt; CTL/PBI</t>
  </si>
  <si>
    <t>['SAT/FKHJI']</t>
  </si>
  <si>
    <t>{'SAT/FKHJI'}</t>
  </si>
  <si>
    <t>CTL/PBI -&gt; SAT/DPU -&gt; CTL/PBI</t>
  </si>
  <si>
    <t>['SAT/DPU']</t>
  </si>
  <si>
    <t>{'SAT/DPU'}</t>
  </si>
  <si>
    <t>{'SAT/FKHJI', 'SAT/DPU'}</t>
  </si>
  <si>
    <t>{'SAT/MGN'}</t>
  </si>
  <si>
    <t>{'SAT/HLF'}</t>
  </si>
  <si>
    <t>{'SAT/IMPAL'}</t>
  </si>
  <si>
    <t>{'SAT/JNH'}</t>
  </si>
  <si>
    <t>CTL/PBI -&gt; SAT/FKSIL -&gt; CTL/PBI</t>
  </si>
  <si>
    <t>['SAT/FKSIL']</t>
  </si>
  <si>
    <t>{'SAT/FKSIL'}</t>
  </si>
  <si>
    <t>CTL/PBI -&gt; SAT/HKD -&gt; CTL/PBI</t>
  </si>
  <si>
    <t>['SAT/HKD']</t>
  </si>
  <si>
    <t>{'SAT/HKD'}</t>
  </si>
  <si>
    <t>{'SAT/HKD', 'SAT/FKSIL'}</t>
  </si>
  <si>
    <t>CTL/PBI -&gt; SAT/BDPR1 -&gt; CTL/PBI</t>
  </si>
  <si>
    <t>['SAT/BDPR1']</t>
  </si>
  <si>
    <t>{'SAT/BDPR1'}</t>
  </si>
  <si>
    <t>CTL/PBI -&gt; SAT/FKKXJ -&gt; CTL/PBI</t>
  </si>
  <si>
    <t>['SAT/FKKXJ']</t>
  </si>
  <si>
    <t>{'SAT/FKKXJ'}</t>
  </si>
  <si>
    <t>{'SAT/FKKXJ', 'SAT/BDPR1'}</t>
  </si>
  <si>
    <t>{'SAT/FKSHL'}</t>
  </si>
  <si>
    <t>{'SAT/AJL'}</t>
  </si>
  <si>
    <t>{'SAT/FKPSG'}</t>
  </si>
  <si>
    <t>CTL/PBI -&gt; SAT/TLM -&gt; CTL/PBI</t>
  </si>
  <si>
    <t>['SAT/TLM']</t>
  </si>
  <si>
    <t>{'SAT/TLM'}</t>
  </si>
  <si>
    <t>CTL/PBI -&gt; SAT/UDAIPUR -&gt; CTL/PBI</t>
  </si>
  <si>
    <t>['SAT/UDAIPUR']</t>
  </si>
  <si>
    <t>{'SAT/UDAIPUR'}</t>
  </si>
  <si>
    <t>CTL/PBI -&gt; SAT/FKPSG -&gt; SAT/TLM -&gt; CTL/PBI</t>
  </si>
  <si>
    <t>['SAT/FKPSG', 'SAT/TLM']</t>
  </si>
  <si>
    <t>{'SAT/TLM', 'SAT/FKPSG'}</t>
  </si>
  <si>
    <t>CTL/PBI -&gt; SAT/UDAIPUR -&gt; SAT/FKPSG -&gt; CTL/PBI</t>
  </si>
  <si>
    <t>['SAT/UDAIPUR', 'SAT/FKPSG']</t>
  </si>
  <si>
    <t>{'SAT/UDAIPUR', 'SAT/FKPSG'}</t>
  </si>
  <si>
    <t>{'SAT/UDAIPUR', 'SAT/TLM'}</t>
  </si>
  <si>
    <t>CTL/PBI -&gt; SAT/TLM -&gt; SAT/UDAIPUR -&gt; SAT/FKPSG -&gt; CTL/PBI</t>
  </si>
  <si>
    <t>['SAT/TLM', 'SAT/UDAIPUR', 'SAT/FKPSG']</t>
  </si>
  <si>
    <t>{'SAT/UDAIPUR', 'SAT/TLM', 'SAT/FKPSG'}</t>
  </si>
  <si>
    <t>{'SAT/FKIXA'}</t>
  </si>
  <si>
    <t>{'SAT/BOKO'}</t>
  </si>
  <si>
    <t>{'SAT/FKGLPT'}</t>
  </si>
  <si>
    <t>['SAT/BOKO', 'SAT/FKGLPT']</t>
  </si>
  <si>
    <t>{'SAT/BOKO', 'SAT/FKGLPT'}</t>
  </si>
  <si>
    <t>{'SAT/HSG'}</t>
  </si>
  <si>
    <t>CTL/PBI -&gt; SAT/DBI1 -&gt; CTL/PBI</t>
  </si>
  <si>
    <t>['SAT/DBI1']</t>
  </si>
  <si>
    <t>{'SAT/DBI1'}</t>
  </si>
  <si>
    <t>CTL/PBI -&gt; SAT/HBL1 -&gt; CTL/PBI</t>
  </si>
  <si>
    <t>['SAT/HBL1']</t>
  </si>
  <si>
    <t>{'SAT/HBL1'}</t>
  </si>
  <si>
    <t>{'SAT/DBI1', 'SAT/HBL1'}</t>
  </si>
  <si>
    <t>CTL/PBI -&gt; SAT/FKCOB -&gt; CTL/PBI</t>
  </si>
  <si>
    <t>['SAT/FKCOB']</t>
  </si>
  <si>
    <t>{'SAT/FKCOB'}</t>
  </si>
  <si>
    <t>CTL/PBI -&gt; SAT/COB1 -&gt; CTL/PBI</t>
  </si>
  <si>
    <t>['SAT/COB1']</t>
  </si>
  <si>
    <t>{'SAT/COB1'}</t>
  </si>
  <si>
    <t>{'SAT/FKCOB', 'SAT/COB1'}</t>
  </si>
  <si>
    <t>{'SAT/FKBON'}</t>
  </si>
  <si>
    <t>{'SAT/FKBPRD'}</t>
  </si>
  <si>
    <t>CTL/PBI -&gt; SAT/FKBON -&gt; SAT/FKBPRD -&gt; CTL/PBI</t>
  </si>
  <si>
    <t>['SAT/FKBON', 'SAT/FKBPRD']</t>
  </si>
  <si>
    <t>{'SAT/FKBON', 'SAT/FKBPRD'}</t>
  </si>
  <si>
    <t>CTL/PBI -&gt; SAT/NLV1 -&gt; CTL/PBI</t>
  </si>
  <si>
    <t>['SAT/NLV1']</t>
  </si>
  <si>
    <t>{'SAT/NLV1'}</t>
  </si>
  <si>
    <t>CTL/PBI -&gt; SAT/FKNLV -&gt; CTL/PBI</t>
  </si>
  <si>
    <t>['SAT/FKNLV']</t>
  </si>
  <si>
    <t>{'SAT/FKNLV'}</t>
  </si>
  <si>
    <t>{'SAT/FKNLV', 'SAT/NLV1'}</t>
  </si>
  <si>
    <t>New Fleet Size</t>
  </si>
  <si>
    <t>source_hub</t>
  </si>
  <si>
    <t>COC code</t>
  </si>
  <si>
    <t>15.0-0-0-5 hrs</t>
  </si>
  <si>
    <t>CTL/KOL5 -&gt; SATELLITEHUB_FKBGT -&gt; SATELLITEHUB_FKRNG -&gt; CTL/KOL5</t>
  </si>
  <si>
    <t>1335.0:1800.0:2835.0</t>
  </si>
  <si>
    <t>1515.0:1980.0</t>
  </si>
  <si>
    <t>AgartalaTCHub_AGA</t>
  </si>
  <si>
    <t>IXA/AGA</t>
  </si>
  <si>
    <t>CTL/KOL5 -&gt; SATELLITEHUB_FKSUT -&gt; Satellitehub_MLDH -&gt; SATELLITEHUB_FKMLD -&gt; CTL/KOL5</t>
  </si>
  <si>
    <t>1155.0:1545.0:1800.0:2670.0</t>
  </si>
  <si>
    <t>1335.0:1725.0:1980.0</t>
  </si>
  <si>
    <t>HassanTcHub_HSN</t>
  </si>
  <si>
    <t>IXE/HTC</t>
  </si>
  <si>
    <t>CTL/KOL5 -&gt; SATELLITEHUB_FKASL -&gt; SATELLITEHUB_FKPRR -&gt; SATELLITEHUB_FKBQA -&gt; CTL/KOL5</t>
  </si>
  <si>
    <t>975.0:1395.0:1800.0:2355.0</t>
  </si>
  <si>
    <t>1155.0:1575.0:1980.0</t>
  </si>
  <si>
    <t>Motherhub_ABD</t>
  </si>
  <si>
    <t>AHD/ABD</t>
  </si>
  <si>
    <t>CTL/KOL5 -&gt; SATELLITEHUB_KWA -&gt; SATELLITEHUB_FKBRM -&gt; SATELLITEHUB_BRM2 -&gt; CTL/KOL5</t>
  </si>
  <si>
    <t>1155.0:1575.0:1800.0:2370.0</t>
  </si>
  <si>
    <t>1335.0:1755.0:1980.0</t>
  </si>
  <si>
    <t>Motherhub_ANJ</t>
  </si>
  <si>
    <t>BLR/ANJ</t>
  </si>
  <si>
    <t>CTL/KOL5 -&gt; SATELLITEHUB_DGPR -&gt; SATELLITEHUB_DGPR6 -&gt; SATELLITEHUB_FKSNT -&gt; CTL/KOL5</t>
  </si>
  <si>
    <t>1110.0:1350.0:1800.0:2430.0</t>
  </si>
  <si>
    <t>1290.0:1530.0:1980.0</t>
  </si>
  <si>
    <t>MotherHub_BLR</t>
  </si>
  <si>
    <t>BLR/BLR</t>
  </si>
  <si>
    <t>CTL/KOL5 -&gt; SATELLITEHUB_FKCNT -&gt; SATELLITEHUB_KGP -&gt; Satellitehub_GHTL -&gt; CTL/KOL5</t>
  </si>
  <si>
    <t>1095.0:1485.0:1800.0:2205.0</t>
  </si>
  <si>
    <t>1275.0:1665.0:1980.0</t>
  </si>
  <si>
    <t>Motherhub_BTS</t>
  </si>
  <si>
    <t>BOM/BTS</t>
  </si>
  <si>
    <t>30.0-0-0-5 hrs</t>
  </si>
  <si>
    <t>CTL/KOL5 -&gt; SATELLITEHUB_KRP -&gt; CTL/KOL5</t>
  </si>
  <si>
    <t>MotherHub_CHG</t>
  </si>
  <si>
    <t>RAI/CHG</t>
  </si>
  <si>
    <t>CTL/KOL5 -&gt; SATELLITEHUB_FKABG -&gt; Satellitehub_Bolpur -&gt; SATELLITEHUB_BWN6 -&gt; CTL/KOL5</t>
  </si>
  <si>
    <t>1005.0:1470.0:1800.0:2235.0</t>
  </si>
  <si>
    <t>1185.0:1650.0:1980.0</t>
  </si>
  <si>
    <t>MotherHub_CJB</t>
  </si>
  <si>
    <t>CJB/CJB</t>
  </si>
  <si>
    <t>CTL/KOL5 -&gt; SATELLITEHUB_FKHLZ -&gt; Satellitehub_MDN -&gt; SATELLITEHUB_FKPKU -&gt; CTL/KOL5</t>
  </si>
  <si>
    <t>1230.0:1530.0:1800.0:2235.0</t>
  </si>
  <si>
    <t>1410.0:1710.0:1980.0</t>
  </si>
  <si>
    <t>MotherHub_COK</t>
  </si>
  <si>
    <t>COK/KRL</t>
  </si>
  <si>
    <t>CTL/KOL5 -&gt; SATELLITEHUB_FKBWN -&gt; SATELLITEHUB_FKKNG -&gt; Satellitehub_KNGH -&gt; CTL/KOL5</t>
  </si>
  <si>
    <t>960.0:1440.0:1800.0:2160.0</t>
  </si>
  <si>
    <t>1140.0:1620.0:1980.0</t>
  </si>
  <si>
    <t>MotherHub_CSK</t>
  </si>
  <si>
    <t>CHN/CSK</t>
  </si>
  <si>
    <t>Motherhub_CUT</t>
  </si>
  <si>
    <t>BHU/CUT</t>
  </si>
  <si>
    <t>Motherhub_DIC</t>
  </si>
  <si>
    <t>DEL/DIC</t>
  </si>
  <si>
    <t>MotherHub_FRK</t>
  </si>
  <si>
    <t>FRK/FRK</t>
  </si>
  <si>
    <t>Motherhub_GGN</t>
  </si>
  <si>
    <t>FRK/GGN</t>
  </si>
  <si>
    <t>MotherHub_HJR</t>
  </si>
  <si>
    <t>PAT/HJR</t>
  </si>
  <si>
    <t>Motherhub_HRN</t>
  </si>
  <si>
    <t>KOL/HRN</t>
  </si>
  <si>
    <t>Motherhub_Hub</t>
  </si>
  <si>
    <t>HUB/HUB</t>
  </si>
  <si>
    <t>MotherHub_HYP</t>
  </si>
  <si>
    <t>HYD/HYP</t>
  </si>
  <si>
    <t>Motherhub_IDO_BTS</t>
  </si>
  <si>
    <t>IDO/BTS</t>
  </si>
  <si>
    <t>Motherhub_JAI_BTS</t>
  </si>
  <si>
    <t>JAI/BTS</t>
  </si>
  <si>
    <t>GUR/JJH</t>
  </si>
  <si>
    <t>Motherhub_JKS</t>
  </si>
  <si>
    <t>DEL/JKS</t>
  </si>
  <si>
    <t>LKO/BTS</t>
  </si>
  <si>
    <t>Motherhub_LUH</t>
  </si>
  <si>
    <t>LUH/LUH</t>
  </si>
  <si>
    <t>Motherhub_MAL</t>
  </si>
  <si>
    <t>BLR/MLR</t>
  </si>
  <si>
    <t>MotherHub_MED</t>
  </si>
  <si>
    <t>HYD/MED</t>
  </si>
  <si>
    <t>MotherHub_NAG_BTS</t>
  </si>
  <si>
    <t>NAG/BTS</t>
  </si>
  <si>
    <t>Motherhub_PLS</t>
  </si>
  <si>
    <t>GAU/PLS</t>
  </si>
  <si>
    <t>MotherHub_PUNE</t>
  </si>
  <si>
    <t>PNQ/PNQ</t>
  </si>
  <si>
    <t>Motherhub_RAC</t>
  </si>
  <si>
    <t>RAC/RAC</t>
  </si>
  <si>
    <t>Motherhub_SAI_4</t>
  </si>
  <si>
    <t>MUM/SAI4</t>
  </si>
  <si>
    <t>MotherHub_SIL</t>
  </si>
  <si>
    <t>BAG/SIL</t>
  </si>
  <si>
    <t>MotherHub_STV</t>
  </si>
  <si>
    <t>SUR/SUR</t>
  </si>
  <si>
    <t>MotherHub_STV_BTS</t>
  </si>
  <si>
    <t>SUR/BTS</t>
  </si>
  <si>
    <t>Motherhub_ULB</t>
  </si>
  <si>
    <t>CCU/ULB</t>
  </si>
  <si>
    <t>Motherhub_VJN</t>
  </si>
  <si>
    <t>VIJ/VJN</t>
  </si>
  <si>
    <t>Motherhub_VNI_BTS</t>
  </si>
  <si>
    <t>VNI/BTS</t>
  </si>
  <si>
    <t>MotherHub_YKB</t>
  </si>
  <si>
    <t>DEL/YKB</t>
  </si>
  <si>
    <t>VizagTcHub_VTZ</t>
  </si>
  <si>
    <t>RJA/VTC</t>
  </si>
  <si>
    <t>CTL/KOL5 -&gt; SATELLITEHUB_KRP -&gt; SATELLITEHUB_FKABG -&gt; CTL/KOL5</t>
  </si>
  <si>
    <t>1395.0:1800.0:2190.0</t>
  </si>
  <si>
    <t>CTL/KOL5 -&gt; SATELLITEHUB_FKBWN -&gt; Satellitehub_Bolpur -&gt; SATELLITEHUB_BWN6 -&gt; CTL/KOL5</t>
  </si>
  <si>
    <t>1095.0:1470.0:1800.0:2235.0</t>
  </si>
  <si>
    <t>1275.0:1650.0:1980.0</t>
  </si>
  <si>
    <t>CTL/KOL5 -&gt; SATELLITEHUB_FKKNG -&gt; Satellitehub_KNGH -&gt; CTL/KOL5</t>
  </si>
  <si>
    <t>1440.0:1800.0:2160.0</t>
  </si>
  <si>
    <t>location 1</t>
  </si>
  <si>
    <t>location 2</t>
  </si>
  <si>
    <t>distance (km)</t>
  </si>
  <si>
    <t>Data_Found</t>
  </si>
  <si>
    <t>SAT/TUDP</t>
  </si>
  <si>
    <t>CTL/IXA3X</t>
  </si>
  <si>
    <t>CTL/AJLX</t>
  </si>
  <si>
    <t>travel_time (minutes)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</si>
</sst>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#,##0.0"/>
    <numFmt numFmtId="166" formatCode="#,##0.000"/>
    <numFmt numFmtId="167" formatCode="d-mmm-yy"/>
  </numFmts>
  <fonts count="5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9.0"/>
      <color theme="1"/>
      <name val="Calibri"/>
    </font>
    <font>
      <sz val="9.0"/>
      <color theme="1"/>
      <name val="Arial"/>
    </font>
    <font>
      <sz val="11.0"/>
      <color theme="1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sz val="9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sz val="8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1155CC"/>
      <name val="Calibri"/>
    </font>
    <font>
      <sz val="11.0"/>
      <color rgb="FFB10202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sz val="9.0"/>
      <color rgb="FF000000"/>
      <name val="Calibri"/>
    </font>
    <font>
      <sz val="8.0"/>
      <color rgb="FF000000"/>
      <name val="Calibri"/>
    </font>
    <font>
      <sz val="8.0"/>
      <color rgb="FF000000"/>
      <name val="&quot;Liberation Sans&quot;"/>
    </font>
    <font>
      <sz val="8.0"/>
      <color rgb="FF000000"/>
      <name val="Arial"/>
    </font>
    <font>
      <sz val="8.0"/>
      <color rgb="FFB10202"/>
      <name val="Calibri"/>
    </font>
    <font>
      <sz val="11.0"/>
      <color rgb="FF3A367A"/>
      <name val="Cambria"/>
    </font>
    <font>
      <sz val="8.0"/>
      <color rgb="FF000000"/>
      <name val="&quot;Liberation Serif&quot;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Roboto"/>
    </font>
    <font>
      <u/>
      <color rgb="FF1155CC"/>
      <name val="Arial"/>
    </font>
    <font>
      <color rgb="FF000000"/>
      <name val="Calibri"/>
    </font>
    <font>
      <u/>
      <color rgb="FF1155CC"/>
      <name val="Arial"/>
    </font>
    <font>
      <i/>
      <sz val="11.0"/>
      <color rgb="FF3C4043"/>
      <name val="Calibri"/>
    </font>
    <font>
      <sz val="11.0"/>
      <color rgb="FF000000"/>
      <name val="Arial"/>
    </font>
    <font>
      <sz val="11.0"/>
      <color rgb="FF222222"/>
      <name val="Calibri"/>
    </font>
    <font>
      <u/>
      <sz val="11.0"/>
      <color rgb="FF1155CC"/>
      <name val="Roboto"/>
    </font>
    <font>
      <u/>
      <color rgb="FF1155CC"/>
      <name val="Roboto"/>
    </font>
    <font>
      <u/>
      <color rgb="FF1155CC"/>
      <name val="Roboto"/>
    </font>
    <font>
      <u/>
      <sz val="11.0"/>
      <color rgb="FF1155CC"/>
      <name val="Arial"/>
    </font>
    <font>
      <sz val="11.0"/>
      <color rgb="FF212B39"/>
      <name val="Roboto"/>
    </font>
    <font>
      <u/>
      <sz val="11.0"/>
      <color rgb="FF1155CC"/>
      <name val="Roboto"/>
    </font>
    <font>
      <u/>
      <sz val="9.0"/>
      <color rgb="FF1155CC"/>
      <name val="Roboto"/>
    </font>
    <font>
      <sz val="11.0"/>
      <color rgb="FF000000"/>
      <name val="Roboto"/>
    </font>
    <font>
      <u/>
      <sz val="9.0"/>
      <color rgb="FF1155CC"/>
      <name val="Roboto"/>
    </font>
    <font>
      <u/>
      <sz val="9.0"/>
      <color rgb="FF1155CC"/>
      <name val="Arial"/>
    </font>
    <font>
      <u/>
      <sz val="9.0"/>
      <color rgb="FF1155CC"/>
      <name val="Arial"/>
    </font>
    <font>
      <color rgb="FF212B39"/>
      <name val="Calibri"/>
    </font>
    <font>
      <sz val="11.0"/>
      <color rgb="FF212B39"/>
      <name val="Calibri"/>
    </font>
    <font>
      <sz val="11.0"/>
      <color rgb="FF000000"/>
      <name val="&quot;Aptos Narrow&quot;"/>
    </font>
    <font>
      <u/>
      <sz val="11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1" fillId="0" fontId="4" numFmtId="164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2" fontId="3" numFmtId="164" xfId="0" applyAlignment="1" applyBorder="1" applyFont="1" applyNumberFormat="1">
      <alignment vertical="bottom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left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3" fontId="8" numFmtId="165" xfId="0" applyAlignment="1" applyFill="1" applyFont="1" applyNumberFormat="1">
      <alignment horizontal="center" readingOrder="0" vertical="bottom"/>
    </xf>
    <xf borderId="0" fillId="0" fontId="8" numFmtId="166" xfId="0" applyAlignment="1" applyFont="1" applyNumberFormat="1">
      <alignment horizontal="center" readingOrder="0" vertical="bottom"/>
    </xf>
    <xf borderId="0" fillId="0" fontId="8" numFmtId="4" xfId="0" applyAlignment="1" applyFont="1" applyNumberFormat="1">
      <alignment horizontal="center" readingOrder="0" vertical="bottom"/>
    </xf>
    <xf borderId="0" fillId="0" fontId="8" numFmtId="165" xfId="0" applyAlignment="1" applyFont="1" applyNumberFormat="1">
      <alignment horizontal="center" vertical="bottom"/>
    </xf>
    <xf borderId="0" fillId="0" fontId="8" numFmtId="165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165" xfId="0" applyAlignment="1" applyFont="1" applyNumberFormat="1">
      <alignment horizontal="center"/>
    </xf>
    <xf borderId="0" fillId="0" fontId="8" numFmtId="165" xfId="0" applyAlignment="1" applyFont="1" applyNumberFormat="1">
      <alignment horizontal="center"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8" numFmtId="4" xfId="0" applyAlignment="1" applyFont="1" applyNumberFormat="1">
      <alignment horizontal="center" readingOrder="0"/>
    </xf>
    <xf borderId="0" fillId="0" fontId="9" numFmtId="1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4" fontId="10" numFmtId="0" xfId="0" applyAlignment="1" applyFill="1" applyFont="1">
      <alignment readingOrder="0"/>
    </xf>
    <xf borderId="0" fillId="4" fontId="2" numFmtId="0" xfId="0" applyAlignment="1" applyFont="1">
      <alignment readingOrder="0" vertical="bottom"/>
    </xf>
    <xf borderId="0" fillId="4" fontId="2" numFmtId="4" xfId="0" applyAlignment="1" applyFont="1" applyNumberFormat="1">
      <alignment vertical="bottom"/>
    </xf>
    <xf borderId="0" fillId="4" fontId="2" numFmtId="0" xfId="0" applyAlignment="1" applyFont="1">
      <alignment vertical="bottom"/>
    </xf>
    <xf borderId="0" fillId="4" fontId="9" numFmtId="0" xfId="0" applyAlignment="1" applyFont="1">
      <alignment readingOrder="0"/>
    </xf>
    <xf borderId="0" fillId="4" fontId="9" numFmtId="0" xfId="0" applyFont="1"/>
    <xf borderId="0" fillId="4" fontId="9" numFmtId="1" xfId="0" applyAlignment="1" applyFont="1" applyNumberFormat="1">
      <alignment readingOrder="0"/>
    </xf>
    <xf borderId="0" fillId="4" fontId="9" numFmtId="4" xfId="0" applyAlignment="1" applyFont="1" applyNumberFormat="1">
      <alignment readingOrder="0"/>
    </xf>
    <xf borderId="0" fillId="4" fontId="9" numFmtId="0" xfId="0" applyAlignment="1" applyFont="1">
      <alignment readingOrder="0"/>
    </xf>
    <xf borderId="0" fillId="4" fontId="9" numFmtId="10" xfId="0" applyFont="1" applyNumberFormat="1"/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horizontal="right" readingOrder="0" vertical="bottom"/>
    </xf>
    <xf borderId="0" fillId="3" fontId="2" numFmtId="1" xfId="0" applyAlignment="1" applyFont="1" applyNumberFormat="1">
      <alignment readingOrder="0" vertical="bottom"/>
    </xf>
    <xf borderId="0" fillId="3" fontId="2" numFmtId="4" xfId="0" applyAlignment="1" applyFont="1" applyNumberFormat="1">
      <alignment horizontal="right" readingOrder="0" vertical="bottom"/>
    </xf>
    <xf borderId="0" fillId="3" fontId="2" numFmtId="0" xfId="0" applyAlignment="1" applyFont="1">
      <alignment horizontal="right" readingOrder="0" vertical="bottom"/>
    </xf>
    <xf borderId="0" fillId="3" fontId="2" numFmtId="4" xfId="0" applyAlignment="1" applyFont="1" applyNumberFormat="1">
      <alignment readingOrder="0" vertical="bottom"/>
    </xf>
    <xf borderId="0" fillId="3" fontId="11" numFmtId="0" xfId="0" applyAlignment="1" applyFont="1">
      <alignment readingOrder="0" shrinkToFit="0" wrapText="0"/>
    </xf>
    <xf borderId="0" fillId="3" fontId="11" numFmtId="0" xfId="0" applyAlignment="1" applyFont="1">
      <alignment horizontal="right" readingOrder="0" shrinkToFit="0" wrapText="0"/>
    </xf>
    <xf borderId="0" fillId="3" fontId="11" numFmtId="0" xfId="0" applyAlignment="1" applyFont="1">
      <alignment readingOrder="0" shrinkToFit="0" vertical="bottom" wrapText="0"/>
    </xf>
    <xf borderId="1" fillId="5" fontId="12" numFmtId="0" xfId="0" applyAlignment="1" applyBorder="1" applyFill="1" applyFont="1">
      <alignment horizontal="center" readingOrder="0" vertical="top"/>
    </xf>
    <xf borderId="2" fillId="6" fontId="12" numFmtId="0" xfId="0" applyAlignment="1" applyBorder="1" applyFill="1" applyFont="1">
      <alignment horizontal="center" readingOrder="0" vertical="top"/>
    </xf>
    <xf borderId="2" fillId="7" fontId="12" numFmtId="0" xfId="0" applyAlignment="1" applyBorder="1" applyFill="1" applyFont="1">
      <alignment horizontal="center" readingOrder="0" vertical="top"/>
    </xf>
    <xf borderId="2" fillId="8" fontId="12" numFmtId="0" xfId="0" applyAlignment="1" applyBorder="1" applyFill="1" applyFont="1">
      <alignment horizontal="center" readingOrder="0" vertical="top"/>
    </xf>
    <xf borderId="2" fillId="9" fontId="12" numFmtId="0" xfId="0" applyAlignment="1" applyBorder="1" applyFill="1" applyFont="1">
      <alignment horizontal="center" readingOrder="0" vertical="top"/>
    </xf>
    <xf borderId="2" fillId="10" fontId="12" numFmtId="0" xfId="0" applyAlignment="1" applyBorder="1" applyFill="1" applyFont="1">
      <alignment horizontal="center" readingOrder="0" vertical="top"/>
    </xf>
    <xf borderId="2" fillId="11" fontId="12" numFmtId="0" xfId="0" applyAlignment="1" applyBorder="1" applyFill="1" applyFont="1">
      <alignment horizontal="center" readingOrder="0" vertical="top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readingOrder="0" vertical="top"/>
    </xf>
    <xf borderId="0" fillId="0" fontId="14" numFmtId="0" xfId="0" applyAlignment="1" applyFont="1">
      <alignment vertical="top"/>
    </xf>
    <xf borderId="0" fillId="0" fontId="14" numFmtId="0" xfId="0" applyAlignment="1" applyFont="1">
      <alignment readingOrder="0" shrinkToFit="0" vertical="bottom" wrapText="0"/>
    </xf>
    <xf borderId="3" fillId="3" fontId="14" numFmtId="167" xfId="0" applyAlignment="1" applyBorder="1" applyFont="1" applyNumberFormat="1">
      <alignment horizontal="center" readingOrder="0" shrinkToFit="0" vertical="bottom" wrapText="0"/>
    </xf>
    <xf borderId="4" fillId="0" fontId="14" numFmtId="0" xfId="0" applyAlignment="1" applyBorder="1" applyFont="1">
      <alignment horizontal="center" readingOrder="0" shrinkToFit="0" vertical="bottom" wrapText="0"/>
    </xf>
    <xf borderId="4" fillId="3" fontId="14" numFmtId="167" xfId="0" applyAlignment="1" applyBorder="1" applyFont="1" applyNumberFormat="1">
      <alignment horizontal="center" readingOrder="0" shrinkToFit="0" vertical="bottom" wrapText="0"/>
    </xf>
    <xf borderId="4" fillId="0" fontId="15" numFmtId="0" xfId="0" applyAlignment="1" applyBorder="1" applyFont="1">
      <alignment horizontal="left" readingOrder="0" shrinkToFit="0" vertical="bottom" wrapText="0"/>
    </xf>
    <xf borderId="4" fillId="3" fontId="11" numFmtId="0" xfId="0" applyAlignment="1" applyBorder="1" applyFont="1">
      <alignment shrinkToFit="0" vertical="bottom" wrapText="0"/>
    </xf>
    <xf borderId="4" fillId="3" fontId="14" numFmtId="0" xfId="0" applyAlignment="1" applyBorder="1" applyFont="1">
      <alignment horizontal="center"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12" fontId="14" numFmtId="0" xfId="0" applyAlignment="1" applyBorder="1" applyFill="1" applyFont="1">
      <alignment horizontal="center" readingOrder="0" shrinkToFit="0" vertical="bottom" wrapText="0"/>
    </xf>
    <xf borderId="4" fillId="3" fontId="14" numFmtId="4" xfId="0" applyAlignment="1" applyBorder="1" applyFont="1" applyNumberFormat="1">
      <alignment horizontal="center" readingOrder="0" shrinkToFit="0" vertical="bottom" wrapText="0"/>
    </xf>
    <xf borderId="4" fillId="8" fontId="11" numFmtId="0" xfId="0" applyAlignment="1" applyBorder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4" fillId="3" fontId="17" numFmtId="0" xfId="0" applyAlignment="1" applyBorder="1" applyFont="1">
      <alignment horizontal="left" readingOrder="0" shrinkToFit="0" vertical="bottom" wrapText="0"/>
    </xf>
    <xf borderId="4" fillId="12" fontId="18" numFmtId="0" xfId="0" applyAlignment="1" applyBorder="1" applyFont="1">
      <alignment horizontal="left" readingOrder="0" shrinkToFit="0" vertical="bottom" wrapText="0"/>
    </xf>
    <xf borderId="4" fillId="3" fontId="14" numFmtId="9" xfId="0" applyAlignment="1" applyBorder="1" applyFont="1" applyNumberFormat="1">
      <alignment horizontal="center" readingOrder="0" shrinkToFit="0" vertical="bottom" wrapText="0"/>
    </xf>
    <xf borderId="4" fillId="8" fontId="14" numFmtId="0" xfId="0" applyAlignment="1" applyBorder="1" applyFont="1">
      <alignment horizontal="center" readingOrder="0" shrinkToFit="0" vertical="bottom" wrapText="0"/>
    </xf>
    <xf borderId="4" fillId="3" fontId="14" numFmtId="11" xfId="0" applyAlignment="1" applyBorder="1" applyFont="1" applyNumberFormat="1">
      <alignment horizontal="center" readingOrder="0" shrinkToFit="0" vertical="bottom" wrapText="0"/>
    </xf>
    <xf borderId="4" fillId="3" fontId="16" numFmtId="0" xfId="0" applyAlignment="1" applyBorder="1" applyFont="1">
      <alignment horizontal="center" readingOrder="0" shrinkToFit="0" vertical="bottom" wrapText="0"/>
    </xf>
    <xf borderId="4" fillId="12" fontId="1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shrinkToFit="0" vertical="bottom" wrapText="0"/>
    </xf>
    <xf borderId="4" fillId="12" fontId="16" numFmtId="0" xfId="0" applyAlignment="1" applyBorder="1" applyFont="1">
      <alignment horizontal="center" readingOrder="0" shrinkToFit="0" vertical="bottom" wrapText="0"/>
    </xf>
    <xf borderId="4" fillId="12" fontId="14" numFmtId="11" xfId="0" applyAlignment="1" applyBorder="1" applyFont="1" applyNumberFormat="1">
      <alignment horizontal="center" readingOrder="0" shrinkToFit="0" vertical="bottom" wrapText="0"/>
    </xf>
    <xf borderId="5" fillId="3" fontId="14" numFmtId="167" xfId="0" applyAlignment="1" applyBorder="1" applyFont="1" applyNumberFormat="1">
      <alignment horizontal="center" readingOrder="0" shrinkToFit="0" vertical="bottom" wrapText="0"/>
    </xf>
    <xf borderId="0" fillId="0" fontId="14" numFmtId="0" xfId="0" applyAlignment="1" applyFont="1">
      <alignment shrinkToFit="0" vertical="bottom" wrapText="0"/>
    </xf>
    <xf borderId="6" fillId="3" fontId="14" numFmtId="167" xfId="0" applyAlignment="1" applyBorder="1" applyFont="1" applyNumberFormat="1">
      <alignment horizontal="center" readingOrder="0" shrinkToFit="0" vertical="bottom" wrapText="0"/>
    </xf>
    <xf borderId="4" fillId="12" fontId="14" numFmtId="4" xfId="0" applyAlignment="1" applyBorder="1" applyFont="1" applyNumberFormat="1">
      <alignment horizontal="center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4" fillId="13" fontId="19" numFmtId="0" xfId="0" applyAlignment="1" applyBorder="1" applyFill="1" applyFont="1">
      <alignment horizontal="left" readingOrder="0" shrinkToFit="0" vertical="bottom" wrapText="0"/>
    </xf>
    <xf borderId="3" fillId="0" fontId="11" numFmtId="167" xfId="0" applyAlignment="1" applyBorder="1" applyFont="1" applyNumberFormat="1">
      <alignment horizontal="center" readingOrder="0" shrinkToFit="0" vertical="bottom" wrapText="0"/>
    </xf>
    <xf borderId="4" fillId="3" fontId="20" numFmtId="0" xfId="0" applyAlignment="1" applyBorder="1" applyFont="1">
      <alignment horizontal="center" readingOrder="0" shrinkToFit="0" vertical="bottom" wrapText="0"/>
    </xf>
    <xf borderId="4" fillId="0" fontId="11" numFmtId="167" xfId="0" applyAlignment="1" applyBorder="1" applyFont="1" applyNumberFormat="1">
      <alignment horizontal="center" readingOrder="0" shrinkToFit="0" vertical="bottom" wrapText="0"/>
    </xf>
    <xf borderId="4" fillId="3" fontId="21" numFmtId="0" xfId="0" applyAlignment="1" applyBorder="1" applyFont="1">
      <alignment horizontal="center" readingOrder="0" shrinkToFit="0" vertical="bottom" wrapText="0"/>
    </xf>
    <xf borderId="4" fillId="3" fontId="21" numFmtId="0" xfId="0" applyAlignment="1" applyBorder="1" applyFont="1">
      <alignment horizontal="left" readingOrder="0" shrinkToFit="0" vertical="bottom" wrapText="0"/>
    </xf>
    <xf borderId="4" fillId="12" fontId="21" numFmtId="0" xfId="0" applyAlignment="1" applyBorder="1" applyFont="1">
      <alignment horizontal="center" readingOrder="0" shrinkToFit="0" vertical="bottom" wrapText="0"/>
    </xf>
    <xf borderId="4" fillId="12" fontId="22" numFmtId="0" xfId="0" applyAlignment="1" applyBorder="1" applyFont="1">
      <alignment horizontal="center" readingOrder="0" shrinkToFit="0" vertical="bottom" wrapText="0"/>
    </xf>
    <xf borderId="4" fillId="3" fontId="23" numFmtId="0" xfId="0" applyAlignment="1" applyBorder="1" applyFont="1">
      <alignment horizontal="center" readingOrder="0" shrinkToFit="0" vertical="bottom" wrapText="0"/>
    </xf>
    <xf borderId="4" fillId="12" fontId="24" numFmtId="0" xfId="0" applyAlignment="1" applyBorder="1" applyFont="1">
      <alignment horizontal="center" readingOrder="0" shrinkToFit="0" vertical="bottom" wrapText="0"/>
    </xf>
    <xf borderId="4" fillId="12" fontId="25" numFmtId="0" xfId="0" applyAlignment="1" applyBorder="1" applyFont="1">
      <alignment horizontal="center" readingOrder="0" shrinkToFit="0" vertical="bottom" wrapText="0"/>
    </xf>
    <xf borderId="4" fillId="3" fontId="26" numFmtId="0" xfId="0" applyAlignment="1" applyBorder="1" applyFont="1">
      <alignment horizontal="center" readingOrder="0" shrinkToFit="0" vertical="bottom" wrapText="0"/>
    </xf>
    <xf borderId="4" fillId="3" fontId="11" numFmtId="0" xfId="0" applyAlignment="1" applyBorder="1" applyFont="1">
      <alignment horizontal="center" readingOrder="0" shrinkToFit="0" vertical="bottom" wrapText="0"/>
    </xf>
    <xf borderId="4" fillId="0" fontId="11" numFmtId="4" xfId="0" applyAlignment="1" applyBorder="1" applyFont="1" applyNumberForma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4" fillId="3" fontId="27" numFmtId="0" xfId="0" applyAlignment="1" applyBorder="1" applyFont="1">
      <alignment horizontal="left" readingOrder="0" shrinkToFit="0" vertical="bottom" wrapText="0"/>
    </xf>
    <xf borderId="4" fillId="12" fontId="28" numFmtId="0" xfId="0" applyAlignment="1" applyBorder="1" applyFont="1">
      <alignment horizontal="left" readingOrder="0" shrinkToFit="0" vertical="bottom" wrapText="0"/>
    </xf>
    <xf borderId="4" fillId="12" fontId="29" numFmtId="0" xfId="0" applyAlignment="1" applyBorder="1" applyFont="1">
      <alignment horizontal="left" readingOrder="0" shrinkToFit="0" vertical="bottom" wrapText="0"/>
    </xf>
    <xf borderId="4" fillId="3" fontId="30" numFmtId="0" xfId="0" applyAlignment="1" applyBorder="1" applyFont="1">
      <alignment horizontal="left" readingOrder="0" shrinkToFit="0" vertical="bottom" wrapText="0"/>
    </xf>
    <xf borderId="6" fillId="12" fontId="31" numFmtId="167" xfId="0" applyAlignment="1" applyBorder="1" applyFont="1" applyNumberFormat="1">
      <alignment horizontal="right" readingOrder="0" shrinkToFit="0" vertical="bottom" wrapText="0"/>
    </xf>
    <xf borderId="6" fillId="3" fontId="31" numFmtId="167" xfId="0" applyAlignment="1" applyBorder="1" applyFont="1" applyNumberFormat="1">
      <alignment horizontal="right" readingOrder="0" shrinkToFit="0" vertical="bottom" wrapText="0"/>
    </xf>
    <xf borderId="4" fillId="12" fontId="14" numFmtId="167" xfId="0" applyAlignment="1" applyBorder="1" applyFont="1" applyNumberFormat="1">
      <alignment horizontal="center" readingOrder="0" shrinkToFit="0" vertical="bottom" wrapText="0"/>
    </xf>
    <xf borderId="4" fillId="12" fontId="32" numFmtId="0" xfId="0" applyAlignment="1" applyBorder="1" applyFont="1">
      <alignment horizontal="left" readingOrder="0" shrinkToFit="0" vertical="bottom" wrapText="0"/>
    </xf>
    <xf borderId="4" fillId="12" fontId="33" numFmtId="0" xfId="0" applyAlignment="1" applyBorder="1" applyFont="1">
      <alignment horizontal="center" readingOrder="0" shrinkToFit="0" vertical="bottom" wrapText="0"/>
    </xf>
    <xf borderId="4" fillId="12" fontId="11" numFmtId="0" xfId="0" applyAlignment="1" applyBorder="1" applyFont="1">
      <alignment horizontal="center" readingOrder="0" shrinkToFit="0" vertical="bottom" wrapText="0"/>
    </xf>
    <xf borderId="4" fillId="12" fontId="34" numFmtId="0" xfId="0" applyAlignment="1" applyBorder="1" applyFont="1">
      <alignment horizontal="center" readingOrder="0" shrinkToFit="0" vertical="bottom" wrapText="0"/>
    </xf>
    <xf borderId="4" fillId="3" fontId="35" numFmtId="0" xfId="0" applyAlignment="1" applyBorder="1" applyFont="1">
      <alignment horizontal="center" readingOrder="0" shrinkToFit="0" vertical="bottom" wrapText="0"/>
    </xf>
    <xf borderId="4" fillId="12" fontId="35" numFmtId="0" xfId="0" applyAlignment="1" applyBorder="1" applyFont="1">
      <alignment horizontal="center" readingOrder="0" shrinkToFit="0" vertical="bottom" wrapText="0"/>
    </xf>
    <xf borderId="4" fillId="12" fontId="31" numFmtId="167" xfId="0" applyAlignment="1" applyBorder="1" applyFont="1" applyNumberFormat="1">
      <alignment horizontal="right" readingOrder="0" shrinkToFit="0" vertical="bottom" wrapText="0"/>
    </xf>
    <xf borderId="3" fillId="12" fontId="14" numFmtId="167" xfId="0" applyAlignment="1" applyBorder="1" applyFont="1" applyNumberFormat="1">
      <alignment horizontal="center" readingOrder="0" shrinkToFit="0" vertical="bottom" wrapText="0"/>
    </xf>
    <xf borderId="4" fillId="3" fontId="36" numFmtId="0" xfId="0" applyAlignment="1" applyBorder="1" applyFont="1">
      <alignment horizontal="left" readingOrder="0" shrinkToFit="0" vertical="bottom" wrapText="0"/>
    </xf>
    <xf borderId="4" fillId="12" fontId="31" numFmtId="0" xfId="0" applyAlignment="1" applyBorder="1" applyFont="1">
      <alignment horizontal="center" readingOrder="0" shrinkToFit="0" vertical="bottom" wrapText="0"/>
    </xf>
    <xf borderId="4" fillId="3" fontId="31" numFmtId="0" xfId="0" applyAlignment="1" applyBorder="1" applyFont="1">
      <alignment horizontal="center" readingOrder="0" shrinkToFit="0" vertical="bottom" wrapText="0"/>
    </xf>
    <xf borderId="4" fillId="3" fontId="31" numFmtId="11" xfId="0" applyAlignment="1" applyBorder="1" applyFont="1" applyNumberFormat="1">
      <alignment horizontal="center" readingOrder="0" shrinkToFit="0" vertical="bottom" wrapText="0"/>
    </xf>
    <xf borderId="4" fillId="3" fontId="37" numFmtId="0" xfId="0" applyAlignment="1" applyBorder="1" applyFont="1">
      <alignment horizontal="left" readingOrder="0" shrinkToFit="0" vertical="bottom" wrapText="0"/>
    </xf>
    <xf borderId="4" fillId="12" fontId="38" numFmtId="0" xfId="0" applyAlignment="1" applyBorder="1" applyFont="1">
      <alignment horizontal="left" readingOrder="0" shrinkToFit="0" vertical="bottom" wrapText="0"/>
    </xf>
    <xf borderId="4" fillId="12" fontId="31" numFmtId="11" xfId="0" applyAlignment="1" applyBorder="1" applyFont="1" applyNumberFormat="1">
      <alignment horizontal="center" readingOrder="0" shrinkToFit="0" vertical="bottom" wrapText="0"/>
    </xf>
    <xf borderId="4" fillId="0" fontId="39" numFmtId="0" xfId="0" applyAlignment="1" applyBorder="1" applyFont="1">
      <alignment horizontal="left" readingOrder="0" shrinkToFit="0" vertical="bottom" wrapText="0"/>
    </xf>
    <xf borderId="4" fillId="12" fontId="40" numFmtId="0" xfId="0" applyAlignment="1" applyBorder="1" applyFont="1">
      <alignment horizontal="center" readingOrder="0" shrinkToFit="0" vertical="bottom" wrapText="0"/>
    </xf>
    <xf borderId="4" fillId="0" fontId="41" numFmtId="0" xfId="0" applyAlignment="1" applyBorder="1" applyFont="1">
      <alignment horizontal="left" readingOrder="0" shrinkToFit="0" vertical="bottom" wrapText="0"/>
    </xf>
    <xf borderId="4" fillId="12" fontId="42" numFmtId="0" xfId="0" applyAlignment="1" applyBorder="1" applyFont="1">
      <alignment horizontal="left" readingOrder="0" shrinkToFit="0" vertical="bottom" wrapText="0"/>
    </xf>
    <xf borderId="4" fillId="3" fontId="43" numFmtId="0" xfId="0" applyAlignment="1" applyBorder="1" applyFont="1">
      <alignment horizontal="center" readingOrder="0" shrinkToFit="0" vertical="bottom" wrapText="0"/>
    </xf>
    <xf borderId="4" fillId="3" fontId="44" numFmtId="0" xfId="0" applyAlignment="1" applyBorder="1" applyFont="1">
      <alignment horizontal="left" readingOrder="0" shrinkToFit="0" vertical="bottom" wrapText="0"/>
    </xf>
    <xf borderId="4" fillId="12" fontId="45" numFmtId="0" xfId="0" applyAlignment="1" applyBorder="1" applyFont="1">
      <alignment horizontal="left" readingOrder="0" shrinkToFit="0" vertical="bottom" wrapText="0"/>
    </xf>
    <xf borderId="4" fillId="3" fontId="40" numFmtId="0" xfId="0" applyAlignment="1" applyBorder="1" applyFont="1">
      <alignment horizontal="center" readingOrder="0" shrinkToFit="0" vertical="bottom" wrapText="0"/>
    </xf>
    <xf borderId="4" fillId="3" fontId="46" numFmtId="0" xfId="0" applyAlignment="1" applyBorder="1" applyFont="1">
      <alignment horizontal="left" readingOrder="0" shrinkToFit="0" vertical="bottom" wrapText="0"/>
    </xf>
    <xf borderId="4" fillId="3" fontId="34" numFmtId="0" xfId="0" applyAlignment="1" applyBorder="1" applyFont="1">
      <alignment horizontal="center" readingOrder="0" shrinkToFit="0" vertical="bottom" wrapText="0"/>
    </xf>
    <xf borderId="4" fillId="3" fontId="47" numFmtId="0" xfId="0" applyAlignment="1" applyBorder="1" applyFont="1">
      <alignment horizontal="center" readingOrder="0" shrinkToFit="0" vertical="bottom" wrapText="0"/>
    </xf>
    <xf borderId="4" fillId="12" fontId="48" numFmtId="0" xfId="0" applyAlignment="1" applyBorder="1" applyFont="1">
      <alignment horizontal="center" readingOrder="0" shrinkToFit="0" vertical="bottom" wrapText="0"/>
    </xf>
    <xf borderId="0" fillId="0" fontId="49" numFmtId="0" xfId="0" applyAlignment="1" applyFont="1">
      <alignment readingOrder="0" shrinkToFit="0" vertical="bottom" wrapText="0"/>
    </xf>
    <xf borderId="0" fillId="0" fontId="49" numFmtId="11" xfId="0" applyAlignment="1" applyFont="1" applyNumberFormat="1">
      <alignment horizontal="right" readingOrder="0" shrinkToFit="0" vertical="bottom" wrapText="0"/>
    </xf>
    <xf borderId="0" fillId="0" fontId="49" numFmtId="0" xfId="0" applyAlignment="1" applyFont="1">
      <alignment horizontal="center" readingOrder="0" shrinkToFit="0" vertical="bottom" wrapText="0"/>
    </xf>
    <xf borderId="0" fillId="0" fontId="49" numFmtId="0" xfId="0" applyAlignment="1" applyFont="1">
      <alignment shrinkToFit="0" vertical="bottom" wrapText="0"/>
    </xf>
    <xf borderId="0" fillId="0" fontId="49" numFmtId="0" xfId="0" applyAlignment="1" applyFont="1">
      <alignment horizontal="right" readingOrder="0" shrinkToFit="0" vertical="bottom" wrapText="0"/>
    </xf>
    <xf borderId="0" fillId="0" fontId="50" numFmtId="0" xfId="0" applyAlignment="1" applyFont="1">
      <alignment readingOrder="0" shrinkToFit="0" vertical="bottom" wrapText="0"/>
    </xf>
    <xf borderId="0" fillId="0" fontId="9" numFmtId="1" xfId="0" applyFont="1" applyNumberFormat="1"/>
    <xf borderId="0" fillId="0" fontId="9" numFmtId="3" xfId="0" applyAlignment="1" applyFont="1" applyNumberFormat="1">
      <alignment readingOrder="0"/>
    </xf>
    <xf borderId="0" fillId="14" fontId="9" numFmtId="0" xfId="0" applyAlignment="1" applyFill="1" applyFont="1">
      <alignment readingOrder="0"/>
    </xf>
    <xf borderId="0" fillId="11" fontId="9" numFmtId="0" xfId="0" applyAlignment="1" applyFont="1">
      <alignment readingOrder="0"/>
    </xf>
    <xf borderId="0" fillId="0" fontId="9" numFmtId="4" xfId="0" applyAlignment="1" applyFont="1" applyNumberFormat="1">
      <alignment readingOrder="0"/>
    </xf>
    <xf borderId="0" fillId="8" fontId="9" numFmtId="0" xfId="0" applyAlignment="1" applyFont="1">
      <alignment readingOrder="0"/>
    </xf>
    <xf borderId="0" fillId="15" fontId="9" numFmtId="0" xfId="0" applyAlignment="1" applyFill="1" applyFont="1">
      <alignment readingOrder="0"/>
    </xf>
    <xf borderId="0" fillId="15" fontId="9" numFmtId="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kulvantk.vc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</cols>
  <sheetData>
    <row r="3">
      <c r="A3" s="1" t="s">
        <v>0</v>
      </c>
      <c r="B3" s="2"/>
    </row>
    <row r="4">
      <c r="A4" s="3" t="s">
        <v>1</v>
      </c>
      <c r="B4" s="4">
        <f>294/30</f>
        <v>9.8</v>
      </c>
    </row>
    <row r="5">
      <c r="A5" s="3" t="s">
        <v>2</v>
      </c>
      <c r="B5" s="5">
        <v>9.33</v>
      </c>
    </row>
    <row r="6">
      <c r="A6" s="3" t="s">
        <v>3</v>
      </c>
      <c r="B6" s="6">
        <v>27.0</v>
      </c>
    </row>
    <row r="7">
      <c r="A7" s="3" t="s">
        <v>4</v>
      </c>
      <c r="B7" s="5">
        <v>38.0</v>
      </c>
    </row>
    <row r="8">
      <c r="A8" s="3" t="s">
        <v>5</v>
      </c>
      <c r="B8" s="5">
        <v>35.88</v>
      </c>
    </row>
    <row r="9">
      <c r="A9" s="7" t="s">
        <v>6</v>
      </c>
      <c r="B9" s="4">
        <f>B8*0.03</f>
        <v>1.0764</v>
      </c>
    </row>
    <row r="10">
      <c r="A10" s="7" t="s">
        <v>7</v>
      </c>
      <c r="B10" s="4">
        <f>-sum(B8:B9)+B7</f>
        <v>1.0436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5.0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5" max="5" width="24.38"/>
    <col customWidth="1" min="6" max="6" width="23.88"/>
    <col customWidth="1" min="7" max="7" width="22.63"/>
    <col customWidth="1" min="9" max="9" width="14.38"/>
  </cols>
  <sheetData>
    <row r="1">
      <c r="A1" s="9" t="s">
        <v>8</v>
      </c>
      <c r="B1" s="10" t="s">
        <v>9</v>
      </c>
      <c r="C1" s="10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9" t="s">
        <v>16</v>
      </c>
      <c r="J1" s="11" t="s">
        <v>17</v>
      </c>
      <c r="K1" s="12"/>
      <c r="L1" s="12"/>
      <c r="M1" s="12"/>
      <c r="N1" s="12"/>
      <c r="O1" s="12"/>
      <c r="P1" s="12"/>
      <c r="Q1" s="12"/>
      <c r="R1" s="12"/>
    </row>
    <row r="2">
      <c r="A2" s="13" t="s">
        <v>18</v>
      </c>
      <c r="B2" s="14">
        <v>26.104</v>
      </c>
      <c r="C2" s="14">
        <v>91.523</v>
      </c>
      <c r="D2" s="15">
        <v>0.0</v>
      </c>
      <c r="E2" s="16">
        <v>0.0</v>
      </c>
      <c r="F2" s="16">
        <v>5000.0</v>
      </c>
      <c r="G2" s="16">
        <v>0.0</v>
      </c>
      <c r="H2" s="17">
        <v>32.0</v>
      </c>
      <c r="I2" s="18" t="s">
        <v>19</v>
      </c>
      <c r="J2" s="15">
        <v>1.0</v>
      </c>
      <c r="K2" s="19"/>
      <c r="L2" s="19"/>
      <c r="M2" s="19"/>
      <c r="N2" s="19"/>
      <c r="O2" s="19"/>
      <c r="P2" s="19"/>
      <c r="Q2" s="19"/>
      <c r="R2" s="19"/>
    </row>
    <row r="3">
      <c r="A3" s="13" t="s">
        <v>20</v>
      </c>
      <c r="B3" s="14">
        <v>24.832</v>
      </c>
      <c r="C3" s="14">
        <v>92.775</v>
      </c>
      <c r="D3" s="15">
        <v>877.0</v>
      </c>
      <c r="E3" s="16">
        <v>1.0</v>
      </c>
      <c r="F3" s="16">
        <v>3240.0</v>
      </c>
      <c r="G3" s="16">
        <v>1.0</v>
      </c>
      <c r="H3" s="17">
        <v>32.0</v>
      </c>
      <c r="I3" s="18" t="s">
        <v>19</v>
      </c>
      <c r="J3" s="15">
        <v>1.0</v>
      </c>
      <c r="K3" s="19"/>
      <c r="L3" s="19"/>
      <c r="M3" s="19"/>
      <c r="N3" s="19"/>
      <c r="O3" s="19"/>
      <c r="Q3" s="19"/>
      <c r="R3" s="19"/>
    </row>
    <row r="4">
      <c r="A4" s="13" t="s">
        <v>21</v>
      </c>
      <c r="B4" s="14">
        <v>24.718</v>
      </c>
      <c r="C4" s="14">
        <v>92.574</v>
      </c>
      <c r="D4" s="15">
        <v>241.0</v>
      </c>
      <c r="E4" s="16">
        <v>1.0</v>
      </c>
      <c r="F4" s="16">
        <v>3240.0</v>
      </c>
      <c r="G4" s="16">
        <v>1.0</v>
      </c>
      <c r="H4" s="17">
        <v>32.0</v>
      </c>
      <c r="I4" s="18" t="s">
        <v>19</v>
      </c>
      <c r="J4" s="15">
        <v>1.0</v>
      </c>
      <c r="K4" s="19"/>
      <c r="L4" s="19"/>
      <c r="M4" s="19"/>
      <c r="N4" s="19"/>
      <c r="O4" s="19"/>
      <c r="Q4" s="19"/>
      <c r="R4" s="19"/>
    </row>
    <row r="5">
      <c r="A5" s="13" t="s">
        <v>22</v>
      </c>
      <c r="B5" s="14">
        <v>24.865</v>
      </c>
      <c r="C5" s="14">
        <v>92.565</v>
      </c>
      <c r="D5" s="15">
        <v>278.0</v>
      </c>
      <c r="E5" s="16">
        <v>2.0</v>
      </c>
      <c r="F5" s="16">
        <v>3240.0</v>
      </c>
      <c r="G5" s="16">
        <v>2.0</v>
      </c>
      <c r="H5" s="17">
        <v>32.0</v>
      </c>
      <c r="I5" s="18" t="s">
        <v>19</v>
      </c>
      <c r="J5" s="15">
        <v>1.0</v>
      </c>
      <c r="K5" s="19"/>
      <c r="L5" s="19"/>
      <c r="M5" s="19"/>
      <c r="N5" s="19"/>
      <c r="O5" s="19"/>
      <c r="Q5" s="19"/>
      <c r="R5" s="19"/>
    </row>
    <row r="6">
      <c r="A6" s="13" t="s">
        <v>23</v>
      </c>
      <c r="B6" s="14">
        <v>24.815</v>
      </c>
      <c r="C6" s="14">
        <v>92.378</v>
      </c>
      <c r="D6" s="15">
        <v>455.0</v>
      </c>
      <c r="E6" s="16">
        <v>2.0</v>
      </c>
      <c r="F6" s="16">
        <v>3240.0</v>
      </c>
      <c r="G6" s="16">
        <v>2.0</v>
      </c>
      <c r="H6" s="17">
        <v>32.0</v>
      </c>
      <c r="I6" s="18" t="s">
        <v>19</v>
      </c>
      <c r="J6" s="15">
        <v>1.0</v>
      </c>
      <c r="K6" s="19"/>
      <c r="L6" s="19"/>
      <c r="M6" s="19"/>
      <c r="N6" s="19"/>
      <c r="O6" s="19"/>
      <c r="Q6" s="19"/>
      <c r="R6" s="19"/>
    </row>
    <row r="7">
      <c r="A7" s="20" t="s">
        <v>24</v>
      </c>
      <c r="B7" s="20">
        <v>27.022</v>
      </c>
      <c r="C7" s="20">
        <v>94.667</v>
      </c>
      <c r="D7" s="20">
        <v>662.3</v>
      </c>
      <c r="E7" s="16">
        <v>3.0</v>
      </c>
      <c r="F7" s="21">
        <v>3240.0</v>
      </c>
      <c r="G7" s="16">
        <v>3.0</v>
      </c>
      <c r="H7" s="22">
        <v>32.0</v>
      </c>
      <c r="I7" s="18" t="s">
        <v>19</v>
      </c>
      <c r="J7" s="15">
        <v>1.0</v>
      </c>
      <c r="K7" s="19"/>
      <c r="L7" s="19"/>
      <c r="M7" s="19"/>
      <c r="N7" s="19"/>
      <c r="O7" s="19"/>
      <c r="Q7" s="19"/>
      <c r="R7" s="19"/>
    </row>
    <row r="8">
      <c r="A8" s="20" t="s">
        <v>25</v>
      </c>
      <c r="B8" s="20">
        <v>27.259</v>
      </c>
      <c r="C8" s="20">
        <v>94.9109</v>
      </c>
      <c r="D8" s="20">
        <v>203.5</v>
      </c>
      <c r="E8" s="16">
        <v>3.0</v>
      </c>
      <c r="F8" s="21">
        <v>3240.0</v>
      </c>
      <c r="G8" s="16">
        <v>3.0</v>
      </c>
      <c r="H8" s="22">
        <v>32.0</v>
      </c>
      <c r="I8" s="18" t="s">
        <v>19</v>
      </c>
      <c r="J8" s="15">
        <v>1.0</v>
      </c>
      <c r="K8" s="19"/>
      <c r="L8" s="19"/>
      <c r="M8" s="19"/>
      <c r="N8" s="19"/>
      <c r="O8" s="19"/>
      <c r="Q8" s="19"/>
      <c r="R8" s="19"/>
    </row>
    <row r="9">
      <c r="A9" s="20" t="s">
        <v>26</v>
      </c>
      <c r="B9" s="20">
        <v>27.3013</v>
      </c>
      <c r="C9" s="20">
        <v>95.273</v>
      </c>
      <c r="D9" s="20">
        <v>347.8</v>
      </c>
      <c r="E9" s="16">
        <v>3.0</v>
      </c>
      <c r="F9" s="21">
        <v>3240.0</v>
      </c>
      <c r="G9" s="16">
        <v>3.0</v>
      </c>
      <c r="H9" s="22">
        <v>32.0</v>
      </c>
      <c r="I9" s="18" t="s">
        <v>19</v>
      </c>
      <c r="J9" s="15">
        <v>1.0</v>
      </c>
      <c r="K9" s="19"/>
      <c r="L9" s="19"/>
      <c r="M9" s="19"/>
      <c r="N9" s="19"/>
      <c r="O9" s="19"/>
      <c r="Q9" s="19"/>
      <c r="R9" s="19"/>
    </row>
    <row r="10">
      <c r="A10" s="13" t="s">
        <v>27</v>
      </c>
      <c r="B10" s="18">
        <v>26.486</v>
      </c>
      <c r="C10" s="18">
        <v>93.978</v>
      </c>
      <c r="D10" s="15">
        <v>536.5</v>
      </c>
      <c r="E10" s="16">
        <v>4.0</v>
      </c>
      <c r="F10" s="16">
        <v>3240.0</v>
      </c>
      <c r="G10" s="16">
        <v>4.0</v>
      </c>
      <c r="H10" s="17">
        <v>32.0</v>
      </c>
      <c r="I10" s="18" t="s">
        <v>19</v>
      </c>
      <c r="J10" s="15">
        <v>1.0</v>
      </c>
      <c r="K10" s="19"/>
      <c r="L10" s="19"/>
      <c r="M10" s="19"/>
      <c r="N10" s="19"/>
      <c r="O10" s="19"/>
      <c r="Q10" s="19"/>
      <c r="R10" s="19"/>
    </row>
    <row r="11">
      <c r="A11" s="20" t="s">
        <v>28</v>
      </c>
      <c r="B11" s="20">
        <v>26.2833</v>
      </c>
      <c r="C11" s="20">
        <v>93.8843</v>
      </c>
      <c r="D11" s="20">
        <v>162.8</v>
      </c>
      <c r="E11" s="16">
        <v>4.0</v>
      </c>
      <c r="F11" s="21">
        <v>3240.0</v>
      </c>
      <c r="G11" s="16">
        <v>4.0</v>
      </c>
      <c r="H11" s="22">
        <v>32.0</v>
      </c>
      <c r="I11" s="18" t="s">
        <v>19</v>
      </c>
      <c r="J11" s="15">
        <v>1.0</v>
      </c>
      <c r="K11" s="19"/>
      <c r="L11" s="19"/>
      <c r="M11" s="19"/>
      <c r="N11" s="19"/>
      <c r="O11" s="19"/>
      <c r="Q11" s="19"/>
      <c r="R11" s="19"/>
    </row>
    <row r="12">
      <c r="A12" s="20" t="s">
        <v>29</v>
      </c>
      <c r="B12" s="20">
        <v>24.747</v>
      </c>
      <c r="C12" s="20">
        <v>93.934</v>
      </c>
      <c r="D12" s="20">
        <v>484.7</v>
      </c>
      <c r="E12" s="16">
        <v>5.0</v>
      </c>
      <c r="F12" s="21">
        <v>3240.0</v>
      </c>
      <c r="G12" s="16">
        <v>5.0</v>
      </c>
      <c r="H12" s="22">
        <v>32.0</v>
      </c>
      <c r="I12" s="18" t="s">
        <v>19</v>
      </c>
      <c r="J12" s="15">
        <v>1.0</v>
      </c>
      <c r="K12" s="19"/>
      <c r="L12" s="19"/>
      <c r="M12" s="19"/>
      <c r="N12" s="19"/>
      <c r="O12" s="19"/>
      <c r="Q12" s="19"/>
      <c r="R12" s="19"/>
    </row>
    <row r="13">
      <c r="A13" s="20" t="s">
        <v>30</v>
      </c>
      <c r="B13" s="20">
        <v>27.161</v>
      </c>
      <c r="C13" s="20">
        <v>93.679</v>
      </c>
      <c r="D13" s="20">
        <v>773.3</v>
      </c>
      <c r="E13" s="16">
        <v>6.0</v>
      </c>
      <c r="F13" s="21">
        <v>3240.0</v>
      </c>
      <c r="G13" s="16">
        <v>6.0</v>
      </c>
      <c r="H13" s="22">
        <v>32.0</v>
      </c>
      <c r="I13" s="18" t="s">
        <v>19</v>
      </c>
      <c r="J13" s="15">
        <v>1.0</v>
      </c>
      <c r="K13" s="19"/>
      <c r="L13" s="19"/>
      <c r="M13" s="19"/>
      <c r="N13" s="19"/>
      <c r="O13" s="19"/>
      <c r="Q13" s="19"/>
      <c r="R13" s="19"/>
    </row>
    <row r="14">
      <c r="A14" s="20" t="s">
        <v>31</v>
      </c>
      <c r="B14" s="20">
        <v>27.576</v>
      </c>
      <c r="C14" s="20">
        <v>94.503</v>
      </c>
      <c r="D14" s="20">
        <v>414.4</v>
      </c>
      <c r="E14" s="16">
        <v>7.0</v>
      </c>
      <c r="F14" s="21">
        <v>3240.0</v>
      </c>
      <c r="G14" s="16">
        <v>7.0</v>
      </c>
      <c r="H14" s="22">
        <v>32.0</v>
      </c>
      <c r="I14" s="18" t="s">
        <v>19</v>
      </c>
      <c r="J14" s="15">
        <v>1.0</v>
      </c>
      <c r="K14" s="19"/>
      <c r="L14" s="19"/>
      <c r="M14" s="19"/>
      <c r="N14" s="19"/>
      <c r="O14" s="19"/>
      <c r="Q14" s="19"/>
      <c r="R14" s="19"/>
    </row>
    <row r="15">
      <c r="A15" s="20" t="s">
        <v>32</v>
      </c>
      <c r="B15" s="20">
        <v>27.221</v>
      </c>
      <c r="C15" s="20">
        <v>94.079</v>
      </c>
      <c r="D15" s="20">
        <v>617.9</v>
      </c>
      <c r="E15" s="16">
        <v>7.0</v>
      </c>
      <c r="F15" s="21">
        <v>3240.0</v>
      </c>
      <c r="G15" s="16">
        <v>7.0</v>
      </c>
      <c r="H15" s="22">
        <v>32.0</v>
      </c>
      <c r="I15" s="18" t="s">
        <v>19</v>
      </c>
      <c r="J15" s="15">
        <v>1.0</v>
      </c>
      <c r="K15" s="19"/>
      <c r="L15" s="19"/>
      <c r="M15" s="19"/>
      <c r="N15" s="19"/>
      <c r="O15" s="19"/>
      <c r="Q15" s="19"/>
      <c r="R15" s="19"/>
    </row>
    <row r="16">
      <c r="A16" s="13" t="s">
        <v>33</v>
      </c>
      <c r="B16" s="14">
        <v>25.296</v>
      </c>
      <c r="C16" s="14">
        <v>93.008</v>
      </c>
      <c r="D16" s="15">
        <v>130.0</v>
      </c>
      <c r="E16" s="16">
        <v>8.0</v>
      </c>
      <c r="F16" s="16">
        <v>3240.0</v>
      </c>
      <c r="G16" s="16">
        <v>8.0</v>
      </c>
      <c r="H16" s="17">
        <v>32.0</v>
      </c>
      <c r="I16" s="18" t="s">
        <v>19</v>
      </c>
      <c r="J16" s="15">
        <v>1.0</v>
      </c>
      <c r="K16" s="19"/>
      <c r="L16" s="19"/>
      <c r="M16" s="19"/>
      <c r="N16" s="19"/>
      <c r="O16" s="19"/>
      <c r="Q16" s="19"/>
      <c r="R16" s="19"/>
    </row>
    <row r="17">
      <c r="A17" s="13" t="s">
        <v>34</v>
      </c>
      <c r="B17" s="14">
        <v>25.584</v>
      </c>
      <c r="C17" s="14">
        <v>91.863</v>
      </c>
      <c r="D17" s="15">
        <v>836.0</v>
      </c>
      <c r="E17" s="16">
        <v>9.0</v>
      </c>
      <c r="F17" s="16">
        <v>3240.0</v>
      </c>
      <c r="G17" s="16">
        <v>9.0</v>
      </c>
      <c r="H17" s="17">
        <v>32.0</v>
      </c>
      <c r="I17" s="18" t="s">
        <v>19</v>
      </c>
      <c r="J17" s="15">
        <v>1.0</v>
      </c>
      <c r="K17" s="19"/>
      <c r="L17" s="19"/>
      <c r="M17" s="19"/>
      <c r="N17" s="19"/>
      <c r="O17" s="19"/>
      <c r="Q17" s="19"/>
      <c r="R17" s="19"/>
    </row>
    <row r="18">
      <c r="A18" s="13" t="s">
        <v>35</v>
      </c>
      <c r="B18" s="14">
        <v>26.34</v>
      </c>
      <c r="C18" s="14">
        <v>89.464</v>
      </c>
      <c r="D18" s="15">
        <v>742.0</v>
      </c>
      <c r="E18" s="16">
        <v>10.0</v>
      </c>
      <c r="F18" s="16">
        <v>3240.0</v>
      </c>
      <c r="G18" s="16">
        <v>10.0</v>
      </c>
      <c r="H18" s="17">
        <v>32.0</v>
      </c>
      <c r="I18" s="18" t="s">
        <v>19</v>
      </c>
      <c r="J18" s="15">
        <v>1.0</v>
      </c>
      <c r="K18" s="19"/>
      <c r="L18" s="19"/>
      <c r="M18" s="19"/>
      <c r="N18" s="19"/>
      <c r="O18" s="19"/>
      <c r="Q18" s="19"/>
      <c r="R18" s="19"/>
    </row>
    <row r="19">
      <c r="A19" s="13" t="s">
        <v>36</v>
      </c>
      <c r="B19" s="14">
        <v>26.325</v>
      </c>
      <c r="C19" s="14">
        <v>89.478</v>
      </c>
      <c r="D19" s="15">
        <v>603.0</v>
      </c>
      <c r="E19" s="16">
        <v>10.0</v>
      </c>
      <c r="F19" s="16">
        <v>3240.0</v>
      </c>
      <c r="G19" s="16">
        <v>10.0</v>
      </c>
      <c r="H19" s="17">
        <v>32.0</v>
      </c>
      <c r="I19" s="18" t="s">
        <v>19</v>
      </c>
      <c r="J19" s="15">
        <v>1.0</v>
      </c>
      <c r="K19" s="19"/>
      <c r="L19" s="19"/>
      <c r="M19" s="19"/>
      <c r="N19" s="19"/>
      <c r="O19" s="19"/>
      <c r="Q19" s="19"/>
      <c r="R19" s="19"/>
    </row>
    <row r="20">
      <c r="A20" s="20" t="s">
        <v>37</v>
      </c>
      <c r="B20" s="20">
        <v>25.903</v>
      </c>
      <c r="C20" s="20">
        <v>93.7</v>
      </c>
      <c r="D20" s="20">
        <v>643.8</v>
      </c>
      <c r="E20" s="16">
        <v>15.0</v>
      </c>
      <c r="F20" s="21">
        <v>3240.0</v>
      </c>
      <c r="G20" s="16">
        <v>15.0</v>
      </c>
      <c r="H20" s="22">
        <v>32.0</v>
      </c>
      <c r="I20" s="18" t="s">
        <v>19</v>
      </c>
      <c r="J20" s="15">
        <v>1.0</v>
      </c>
      <c r="K20" s="19"/>
      <c r="L20" s="19"/>
      <c r="M20" s="19"/>
      <c r="N20" s="19"/>
      <c r="O20" s="19"/>
      <c r="Q20" s="19"/>
      <c r="R20" s="19"/>
    </row>
    <row r="21">
      <c r="A21" s="20" t="s">
        <v>38</v>
      </c>
      <c r="B21" s="20">
        <v>25.68</v>
      </c>
      <c r="C21" s="20">
        <v>94.124</v>
      </c>
      <c r="D21" s="20">
        <v>155.4</v>
      </c>
      <c r="E21" s="16">
        <v>15.0</v>
      </c>
      <c r="F21" s="21">
        <v>3240.0</v>
      </c>
      <c r="G21" s="16">
        <v>15.0</v>
      </c>
      <c r="H21" s="22">
        <v>32.0</v>
      </c>
      <c r="I21" s="18" t="s">
        <v>19</v>
      </c>
      <c r="J21" s="15">
        <v>1.0</v>
      </c>
      <c r="K21" s="19"/>
      <c r="L21" s="19"/>
      <c r="M21" s="19"/>
      <c r="N21" s="19"/>
      <c r="O21" s="19"/>
      <c r="Q21" s="19"/>
      <c r="R21" s="19"/>
    </row>
    <row r="22">
      <c r="A22" s="20" t="s">
        <v>39</v>
      </c>
      <c r="B22" s="20">
        <v>25.843</v>
      </c>
      <c r="C22" s="20">
        <v>93.431</v>
      </c>
      <c r="D22" s="20">
        <v>277.5</v>
      </c>
      <c r="E22" s="16">
        <v>16.0</v>
      </c>
      <c r="F22" s="21">
        <v>3240.0</v>
      </c>
      <c r="G22" s="16">
        <v>16.0</v>
      </c>
      <c r="H22" s="22">
        <v>32.0</v>
      </c>
      <c r="I22" s="18" t="s">
        <v>19</v>
      </c>
      <c r="J22" s="15">
        <v>1.0</v>
      </c>
      <c r="K22" s="19"/>
      <c r="L22" s="19"/>
      <c r="M22" s="19"/>
      <c r="N22" s="19"/>
      <c r="O22" s="19"/>
      <c r="Q22" s="19"/>
      <c r="R22" s="19"/>
    </row>
    <row r="23">
      <c r="A23" s="20" t="s">
        <v>40</v>
      </c>
      <c r="B23" s="20">
        <v>25.937</v>
      </c>
      <c r="C23" s="20">
        <v>92.954</v>
      </c>
      <c r="D23" s="20">
        <v>462.5</v>
      </c>
      <c r="E23" s="16">
        <v>16.0</v>
      </c>
      <c r="F23" s="21">
        <v>3240.0</v>
      </c>
      <c r="G23" s="16">
        <v>16.0</v>
      </c>
      <c r="H23" s="22">
        <v>32.0</v>
      </c>
      <c r="I23" s="18" t="s">
        <v>19</v>
      </c>
      <c r="J23" s="15">
        <v>1.0</v>
      </c>
      <c r="K23" s="19"/>
      <c r="L23" s="19"/>
      <c r="M23" s="19"/>
      <c r="N23" s="19"/>
      <c r="O23" s="19"/>
      <c r="Q23" s="19"/>
      <c r="R23" s="19"/>
    </row>
    <row r="24">
      <c r="A24" s="13" t="s">
        <v>41</v>
      </c>
      <c r="B24" s="14">
        <v>26.08</v>
      </c>
      <c r="C24" s="14">
        <v>89.96</v>
      </c>
      <c r="D24" s="15">
        <v>263.0</v>
      </c>
      <c r="E24" s="16">
        <v>17.0</v>
      </c>
      <c r="F24" s="16">
        <v>3240.0</v>
      </c>
      <c r="G24" s="16">
        <v>17.0</v>
      </c>
      <c r="H24" s="17">
        <v>32.0</v>
      </c>
      <c r="I24" s="18" t="s">
        <v>19</v>
      </c>
      <c r="J24" s="15">
        <v>1.0</v>
      </c>
      <c r="K24" s="19"/>
      <c r="L24" s="19"/>
      <c r="M24" s="19"/>
      <c r="N24" s="19"/>
      <c r="O24" s="19"/>
      <c r="Q24" s="19"/>
      <c r="R24" s="19"/>
    </row>
    <row r="25">
      <c r="A25" s="13" t="s">
        <v>42</v>
      </c>
      <c r="B25" s="14">
        <v>26.45</v>
      </c>
      <c r="C25" s="14">
        <v>90.292</v>
      </c>
      <c r="D25" s="15">
        <v>466.0</v>
      </c>
      <c r="E25" s="16">
        <v>17.0</v>
      </c>
      <c r="F25" s="16">
        <v>3240.0</v>
      </c>
      <c r="G25" s="16">
        <v>17.0</v>
      </c>
      <c r="H25" s="17">
        <v>32.0</v>
      </c>
      <c r="I25" s="18" t="s">
        <v>19</v>
      </c>
      <c r="J25" s="15">
        <v>1.0</v>
      </c>
      <c r="K25" s="19"/>
      <c r="L25" s="19"/>
      <c r="M25" s="19"/>
      <c r="N25" s="19"/>
      <c r="O25" s="19"/>
      <c r="Q25" s="19"/>
      <c r="R25" s="19"/>
    </row>
    <row r="26">
      <c r="A26" s="13" t="s">
        <v>43</v>
      </c>
      <c r="B26" s="14">
        <v>26.155</v>
      </c>
      <c r="C26" s="14">
        <v>90.547</v>
      </c>
      <c r="D26" s="15">
        <v>451.0</v>
      </c>
      <c r="E26" s="16">
        <v>18.0</v>
      </c>
      <c r="F26" s="16">
        <v>3240.0</v>
      </c>
      <c r="G26" s="16">
        <v>18.0</v>
      </c>
      <c r="H26" s="17">
        <v>32.0</v>
      </c>
      <c r="I26" s="18" t="s">
        <v>19</v>
      </c>
      <c r="J26" s="15">
        <v>1.0</v>
      </c>
      <c r="K26" s="19"/>
      <c r="L26" s="19"/>
      <c r="M26" s="19"/>
      <c r="N26" s="19"/>
      <c r="O26" s="19"/>
      <c r="Q26" s="19"/>
      <c r="R26" s="19"/>
    </row>
    <row r="27">
      <c r="A27" s="13" t="s">
        <v>44</v>
      </c>
      <c r="B27" s="18">
        <v>25.969</v>
      </c>
      <c r="C27" s="18">
        <v>91.224</v>
      </c>
      <c r="D27" s="15">
        <v>359.0</v>
      </c>
      <c r="E27" s="16">
        <v>18.0</v>
      </c>
      <c r="F27" s="16">
        <v>3240.0</v>
      </c>
      <c r="G27" s="16">
        <v>18.0</v>
      </c>
      <c r="H27" s="17">
        <v>32.0</v>
      </c>
      <c r="I27" s="18" t="s">
        <v>19</v>
      </c>
      <c r="J27" s="15">
        <v>1.0</v>
      </c>
      <c r="K27" s="19"/>
      <c r="L27" s="19"/>
      <c r="M27" s="19"/>
      <c r="N27" s="19"/>
      <c r="O27" s="19"/>
      <c r="Q27" s="19"/>
      <c r="R27" s="19"/>
    </row>
    <row r="28">
      <c r="A28" s="13" t="s">
        <v>45</v>
      </c>
      <c r="B28" s="18">
        <v>26.513</v>
      </c>
      <c r="C28" s="18">
        <v>91.261</v>
      </c>
      <c r="D28" s="15">
        <v>496.0</v>
      </c>
      <c r="E28" s="16">
        <v>19.0</v>
      </c>
      <c r="F28" s="16">
        <v>3240.0</v>
      </c>
      <c r="G28" s="16">
        <v>19.0</v>
      </c>
      <c r="H28" s="17">
        <v>32.0</v>
      </c>
      <c r="I28" s="18" t="s">
        <v>19</v>
      </c>
      <c r="J28" s="15">
        <v>1.0</v>
      </c>
      <c r="K28" s="19"/>
      <c r="L28" s="19"/>
      <c r="M28" s="19"/>
      <c r="N28" s="19"/>
      <c r="O28" s="19"/>
      <c r="Q28" s="19"/>
      <c r="R28" s="19"/>
    </row>
    <row r="29">
      <c r="A29" s="20" t="s">
        <v>46</v>
      </c>
      <c r="B29" s="20">
        <v>26.513</v>
      </c>
      <c r="C29" s="20">
        <v>91.261</v>
      </c>
      <c r="D29" s="20">
        <v>529.1</v>
      </c>
      <c r="E29" s="16">
        <v>19.0</v>
      </c>
      <c r="F29" s="21">
        <v>3240.0</v>
      </c>
      <c r="G29" s="16">
        <v>19.0</v>
      </c>
      <c r="H29" s="22">
        <v>32.0</v>
      </c>
      <c r="I29" s="18" t="s">
        <v>19</v>
      </c>
      <c r="J29" s="15">
        <v>1.0</v>
      </c>
      <c r="K29" s="19"/>
      <c r="L29" s="19"/>
      <c r="M29" s="19"/>
      <c r="N29" s="19"/>
      <c r="O29" s="19"/>
      <c r="Q29" s="19"/>
      <c r="R29" s="19"/>
    </row>
    <row r="30">
      <c r="A30" s="20" t="s">
        <v>47</v>
      </c>
      <c r="B30" s="20">
        <v>26.411</v>
      </c>
      <c r="C30" s="20">
        <v>91.972</v>
      </c>
      <c r="D30" s="20">
        <v>577.2</v>
      </c>
      <c r="E30" s="16">
        <v>20.0</v>
      </c>
      <c r="F30" s="21">
        <v>3240.0</v>
      </c>
      <c r="G30" s="16">
        <v>20.0</v>
      </c>
      <c r="H30" s="22">
        <v>32.0</v>
      </c>
      <c r="I30" s="18" t="s">
        <v>19</v>
      </c>
      <c r="J30" s="15">
        <v>1.0</v>
      </c>
      <c r="K30" s="19"/>
      <c r="L30" s="23"/>
      <c r="M30" s="19"/>
      <c r="N30" s="19"/>
      <c r="O30" s="19"/>
      <c r="Q30" s="19"/>
      <c r="R30" s="19"/>
    </row>
    <row r="31">
      <c r="A31" s="20" t="s">
        <v>48</v>
      </c>
      <c r="B31" s="20">
        <v>26.7232</v>
      </c>
      <c r="C31" s="20">
        <v>92.0801</v>
      </c>
      <c r="D31" s="20">
        <v>288.6</v>
      </c>
      <c r="E31" s="16">
        <v>20.0</v>
      </c>
      <c r="F31" s="21">
        <v>3240.0</v>
      </c>
      <c r="G31" s="16">
        <v>20.0</v>
      </c>
      <c r="H31" s="22">
        <v>32.0</v>
      </c>
      <c r="I31" s="18" t="s">
        <v>19</v>
      </c>
      <c r="J31" s="15">
        <v>1.0</v>
      </c>
      <c r="K31" s="19"/>
      <c r="L31" s="23"/>
      <c r="M31" s="19"/>
      <c r="N31" s="19"/>
      <c r="O31" s="19"/>
      <c r="Q31" s="19"/>
      <c r="R31" s="19"/>
    </row>
    <row r="32">
      <c r="A32" s="13" t="s">
        <v>49</v>
      </c>
      <c r="B32" s="14">
        <v>23.742</v>
      </c>
      <c r="C32" s="14">
        <v>92.736</v>
      </c>
      <c r="D32" s="15">
        <v>566.0</v>
      </c>
      <c r="E32" s="16">
        <v>21.0</v>
      </c>
      <c r="F32" s="16">
        <v>3240.0</v>
      </c>
      <c r="G32" s="16">
        <v>21.0</v>
      </c>
      <c r="H32" s="17">
        <v>24.0</v>
      </c>
      <c r="I32" s="18" t="s">
        <v>19</v>
      </c>
      <c r="J32" s="15">
        <v>1.0</v>
      </c>
      <c r="K32" s="19"/>
      <c r="R32" s="24"/>
    </row>
    <row r="33">
      <c r="A33" s="13" t="s">
        <v>50</v>
      </c>
      <c r="B33" s="14">
        <v>23.812</v>
      </c>
      <c r="C33" s="14">
        <v>91.344</v>
      </c>
      <c r="D33" s="15">
        <v>1554.0</v>
      </c>
      <c r="E33" s="16">
        <v>22.0</v>
      </c>
      <c r="F33" s="16">
        <v>3240.0</v>
      </c>
      <c r="G33" s="16">
        <v>22.0</v>
      </c>
      <c r="H33" s="17">
        <v>32.0</v>
      </c>
      <c r="I33" s="18" t="s">
        <v>19</v>
      </c>
      <c r="J33" s="15">
        <v>1.0</v>
      </c>
      <c r="K33" s="19"/>
      <c r="R33" s="24"/>
    </row>
    <row r="34">
      <c r="A34" s="20" t="s">
        <v>51</v>
      </c>
      <c r="B34" s="20">
        <v>26.777</v>
      </c>
      <c r="C34" s="20">
        <v>94.231</v>
      </c>
      <c r="D34" s="25">
        <v>1073.0</v>
      </c>
      <c r="E34" s="16">
        <v>23.0</v>
      </c>
      <c r="F34" s="21">
        <v>3240.0</v>
      </c>
      <c r="G34" s="16">
        <v>23.0</v>
      </c>
      <c r="H34" s="22">
        <v>32.0</v>
      </c>
      <c r="I34" s="18" t="s">
        <v>19</v>
      </c>
      <c r="J34" s="15">
        <v>1.0</v>
      </c>
      <c r="K34" s="19"/>
      <c r="R34" s="24"/>
    </row>
    <row r="35">
      <c r="A35" s="20" t="s">
        <v>52</v>
      </c>
      <c r="B35" s="20">
        <v>26.9826</v>
      </c>
      <c r="C35" s="20">
        <v>94.1564</v>
      </c>
      <c r="D35" s="20">
        <v>103.6</v>
      </c>
      <c r="E35" s="16">
        <v>24.0</v>
      </c>
      <c r="F35" s="21">
        <v>3240.0</v>
      </c>
      <c r="G35" s="16">
        <v>24.0</v>
      </c>
      <c r="H35" s="22">
        <v>32.0</v>
      </c>
      <c r="I35" s="18" t="s">
        <v>19</v>
      </c>
      <c r="J35" s="15">
        <v>1.0</v>
      </c>
      <c r="K35" s="19"/>
      <c r="R35" s="24"/>
    </row>
    <row r="36">
      <c r="A36" s="20" t="s">
        <v>53</v>
      </c>
      <c r="B36" s="20">
        <v>28.0626</v>
      </c>
      <c r="C36" s="20">
        <v>95.3298</v>
      </c>
      <c r="D36" s="20">
        <v>170.2</v>
      </c>
      <c r="E36" s="16">
        <v>24.0</v>
      </c>
      <c r="F36" s="21">
        <v>3240.0</v>
      </c>
      <c r="G36" s="16">
        <v>24.0</v>
      </c>
      <c r="H36" s="22">
        <v>32.0</v>
      </c>
      <c r="I36" s="18" t="s">
        <v>19</v>
      </c>
      <c r="J36" s="15">
        <v>1.0</v>
      </c>
      <c r="K36" s="19"/>
      <c r="R36" s="24"/>
    </row>
    <row r="37">
      <c r="A37" s="13" t="s">
        <v>54</v>
      </c>
      <c r="B37" s="14">
        <v>24.363</v>
      </c>
      <c r="C37" s="14">
        <v>92.16</v>
      </c>
      <c r="D37" s="15">
        <v>633.0</v>
      </c>
      <c r="E37" s="16">
        <v>25.0</v>
      </c>
      <c r="F37" s="16">
        <v>3240.0</v>
      </c>
      <c r="G37" s="16">
        <v>25.0</v>
      </c>
      <c r="H37" s="17">
        <v>32.0</v>
      </c>
      <c r="I37" s="18" t="s">
        <v>19</v>
      </c>
      <c r="J37" s="15">
        <v>1.0</v>
      </c>
      <c r="K37" s="19"/>
      <c r="R37" s="24"/>
    </row>
    <row r="38">
      <c r="A38" s="13" t="s">
        <v>55</v>
      </c>
      <c r="B38" s="18">
        <v>23.843</v>
      </c>
      <c r="C38" s="18">
        <v>91.641</v>
      </c>
      <c r="D38" s="15">
        <v>300.0</v>
      </c>
      <c r="E38" s="16">
        <v>25.0</v>
      </c>
      <c r="F38" s="16">
        <v>3240.0</v>
      </c>
      <c r="G38" s="16">
        <v>25.0</v>
      </c>
      <c r="H38" s="17">
        <v>32.0</v>
      </c>
      <c r="I38" s="18" t="s">
        <v>19</v>
      </c>
      <c r="J38" s="15">
        <v>1.0</v>
      </c>
      <c r="K38" s="19"/>
      <c r="R38" s="24"/>
    </row>
    <row r="39">
      <c r="A39" s="13" t="s">
        <v>56</v>
      </c>
      <c r="B39" s="18">
        <v>23.53</v>
      </c>
      <c r="C39" s="18">
        <v>91.469</v>
      </c>
      <c r="D39" s="15">
        <v>311.0</v>
      </c>
      <c r="E39" s="16">
        <v>25.0</v>
      </c>
      <c r="F39" s="16">
        <v>3240.0</v>
      </c>
      <c r="G39" s="16">
        <v>25.0</v>
      </c>
      <c r="H39" s="17">
        <v>32.0</v>
      </c>
      <c r="I39" s="18" t="s">
        <v>19</v>
      </c>
      <c r="J39" s="15">
        <v>1.0</v>
      </c>
      <c r="K39" s="19"/>
      <c r="R39" s="24"/>
    </row>
    <row r="40">
      <c r="A40" s="13" t="s">
        <v>57</v>
      </c>
      <c r="B40" s="18">
        <v>27.479</v>
      </c>
      <c r="C40" s="18">
        <v>95.307</v>
      </c>
      <c r="D40" s="15">
        <v>403.3</v>
      </c>
      <c r="E40" s="16">
        <v>26.0</v>
      </c>
      <c r="F40" s="16">
        <v>3240.0</v>
      </c>
      <c r="G40" s="16">
        <v>26.0</v>
      </c>
      <c r="H40" s="17">
        <v>32.0</v>
      </c>
      <c r="I40" s="18" t="s">
        <v>19</v>
      </c>
      <c r="J40" s="15">
        <v>1.0</v>
      </c>
      <c r="K40" s="19"/>
      <c r="R40" s="24"/>
    </row>
    <row r="41">
      <c r="A41" s="20" t="s">
        <v>58</v>
      </c>
      <c r="B41" s="20">
        <v>27.492</v>
      </c>
      <c r="C41" s="20">
        <v>95.443</v>
      </c>
      <c r="D41" s="20">
        <v>662.3</v>
      </c>
      <c r="E41" s="16">
        <v>26.0</v>
      </c>
      <c r="F41" s="21">
        <v>3240.0</v>
      </c>
      <c r="G41" s="16">
        <v>26.0</v>
      </c>
      <c r="H41" s="22">
        <v>32.0</v>
      </c>
      <c r="I41" s="18" t="s">
        <v>19</v>
      </c>
      <c r="J41" s="15">
        <v>1.0</v>
      </c>
      <c r="K41" s="19"/>
      <c r="R41" s="24"/>
    </row>
    <row r="42">
      <c r="A42" s="20" t="s">
        <v>59</v>
      </c>
      <c r="B42" s="20">
        <v>27.43</v>
      </c>
      <c r="C42" s="20">
        <v>94.97</v>
      </c>
      <c r="D42" s="20">
        <v>540.2</v>
      </c>
      <c r="E42" s="16">
        <v>26.0</v>
      </c>
      <c r="F42" s="21">
        <v>3240.0</v>
      </c>
      <c r="G42" s="16">
        <v>26.0</v>
      </c>
      <c r="H42" s="22">
        <v>32.0</v>
      </c>
      <c r="I42" s="18" t="s">
        <v>19</v>
      </c>
      <c r="J42" s="15">
        <v>1.0</v>
      </c>
      <c r="K42" s="19"/>
      <c r="R42" s="24"/>
    </row>
    <row r="43">
      <c r="A43" s="13" t="s">
        <v>60</v>
      </c>
      <c r="B43" s="14">
        <v>25.463</v>
      </c>
      <c r="C43" s="14">
        <v>92.223</v>
      </c>
      <c r="D43" s="15">
        <v>244.0</v>
      </c>
      <c r="E43" s="16">
        <v>27.0</v>
      </c>
      <c r="F43" s="16">
        <v>3240.0</v>
      </c>
      <c r="G43" s="16">
        <v>27.0</v>
      </c>
      <c r="H43" s="17">
        <v>32.0</v>
      </c>
      <c r="I43" s="18" t="s">
        <v>19</v>
      </c>
      <c r="J43" s="15">
        <v>1.0</v>
      </c>
      <c r="K43" s="19"/>
      <c r="R43" s="24"/>
    </row>
    <row r="44">
      <c r="A44" s="20" t="s">
        <v>61</v>
      </c>
      <c r="B44" s="20">
        <v>26.053</v>
      </c>
      <c r="C44" s="20">
        <v>91.84</v>
      </c>
      <c r="D44" s="20">
        <v>388.5</v>
      </c>
      <c r="E44" s="16">
        <v>28.0</v>
      </c>
      <c r="F44" s="21">
        <v>3240.0</v>
      </c>
      <c r="G44" s="16">
        <v>28.0</v>
      </c>
      <c r="H44" s="22">
        <v>32.0</v>
      </c>
      <c r="I44" s="18" t="s">
        <v>19</v>
      </c>
      <c r="J44" s="15">
        <v>1.0</v>
      </c>
      <c r="K44" s="19"/>
      <c r="R44" s="24"/>
    </row>
    <row r="45">
      <c r="A45" s="20" t="s">
        <v>62</v>
      </c>
      <c r="B45" s="20">
        <v>26.18</v>
      </c>
      <c r="C45" s="20">
        <v>91.74</v>
      </c>
      <c r="D45" s="20">
        <v>743.7</v>
      </c>
      <c r="E45" s="16">
        <v>29.0</v>
      </c>
      <c r="F45" s="21">
        <v>3240.0</v>
      </c>
      <c r="G45" s="16">
        <v>29.0</v>
      </c>
      <c r="H45" s="22">
        <v>32.0</v>
      </c>
      <c r="I45" s="18" t="s">
        <v>19</v>
      </c>
      <c r="J45" s="15">
        <v>1.0</v>
      </c>
      <c r="K45" s="19"/>
      <c r="R45" s="24"/>
    </row>
    <row r="46">
      <c r="A46" s="20" t="s">
        <v>63</v>
      </c>
      <c r="B46" s="20">
        <v>26.705</v>
      </c>
      <c r="C46" s="20">
        <v>92.766</v>
      </c>
      <c r="D46" s="20">
        <v>928.7</v>
      </c>
      <c r="E46" s="16">
        <v>29.0</v>
      </c>
      <c r="F46" s="21">
        <v>3240.0</v>
      </c>
      <c r="G46" s="16">
        <v>29.0</v>
      </c>
      <c r="H46" s="22">
        <v>32.0</v>
      </c>
      <c r="I46" s="18" t="s">
        <v>19</v>
      </c>
      <c r="J46" s="15">
        <v>1.0</v>
      </c>
      <c r="K46" s="19"/>
      <c r="R46" s="24"/>
    </row>
    <row r="47">
      <c r="A47" s="13" t="s">
        <v>64</v>
      </c>
      <c r="B47" s="14">
        <v>26.451</v>
      </c>
      <c r="C47" s="14">
        <v>90.562</v>
      </c>
      <c r="D47" s="15">
        <v>574.0</v>
      </c>
      <c r="E47" s="16">
        <v>30.0</v>
      </c>
      <c r="F47" s="16">
        <v>3240.0</v>
      </c>
      <c r="G47" s="16">
        <v>30.0</v>
      </c>
      <c r="H47" s="17">
        <v>32.0</v>
      </c>
      <c r="I47" s="18" t="s">
        <v>19</v>
      </c>
      <c r="J47" s="15">
        <v>1.0</v>
      </c>
      <c r="K47" s="19"/>
      <c r="R47" s="24"/>
    </row>
    <row r="48">
      <c r="A48" s="13" t="s">
        <v>65</v>
      </c>
      <c r="B48" s="14">
        <v>26.363</v>
      </c>
      <c r="C48" s="14">
        <v>90.988</v>
      </c>
      <c r="D48" s="15">
        <v>448.0</v>
      </c>
      <c r="E48" s="16">
        <v>30.0</v>
      </c>
      <c r="F48" s="16">
        <v>3240.0</v>
      </c>
      <c r="G48" s="16">
        <v>30.0</v>
      </c>
      <c r="H48" s="17">
        <v>32.0</v>
      </c>
      <c r="I48" s="18" t="s">
        <v>19</v>
      </c>
      <c r="J48" s="15">
        <v>1.0</v>
      </c>
      <c r="K48" s="19"/>
      <c r="R48" s="24"/>
    </row>
    <row r="49">
      <c r="A49" s="13" t="s">
        <v>66</v>
      </c>
      <c r="B49" s="14">
        <v>25.713</v>
      </c>
      <c r="C49" s="14">
        <v>89.9</v>
      </c>
      <c r="D49" s="15">
        <v>204.0</v>
      </c>
      <c r="E49" s="16">
        <v>31.0</v>
      </c>
      <c r="F49" s="16">
        <v>3240.0</v>
      </c>
      <c r="G49" s="16">
        <v>31.0</v>
      </c>
      <c r="H49" s="17">
        <v>32.0</v>
      </c>
      <c r="I49" s="18" t="s">
        <v>19</v>
      </c>
      <c r="J49" s="15">
        <v>1.0</v>
      </c>
      <c r="K49" s="19"/>
      <c r="R49" s="24"/>
    </row>
    <row r="50">
      <c r="A50" s="20" t="s">
        <v>67</v>
      </c>
      <c r="B50" s="20">
        <v>26.3302</v>
      </c>
      <c r="C50" s="20">
        <v>94.5263</v>
      </c>
      <c r="D50" s="20">
        <v>62.9</v>
      </c>
      <c r="E50" s="16">
        <v>32.0</v>
      </c>
      <c r="F50" s="21">
        <v>3240.0</v>
      </c>
      <c r="G50" s="16">
        <v>32.0</v>
      </c>
      <c r="H50" s="22">
        <v>32.0</v>
      </c>
      <c r="I50" s="18" t="s">
        <v>19</v>
      </c>
      <c r="J50" s="15">
        <v>1.0</v>
      </c>
      <c r="K50" s="19"/>
      <c r="R50" s="24"/>
    </row>
    <row r="51">
      <c r="A51" s="20" t="s">
        <v>68</v>
      </c>
      <c r="B51" s="20">
        <v>26.1022</v>
      </c>
      <c r="C51" s="20">
        <v>91.6862</v>
      </c>
      <c r="D51" s="20">
        <v>540.2</v>
      </c>
      <c r="E51" s="16">
        <v>33.0</v>
      </c>
      <c r="F51" s="21">
        <v>3240.0</v>
      </c>
      <c r="G51" s="16">
        <v>33.0</v>
      </c>
      <c r="H51" s="22">
        <v>32.0</v>
      </c>
      <c r="I51" s="18" t="s">
        <v>19</v>
      </c>
      <c r="J51" s="15">
        <v>1.0</v>
      </c>
      <c r="K51" s="19"/>
      <c r="R51" s="24"/>
    </row>
    <row r="52">
      <c r="A52" s="20" t="s">
        <v>69</v>
      </c>
      <c r="B52" s="20">
        <v>26.134</v>
      </c>
      <c r="C52" s="20">
        <v>91.821</v>
      </c>
      <c r="D52" s="20">
        <v>540.2</v>
      </c>
      <c r="E52" s="16">
        <v>34.0</v>
      </c>
      <c r="F52" s="21">
        <v>3240.0</v>
      </c>
      <c r="G52" s="16">
        <v>34.0</v>
      </c>
      <c r="H52" s="22">
        <v>32.0</v>
      </c>
      <c r="I52" s="18" t="s">
        <v>19</v>
      </c>
      <c r="J52" s="15">
        <v>1.0</v>
      </c>
      <c r="K52" s="19"/>
      <c r="R52" s="24"/>
    </row>
    <row r="53">
      <c r="A53" s="20" t="s">
        <v>70</v>
      </c>
      <c r="B53" s="20">
        <v>26.1222</v>
      </c>
      <c r="C53" s="20">
        <v>91.8097</v>
      </c>
      <c r="D53" s="20">
        <v>540.2</v>
      </c>
      <c r="E53" s="16">
        <v>35.0</v>
      </c>
      <c r="F53" s="21">
        <v>3240.0</v>
      </c>
      <c r="G53" s="16">
        <v>35.0</v>
      </c>
      <c r="H53" s="22">
        <v>32.0</v>
      </c>
      <c r="I53" s="18" t="s">
        <v>19</v>
      </c>
      <c r="J53" s="15">
        <v>1.0</v>
      </c>
      <c r="K53" s="19"/>
      <c r="R53" s="24"/>
    </row>
    <row r="54">
      <c r="A54" s="20" t="s">
        <v>71</v>
      </c>
      <c r="B54" s="20">
        <v>26.11</v>
      </c>
      <c r="C54" s="20">
        <v>91.53</v>
      </c>
      <c r="D54" s="20">
        <v>540.2</v>
      </c>
      <c r="E54" s="16">
        <v>36.0</v>
      </c>
      <c r="F54" s="21">
        <v>3240.0</v>
      </c>
      <c r="G54" s="16">
        <v>36.0</v>
      </c>
      <c r="H54" s="22">
        <v>32.0</v>
      </c>
      <c r="I54" s="18" t="s">
        <v>19</v>
      </c>
      <c r="J54" s="15">
        <v>1.0</v>
      </c>
      <c r="K54" s="19"/>
      <c r="R54" s="24"/>
    </row>
    <row r="55">
      <c r="R55" s="24"/>
    </row>
    <row r="56">
      <c r="R56" s="24"/>
    </row>
  </sheetData>
  <autoFilter ref="$A$1:$J$54">
    <sortState ref="A1:J54">
      <sortCondition ref="G1:G54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0.5"/>
    <col customWidth="1" min="3" max="3" width="10.25"/>
    <col customWidth="1" min="4" max="4" width="13.0"/>
    <col customWidth="1" min="5" max="5" width="4.38"/>
    <col customWidth="1" min="6" max="6" width="12.38"/>
    <col customWidth="1" min="7" max="7" width="11.75"/>
    <col customWidth="1" min="8" max="8" width="53.25"/>
    <col customWidth="1" min="9" max="9" width="11.13"/>
    <col customWidth="1" min="10" max="10" width="19.25"/>
    <col customWidth="1" min="11" max="11" width="31.13"/>
    <col customWidth="1" min="12" max="12" width="24.63"/>
  </cols>
  <sheetData>
    <row r="1">
      <c r="A1" s="24" t="s">
        <v>72</v>
      </c>
      <c r="B1" s="24" t="s">
        <v>73</v>
      </c>
      <c r="C1" s="24" t="s">
        <v>74</v>
      </c>
      <c r="D1" s="24" t="s">
        <v>75</v>
      </c>
      <c r="E1" s="24" t="s">
        <v>76</v>
      </c>
      <c r="F1" s="24" t="s">
        <v>77</v>
      </c>
      <c r="G1" s="24" t="s">
        <v>78</v>
      </c>
      <c r="H1" s="24" t="s">
        <v>79</v>
      </c>
      <c r="I1" s="26"/>
    </row>
    <row r="2">
      <c r="A2" s="27">
        <v>1.0</v>
      </c>
      <c r="B2" s="24" t="s">
        <v>18</v>
      </c>
      <c r="D2" s="27">
        <v>3020.0</v>
      </c>
      <c r="E2" s="27">
        <v>2.0</v>
      </c>
      <c r="F2" s="27">
        <v>20.0</v>
      </c>
      <c r="G2" s="27">
        <v>1154.4</v>
      </c>
      <c r="H2" s="24" t="s">
        <v>80</v>
      </c>
      <c r="I2" s="26"/>
    </row>
    <row r="3">
      <c r="A3" s="27">
        <v>1.0</v>
      </c>
      <c r="B3" s="24" t="s">
        <v>47</v>
      </c>
      <c r="C3" s="27">
        <v>3240.0</v>
      </c>
      <c r="D3" s="27">
        <v>3360.0</v>
      </c>
      <c r="E3" s="27">
        <v>2.0</v>
      </c>
      <c r="F3" s="27">
        <v>20.0</v>
      </c>
      <c r="G3" s="27">
        <v>1154.4</v>
      </c>
      <c r="H3" s="24" t="s">
        <v>80</v>
      </c>
      <c r="I3" s="26"/>
    </row>
    <row r="4">
      <c r="A4" s="27">
        <v>1.0</v>
      </c>
      <c r="B4" s="24" t="s">
        <v>18</v>
      </c>
      <c r="C4" s="27">
        <v>3580.0</v>
      </c>
      <c r="E4" s="27">
        <v>2.0</v>
      </c>
      <c r="F4" s="27">
        <v>20.0</v>
      </c>
      <c r="G4" s="27">
        <v>1154.4</v>
      </c>
      <c r="H4" s="24" t="s">
        <v>80</v>
      </c>
      <c r="I4" s="26"/>
    </row>
    <row r="5">
      <c r="A5" s="27">
        <v>2.0</v>
      </c>
      <c r="B5" s="24" t="s">
        <v>18</v>
      </c>
      <c r="D5" s="27">
        <v>2884.0</v>
      </c>
      <c r="E5" s="27">
        <v>2.0</v>
      </c>
      <c r="F5" s="27">
        <v>14.0</v>
      </c>
      <c r="G5" s="27">
        <v>577.2</v>
      </c>
      <c r="H5" s="24" t="s">
        <v>81</v>
      </c>
      <c r="I5" s="26"/>
    </row>
    <row r="6">
      <c r="A6" s="27">
        <v>2.0</v>
      </c>
      <c r="B6" s="24" t="s">
        <v>48</v>
      </c>
      <c r="C6" s="27">
        <v>3240.0</v>
      </c>
      <c r="D6" s="27">
        <v>3360.0</v>
      </c>
      <c r="E6" s="27">
        <v>2.0</v>
      </c>
      <c r="F6" s="27">
        <v>14.0</v>
      </c>
      <c r="G6" s="27">
        <v>577.2</v>
      </c>
      <c r="H6" s="24" t="s">
        <v>81</v>
      </c>
      <c r="I6" s="26"/>
    </row>
    <row r="7">
      <c r="A7" s="27">
        <v>2.0</v>
      </c>
      <c r="B7" s="24" t="s">
        <v>18</v>
      </c>
      <c r="C7" s="27">
        <v>3716.0</v>
      </c>
      <c r="E7" s="27">
        <v>2.0</v>
      </c>
      <c r="F7" s="27">
        <v>14.0</v>
      </c>
      <c r="G7" s="27">
        <v>577.2</v>
      </c>
      <c r="H7" s="24" t="s">
        <v>81</v>
      </c>
      <c r="I7" s="26"/>
    </row>
    <row r="8">
      <c r="A8" s="27">
        <v>3.0</v>
      </c>
      <c r="B8" s="24" t="s">
        <v>18</v>
      </c>
      <c r="D8" s="27">
        <v>3225.0</v>
      </c>
      <c r="E8" s="27">
        <v>2.0</v>
      </c>
      <c r="F8" s="27">
        <v>20.0</v>
      </c>
      <c r="G8" s="27">
        <v>1080.4</v>
      </c>
      <c r="H8" s="24" t="s">
        <v>82</v>
      </c>
      <c r="I8" s="26"/>
    </row>
    <row r="9">
      <c r="A9" s="27">
        <v>3.0</v>
      </c>
      <c r="B9" s="24" t="s">
        <v>71</v>
      </c>
      <c r="C9" s="27">
        <v>3240.0</v>
      </c>
      <c r="D9" s="27">
        <v>3360.0</v>
      </c>
      <c r="E9" s="27">
        <v>2.0</v>
      </c>
      <c r="F9" s="27">
        <v>20.0</v>
      </c>
      <c r="G9" s="27">
        <v>1080.4</v>
      </c>
      <c r="H9" s="24" t="s">
        <v>82</v>
      </c>
      <c r="I9" s="26"/>
    </row>
    <row r="10">
      <c r="A10" s="27">
        <v>3.0</v>
      </c>
      <c r="B10" s="24" t="s">
        <v>18</v>
      </c>
      <c r="C10" s="27">
        <v>3375.0</v>
      </c>
      <c r="E10" s="27">
        <v>2.0</v>
      </c>
      <c r="F10" s="27">
        <v>20.0</v>
      </c>
      <c r="G10" s="27">
        <v>1080.4</v>
      </c>
      <c r="H10" s="24" t="s">
        <v>82</v>
      </c>
      <c r="I10" s="26"/>
    </row>
    <row r="11">
      <c r="A11" s="27">
        <v>4.0</v>
      </c>
      <c r="B11" s="24" t="s">
        <v>18</v>
      </c>
      <c r="D11" s="27">
        <v>1180.0</v>
      </c>
      <c r="E11" s="27">
        <v>2.0</v>
      </c>
      <c r="F11" s="27">
        <v>14.0</v>
      </c>
      <c r="G11" s="27">
        <v>547.5999999999999</v>
      </c>
      <c r="H11" s="24" t="s">
        <v>83</v>
      </c>
      <c r="I11" s="26"/>
    </row>
    <row r="12">
      <c r="A12" s="27">
        <v>4.0</v>
      </c>
      <c r="B12" s="24" t="s">
        <v>53</v>
      </c>
      <c r="C12" s="27">
        <v>2558.0</v>
      </c>
      <c r="D12" s="27">
        <v>2678.0</v>
      </c>
      <c r="E12" s="27">
        <v>2.0</v>
      </c>
      <c r="F12" s="27">
        <v>14.0</v>
      </c>
      <c r="G12" s="27">
        <v>547.5999999999999</v>
      </c>
      <c r="H12" s="24" t="s">
        <v>83</v>
      </c>
      <c r="I12" s="26"/>
    </row>
    <row r="13">
      <c r="A13" s="27">
        <v>4.0</v>
      </c>
      <c r="B13" s="24" t="s">
        <v>52</v>
      </c>
      <c r="C13" s="27">
        <v>3240.0</v>
      </c>
      <c r="D13" s="27">
        <v>3360.0</v>
      </c>
      <c r="E13" s="27">
        <v>2.0</v>
      </c>
      <c r="F13" s="27">
        <v>14.0</v>
      </c>
      <c r="G13" s="27">
        <v>547.5999999999999</v>
      </c>
      <c r="H13" s="24" t="s">
        <v>83</v>
      </c>
      <c r="I13" s="26"/>
    </row>
    <row r="14">
      <c r="A14" s="27">
        <v>4.0</v>
      </c>
      <c r="B14" s="24" t="s">
        <v>18</v>
      </c>
      <c r="C14" s="27">
        <v>4344.0</v>
      </c>
      <c r="E14" s="27">
        <v>2.0</v>
      </c>
      <c r="F14" s="27">
        <v>14.0</v>
      </c>
      <c r="G14" s="27">
        <v>547.5999999999999</v>
      </c>
      <c r="H14" s="24" t="s">
        <v>83</v>
      </c>
      <c r="I14" s="26"/>
    </row>
    <row r="15">
      <c r="A15" s="27">
        <v>5.0</v>
      </c>
      <c r="B15" s="24" t="s">
        <v>18</v>
      </c>
      <c r="D15" s="27">
        <v>1762.0</v>
      </c>
      <c r="E15" s="27">
        <v>2.0</v>
      </c>
      <c r="F15" s="27">
        <v>32.0</v>
      </c>
      <c r="G15" s="27">
        <v>2064.6</v>
      </c>
      <c r="H15" s="24" t="s">
        <v>84</v>
      </c>
      <c r="I15" s="26"/>
    </row>
    <row r="16">
      <c r="A16" s="27">
        <v>5.0</v>
      </c>
      <c r="B16" s="24" t="s">
        <v>31</v>
      </c>
      <c r="C16" s="27">
        <v>2872.0</v>
      </c>
      <c r="D16" s="27">
        <v>2992.0</v>
      </c>
      <c r="E16" s="27">
        <v>2.0</v>
      </c>
      <c r="F16" s="27">
        <v>32.0</v>
      </c>
      <c r="G16" s="27">
        <v>2064.6</v>
      </c>
      <c r="H16" s="24" t="s">
        <v>84</v>
      </c>
      <c r="I16" s="26"/>
    </row>
    <row r="17">
      <c r="A17" s="27">
        <v>5.0</v>
      </c>
      <c r="B17" s="24" t="s">
        <v>32</v>
      </c>
      <c r="C17" s="27">
        <v>3240.0</v>
      </c>
      <c r="D17" s="27">
        <v>3360.0</v>
      </c>
      <c r="E17" s="27">
        <v>2.0</v>
      </c>
      <c r="F17" s="27">
        <v>32.0</v>
      </c>
      <c r="G17" s="27">
        <v>2064.6</v>
      </c>
      <c r="H17" s="24" t="s">
        <v>84</v>
      </c>
      <c r="I17" s="26"/>
    </row>
    <row r="18">
      <c r="A18" s="27">
        <v>5.0</v>
      </c>
      <c r="B18" s="24" t="s">
        <v>18</v>
      </c>
      <c r="C18" s="27">
        <v>4232.0</v>
      </c>
      <c r="E18" s="27">
        <v>2.0</v>
      </c>
      <c r="F18" s="27">
        <v>32.0</v>
      </c>
      <c r="G18" s="27">
        <v>2064.6</v>
      </c>
      <c r="H18" s="24" t="s">
        <v>84</v>
      </c>
      <c r="I18" s="26"/>
    </row>
    <row r="19">
      <c r="A19" s="27">
        <v>6.0</v>
      </c>
      <c r="B19" s="24" t="s">
        <v>18</v>
      </c>
      <c r="D19" s="27">
        <v>2444.0</v>
      </c>
      <c r="E19" s="27">
        <v>2.0</v>
      </c>
      <c r="F19" s="27">
        <v>24.0</v>
      </c>
      <c r="G19" s="27">
        <v>1546.6</v>
      </c>
      <c r="H19" s="24" t="s">
        <v>85</v>
      </c>
      <c r="I19" s="26"/>
    </row>
    <row r="20">
      <c r="A20" s="27">
        <v>6.0</v>
      </c>
      <c r="B20" s="24" t="s">
        <v>30</v>
      </c>
      <c r="C20" s="27">
        <v>3240.0</v>
      </c>
      <c r="D20" s="27">
        <v>3360.0</v>
      </c>
      <c r="E20" s="27">
        <v>2.0</v>
      </c>
      <c r="F20" s="27">
        <v>24.0</v>
      </c>
      <c r="G20" s="27">
        <v>1546.6</v>
      </c>
      <c r="H20" s="24" t="s">
        <v>85</v>
      </c>
      <c r="I20" s="26"/>
    </row>
    <row r="21">
      <c r="A21" s="27">
        <v>6.0</v>
      </c>
      <c r="B21" s="24" t="s">
        <v>18</v>
      </c>
      <c r="C21" s="27">
        <v>4156.0</v>
      </c>
      <c r="E21" s="27">
        <v>2.0</v>
      </c>
      <c r="F21" s="27">
        <v>24.0</v>
      </c>
      <c r="G21" s="27">
        <v>1546.6</v>
      </c>
      <c r="H21" s="24" t="s">
        <v>85</v>
      </c>
      <c r="I21" s="26"/>
    </row>
    <row r="22">
      <c r="A22" s="27">
        <v>7.0</v>
      </c>
      <c r="B22" s="24" t="s">
        <v>18</v>
      </c>
      <c r="D22" s="27">
        <v>3142.0</v>
      </c>
      <c r="E22" s="27">
        <v>2.0</v>
      </c>
      <c r="F22" s="27">
        <v>24.0</v>
      </c>
      <c r="G22" s="27">
        <v>1487.4</v>
      </c>
      <c r="H22" s="24" t="s">
        <v>86</v>
      </c>
      <c r="I22" s="26"/>
    </row>
    <row r="23">
      <c r="A23" s="27">
        <v>7.0</v>
      </c>
      <c r="B23" s="24" t="s">
        <v>62</v>
      </c>
      <c r="C23" s="27">
        <v>3240.0</v>
      </c>
      <c r="D23" s="27">
        <v>3360.0</v>
      </c>
      <c r="E23" s="27">
        <v>2.0</v>
      </c>
      <c r="F23" s="27">
        <v>24.0</v>
      </c>
      <c r="G23" s="27">
        <v>1487.4</v>
      </c>
      <c r="H23" s="24" t="s">
        <v>86</v>
      </c>
      <c r="I23" s="26"/>
    </row>
    <row r="24">
      <c r="A24" s="27">
        <v>7.0</v>
      </c>
      <c r="B24" s="24" t="s">
        <v>18</v>
      </c>
      <c r="C24" s="27">
        <v>3458.0</v>
      </c>
      <c r="E24" s="27">
        <v>2.0</v>
      </c>
      <c r="F24" s="27">
        <v>24.0</v>
      </c>
      <c r="G24" s="27">
        <v>1487.4</v>
      </c>
      <c r="H24" s="24" t="s">
        <v>86</v>
      </c>
      <c r="I24" s="26"/>
    </row>
    <row r="25">
      <c r="A25" s="27">
        <v>8.0</v>
      </c>
      <c r="B25" s="24" t="s">
        <v>18</v>
      </c>
      <c r="D25" s="27">
        <v>2730.0</v>
      </c>
      <c r="E25" s="27">
        <v>2.0</v>
      </c>
      <c r="F25" s="27">
        <v>32.0</v>
      </c>
      <c r="G25" s="27">
        <v>1857.4</v>
      </c>
      <c r="H25" s="24" t="s">
        <v>87</v>
      </c>
      <c r="I25" s="26"/>
    </row>
    <row r="26">
      <c r="A26" s="27">
        <v>8.0</v>
      </c>
      <c r="B26" s="24" t="s">
        <v>63</v>
      </c>
      <c r="C26" s="27">
        <v>3240.0</v>
      </c>
      <c r="D26" s="27">
        <v>3360.0</v>
      </c>
      <c r="E26" s="27">
        <v>2.0</v>
      </c>
      <c r="F26" s="27">
        <v>32.0</v>
      </c>
      <c r="G26" s="27">
        <v>1857.4</v>
      </c>
      <c r="H26" s="24" t="s">
        <v>87</v>
      </c>
      <c r="I26" s="26"/>
    </row>
    <row r="27">
      <c r="A27" s="27">
        <v>8.0</v>
      </c>
      <c r="B27" s="24" t="s">
        <v>18</v>
      </c>
      <c r="C27" s="27">
        <v>3870.0</v>
      </c>
      <c r="E27" s="27">
        <v>2.0</v>
      </c>
      <c r="F27" s="27">
        <v>32.0</v>
      </c>
      <c r="G27" s="27">
        <v>1857.4</v>
      </c>
      <c r="H27" s="24" t="s">
        <v>87</v>
      </c>
    </row>
    <row r="28">
      <c r="A28" s="27">
        <v>9.0</v>
      </c>
      <c r="B28" s="24" t="s">
        <v>18</v>
      </c>
      <c r="D28" s="27">
        <v>1826.0</v>
      </c>
      <c r="E28" s="27">
        <v>2.0</v>
      </c>
      <c r="F28" s="27">
        <v>32.0</v>
      </c>
      <c r="G28" s="27">
        <v>2131.2</v>
      </c>
      <c r="H28" s="24" t="s">
        <v>88</v>
      </c>
    </row>
    <row r="29">
      <c r="A29" s="27">
        <v>9.0</v>
      </c>
      <c r="B29" s="24" t="s">
        <v>57</v>
      </c>
      <c r="C29" s="27">
        <v>3060.0</v>
      </c>
      <c r="D29" s="27">
        <v>3180.0</v>
      </c>
      <c r="E29" s="27">
        <v>2.0</v>
      </c>
      <c r="F29" s="27">
        <v>32.0</v>
      </c>
      <c r="G29" s="27">
        <v>2131.2</v>
      </c>
      <c r="H29" s="24" t="s">
        <v>88</v>
      </c>
    </row>
    <row r="30">
      <c r="A30" s="27">
        <v>9.0</v>
      </c>
      <c r="B30" s="24" t="s">
        <v>58</v>
      </c>
      <c r="C30" s="27">
        <v>3240.0</v>
      </c>
      <c r="D30" s="27">
        <v>3360.0</v>
      </c>
      <c r="E30" s="27">
        <v>2.0</v>
      </c>
      <c r="F30" s="27">
        <v>32.0</v>
      </c>
      <c r="G30" s="27">
        <v>2131.2</v>
      </c>
      <c r="H30" s="24" t="s">
        <v>88</v>
      </c>
    </row>
    <row r="31">
      <c r="A31" s="27">
        <v>9.0</v>
      </c>
      <c r="B31" s="24" t="s">
        <v>18</v>
      </c>
      <c r="C31" s="27">
        <v>4632.0</v>
      </c>
      <c r="E31" s="27">
        <v>2.0</v>
      </c>
      <c r="F31" s="27">
        <v>32.0</v>
      </c>
      <c r="G31" s="27">
        <v>2131.2</v>
      </c>
      <c r="H31" s="24" t="s">
        <v>88</v>
      </c>
    </row>
    <row r="32">
      <c r="A32" s="27">
        <v>10.0</v>
      </c>
      <c r="B32" s="24" t="s">
        <v>18</v>
      </c>
      <c r="D32" s="27">
        <v>2066.0</v>
      </c>
      <c r="E32" s="27">
        <v>2.0</v>
      </c>
      <c r="F32" s="27">
        <v>20.0</v>
      </c>
      <c r="G32" s="27">
        <v>1080.4</v>
      </c>
      <c r="H32" s="24" t="s">
        <v>89</v>
      </c>
    </row>
    <row r="33">
      <c r="A33" s="27">
        <v>10.0</v>
      </c>
      <c r="B33" s="24" t="s">
        <v>59</v>
      </c>
      <c r="C33" s="27">
        <v>3240.0</v>
      </c>
      <c r="D33" s="27">
        <v>3360.0</v>
      </c>
      <c r="E33" s="27">
        <v>2.0</v>
      </c>
      <c r="F33" s="27">
        <v>20.0</v>
      </c>
      <c r="G33" s="27">
        <v>1080.4</v>
      </c>
      <c r="H33" s="24" t="s">
        <v>89</v>
      </c>
    </row>
    <row r="34">
      <c r="A34" s="27">
        <v>10.0</v>
      </c>
      <c r="B34" s="24" t="s">
        <v>18</v>
      </c>
      <c r="C34" s="27">
        <v>4534.0</v>
      </c>
      <c r="E34" s="27">
        <v>2.0</v>
      </c>
      <c r="F34" s="27">
        <v>20.0</v>
      </c>
      <c r="G34" s="27">
        <v>1080.4</v>
      </c>
      <c r="H34" s="24" t="s">
        <v>89</v>
      </c>
    </row>
    <row r="35">
      <c r="A35" s="27">
        <v>11.0</v>
      </c>
      <c r="B35" s="24" t="s">
        <v>18</v>
      </c>
      <c r="D35" s="27">
        <v>1506.0</v>
      </c>
      <c r="E35" s="27">
        <v>1.0</v>
      </c>
      <c r="F35" s="27">
        <v>20.0</v>
      </c>
      <c r="G35" s="27">
        <v>1213.6</v>
      </c>
      <c r="H35" s="24" t="s">
        <v>90</v>
      </c>
    </row>
    <row r="36">
      <c r="A36" s="27">
        <v>11.0</v>
      </c>
      <c r="B36" s="24" t="s">
        <v>25</v>
      </c>
      <c r="C36" s="27">
        <v>2598.0</v>
      </c>
      <c r="D36" s="27">
        <v>2718.0</v>
      </c>
      <c r="E36" s="27">
        <v>1.0</v>
      </c>
      <c r="F36" s="27">
        <v>20.0</v>
      </c>
      <c r="G36" s="27">
        <v>1213.6</v>
      </c>
      <c r="H36" s="24" t="s">
        <v>90</v>
      </c>
    </row>
    <row r="37">
      <c r="A37" s="27">
        <v>11.0</v>
      </c>
      <c r="B37" s="24" t="s">
        <v>26</v>
      </c>
      <c r="C37" s="27">
        <v>2858.0</v>
      </c>
      <c r="D37" s="27">
        <v>2978.0</v>
      </c>
      <c r="E37" s="27">
        <v>1.0</v>
      </c>
      <c r="F37" s="27">
        <v>20.0</v>
      </c>
      <c r="G37" s="27">
        <v>1213.6</v>
      </c>
      <c r="H37" s="24" t="s">
        <v>90</v>
      </c>
    </row>
    <row r="38">
      <c r="A38" s="27">
        <v>11.0</v>
      </c>
      <c r="B38" s="24" t="s">
        <v>24</v>
      </c>
      <c r="C38" s="27">
        <v>3240.0</v>
      </c>
      <c r="D38" s="27">
        <v>3360.0</v>
      </c>
      <c r="E38" s="27">
        <v>1.0</v>
      </c>
      <c r="F38" s="27">
        <v>20.0</v>
      </c>
      <c r="G38" s="27">
        <v>1213.6</v>
      </c>
      <c r="H38" s="24" t="s">
        <v>90</v>
      </c>
    </row>
    <row r="39">
      <c r="A39" s="27">
        <v>11.0</v>
      </c>
      <c r="B39" s="24" t="s">
        <v>18</v>
      </c>
      <c r="C39" s="27">
        <v>4338.0</v>
      </c>
      <c r="E39" s="27">
        <v>1.0</v>
      </c>
      <c r="F39" s="27">
        <v>20.0</v>
      </c>
      <c r="G39" s="27">
        <v>1213.6</v>
      </c>
      <c r="H39" s="24" t="s">
        <v>90</v>
      </c>
    </row>
    <row r="40">
      <c r="A40" s="27">
        <v>12.0</v>
      </c>
      <c r="B40" s="24" t="s">
        <v>18</v>
      </c>
      <c r="D40" s="27">
        <v>2432.0</v>
      </c>
      <c r="E40" s="27">
        <v>2.0</v>
      </c>
      <c r="F40" s="27">
        <v>32.0</v>
      </c>
      <c r="G40" s="27">
        <v>2146.0</v>
      </c>
      <c r="H40" s="24" t="s">
        <v>91</v>
      </c>
    </row>
    <row r="41">
      <c r="A41" s="27">
        <v>12.0</v>
      </c>
      <c r="B41" s="24" t="s">
        <v>51</v>
      </c>
      <c r="C41" s="27">
        <v>3240.0</v>
      </c>
      <c r="D41" s="27">
        <v>3360.0</v>
      </c>
      <c r="E41" s="27">
        <v>2.0</v>
      </c>
      <c r="F41" s="27">
        <v>32.0</v>
      </c>
      <c r="G41" s="27">
        <v>2146.0</v>
      </c>
      <c r="H41" s="24" t="s">
        <v>91</v>
      </c>
    </row>
    <row r="42">
      <c r="A42" s="27">
        <v>12.0</v>
      </c>
      <c r="B42" s="24" t="s">
        <v>18</v>
      </c>
      <c r="C42" s="27">
        <v>4168.0</v>
      </c>
      <c r="E42" s="27">
        <v>2.0</v>
      </c>
      <c r="F42" s="27">
        <v>32.0</v>
      </c>
      <c r="G42" s="27">
        <v>2146.0</v>
      </c>
      <c r="H42" s="24" t="s">
        <v>91</v>
      </c>
    </row>
    <row r="43">
      <c r="A43" s="27">
        <v>13.0</v>
      </c>
      <c r="B43" s="24" t="s">
        <v>18</v>
      </c>
      <c r="D43" s="27">
        <v>2224.0</v>
      </c>
      <c r="E43" s="27">
        <v>2.0</v>
      </c>
      <c r="F43" s="27">
        <v>24.0</v>
      </c>
      <c r="G43" s="27">
        <v>1398.6</v>
      </c>
      <c r="H43" s="24" t="s">
        <v>92</v>
      </c>
    </row>
    <row r="44">
      <c r="A44" s="27">
        <v>13.0</v>
      </c>
      <c r="B44" s="24" t="s">
        <v>27</v>
      </c>
      <c r="C44" s="27">
        <v>3014.0</v>
      </c>
      <c r="D44" s="27">
        <v>3134.0</v>
      </c>
      <c r="E44" s="27">
        <v>2.0</v>
      </c>
      <c r="F44" s="27">
        <v>24.0</v>
      </c>
      <c r="G44" s="27">
        <v>1398.6</v>
      </c>
      <c r="H44" s="24" t="s">
        <v>92</v>
      </c>
    </row>
    <row r="45">
      <c r="A45" s="27">
        <v>13.0</v>
      </c>
      <c r="B45" s="24" t="s">
        <v>28</v>
      </c>
      <c r="C45" s="27">
        <v>3240.0</v>
      </c>
      <c r="D45" s="27">
        <v>3360.0</v>
      </c>
      <c r="E45" s="27">
        <v>2.0</v>
      </c>
      <c r="F45" s="27">
        <v>24.0</v>
      </c>
      <c r="G45" s="27">
        <v>1398.6</v>
      </c>
      <c r="H45" s="24" t="s">
        <v>92</v>
      </c>
    </row>
    <row r="46">
      <c r="A46" s="27">
        <v>13.0</v>
      </c>
      <c r="B46" s="24" t="s">
        <v>18</v>
      </c>
      <c r="C46" s="27">
        <v>4146.0</v>
      </c>
      <c r="E46" s="27">
        <v>2.0</v>
      </c>
      <c r="F46" s="27">
        <v>24.0</v>
      </c>
      <c r="G46" s="27">
        <v>1398.6</v>
      </c>
      <c r="H46" s="24" t="s">
        <v>92</v>
      </c>
    </row>
    <row r="47">
      <c r="A47" s="27">
        <v>14.0</v>
      </c>
      <c r="B47" s="24" t="s">
        <v>18</v>
      </c>
      <c r="D47" s="27">
        <v>3120.0</v>
      </c>
      <c r="E47" s="27">
        <v>2.0</v>
      </c>
      <c r="F47" s="27">
        <v>20.0</v>
      </c>
      <c r="G47" s="27">
        <v>1080.4</v>
      </c>
      <c r="H47" s="24" t="s">
        <v>93</v>
      </c>
    </row>
    <row r="48">
      <c r="A48" s="27">
        <v>14.0</v>
      </c>
      <c r="B48" s="24" t="s">
        <v>69</v>
      </c>
      <c r="C48" s="27">
        <v>3240.0</v>
      </c>
      <c r="D48" s="27">
        <v>3360.0</v>
      </c>
      <c r="E48" s="27">
        <v>2.0</v>
      </c>
      <c r="F48" s="27">
        <v>20.0</v>
      </c>
      <c r="G48" s="27">
        <v>1080.4</v>
      </c>
      <c r="H48" s="24" t="s">
        <v>93</v>
      </c>
    </row>
    <row r="49">
      <c r="A49" s="27">
        <v>14.0</v>
      </c>
      <c r="B49" s="24" t="s">
        <v>18</v>
      </c>
      <c r="C49" s="27">
        <v>3480.0</v>
      </c>
      <c r="E49" s="27">
        <v>2.0</v>
      </c>
      <c r="F49" s="27">
        <v>20.0</v>
      </c>
      <c r="G49" s="27">
        <v>1080.4</v>
      </c>
      <c r="H49" s="24" t="s">
        <v>93</v>
      </c>
    </row>
    <row r="50">
      <c r="A50" s="27">
        <v>15.0</v>
      </c>
      <c r="B50" s="24" t="s">
        <v>18</v>
      </c>
      <c r="D50" s="27">
        <v>2040.0</v>
      </c>
      <c r="E50" s="27">
        <v>2.0</v>
      </c>
      <c r="F50" s="27">
        <v>7.0</v>
      </c>
      <c r="G50" s="27">
        <v>125.8</v>
      </c>
      <c r="H50" s="24" t="s">
        <v>94</v>
      </c>
    </row>
    <row r="51">
      <c r="A51" s="27">
        <v>15.0</v>
      </c>
      <c r="B51" s="24" t="s">
        <v>67</v>
      </c>
      <c r="C51" s="27">
        <v>3240.0</v>
      </c>
      <c r="D51" s="27">
        <v>3360.0</v>
      </c>
      <c r="E51" s="27">
        <v>2.0</v>
      </c>
      <c r="F51" s="27">
        <v>7.0</v>
      </c>
      <c r="G51" s="27">
        <v>125.8</v>
      </c>
      <c r="H51" s="24" t="s">
        <v>94</v>
      </c>
    </row>
    <row r="52">
      <c r="A52" s="27">
        <v>15.0</v>
      </c>
      <c r="B52" s="24" t="s">
        <v>18</v>
      </c>
      <c r="C52" s="27">
        <v>4560.0</v>
      </c>
      <c r="E52" s="27">
        <v>2.0</v>
      </c>
      <c r="F52" s="27">
        <v>7.0</v>
      </c>
      <c r="G52" s="27">
        <v>125.8</v>
      </c>
      <c r="H52" s="24" t="s">
        <v>94</v>
      </c>
    </row>
    <row r="53">
      <c r="A53" s="27">
        <v>16.0</v>
      </c>
      <c r="B53" s="24" t="s">
        <v>18</v>
      </c>
      <c r="D53" s="27">
        <v>3135.0</v>
      </c>
      <c r="E53" s="27">
        <v>2.0</v>
      </c>
      <c r="F53" s="27">
        <v>20.0</v>
      </c>
      <c r="G53" s="27">
        <v>1080.4</v>
      </c>
      <c r="H53" s="24" t="s">
        <v>95</v>
      </c>
    </row>
    <row r="54">
      <c r="A54" s="27">
        <v>16.0</v>
      </c>
      <c r="B54" s="24" t="s">
        <v>70</v>
      </c>
      <c r="C54" s="27">
        <v>3240.0</v>
      </c>
      <c r="D54" s="27">
        <v>3360.0</v>
      </c>
      <c r="E54" s="27">
        <v>2.0</v>
      </c>
      <c r="F54" s="27">
        <v>20.0</v>
      </c>
      <c r="G54" s="27">
        <v>1080.4</v>
      </c>
      <c r="H54" s="24" t="s">
        <v>95</v>
      </c>
    </row>
    <row r="55">
      <c r="A55" s="27">
        <v>16.0</v>
      </c>
      <c r="B55" s="24" t="s">
        <v>18</v>
      </c>
      <c r="C55" s="27">
        <v>3465.0</v>
      </c>
      <c r="E55" s="27">
        <v>2.0</v>
      </c>
      <c r="F55" s="27">
        <v>20.0</v>
      </c>
      <c r="G55" s="27">
        <v>1080.4</v>
      </c>
      <c r="H55" s="24" t="s">
        <v>95</v>
      </c>
    </row>
    <row r="56">
      <c r="A56" s="27">
        <v>17.0</v>
      </c>
      <c r="B56" s="24" t="s">
        <v>18</v>
      </c>
      <c r="D56" s="27">
        <v>3150.0</v>
      </c>
      <c r="E56" s="27">
        <v>2.0</v>
      </c>
      <c r="F56" s="27">
        <v>20.0</v>
      </c>
      <c r="G56" s="27">
        <v>1080.4</v>
      </c>
      <c r="H56" s="24" t="s">
        <v>96</v>
      </c>
    </row>
    <row r="57">
      <c r="A57" s="27">
        <v>17.0</v>
      </c>
      <c r="B57" s="24" t="s">
        <v>68</v>
      </c>
      <c r="C57" s="27">
        <v>3240.0</v>
      </c>
      <c r="D57" s="27">
        <v>3360.0</v>
      </c>
      <c r="E57" s="27">
        <v>2.0</v>
      </c>
      <c r="F57" s="27">
        <v>20.0</v>
      </c>
      <c r="G57" s="27">
        <v>1080.4</v>
      </c>
      <c r="H57" s="24" t="s">
        <v>96</v>
      </c>
    </row>
    <row r="58">
      <c r="A58" s="27">
        <v>17.0</v>
      </c>
      <c r="B58" s="24" t="s">
        <v>18</v>
      </c>
      <c r="C58" s="27">
        <v>3450.0</v>
      </c>
      <c r="E58" s="27">
        <v>2.0</v>
      </c>
      <c r="F58" s="27">
        <v>20.0</v>
      </c>
      <c r="G58" s="27">
        <v>1080.4</v>
      </c>
      <c r="H58" s="24" t="s">
        <v>96</v>
      </c>
    </row>
    <row r="59">
      <c r="A59" s="27">
        <v>18.0</v>
      </c>
      <c r="B59" s="24" t="s">
        <v>18</v>
      </c>
      <c r="D59" s="27">
        <v>2174.0</v>
      </c>
      <c r="E59" s="27">
        <v>2.0</v>
      </c>
      <c r="F59" s="27">
        <v>32.0</v>
      </c>
      <c r="G59" s="27">
        <v>1598.4</v>
      </c>
      <c r="H59" s="24" t="s">
        <v>97</v>
      </c>
    </row>
    <row r="60">
      <c r="A60" s="27">
        <v>18.0</v>
      </c>
      <c r="B60" s="24" t="s">
        <v>37</v>
      </c>
      <c r="C60" s="27">
        <v>2850.0</v>
      </c>
      <c r="D60" s="27">
        <v>2970.0</v>
      </c>
      <c r="E60" s="27">
        <v>2.0</v>
      </c>
      <c r="F60" s="27">
        <v>32.0</v>
      </c>
      <c r="G60" s="27">
        <v>1598.4</v>
      </c>
      <c r="H60" s="24" t="s">
        <v>97</v>
      </c>
    </row>
    <row r="61">
      <c r="A61" s="27">
        <v>18.0</v>
      </c>
      <c r="B61" s="24" t="s">
        <v>38</v>
      </c>
      <c r="C61" s="27">
        <v>3240.0</v>
      </c>
      <c r="D61" s="27">
        <v>3360.0</v>
      </c>
      <c r="E61" s="27">
        <v>2.0</v>
      </c>
      <c r="F61" s="27">
        <v>32.0</v>
      </c>
      <c r="G61" s="27">
        <v>1598.4</v>
      </c>
      <c r="H61" s="24" t="s">
        <v>97</v>
      </c>
    </row>
    <row r="62">
      <c r="A62" s="27">
        <v>18.0</v>
      </c>
      <c r="B62" s="24" t="s">
        <v>18</v>
      </c>
      <c r="C62" s="27">
        <v>4288.0</v>
      </c>
      <c r="E62" s="27">
        <v>2.0</v>
      </c>
      <c r="F62" s="27">
        <v>32.0</v>
      </c>
      <c r="G62" s="27">
        <v>1598.4</v>
      </c>
      <c r="H62" s="24" t="s">
        <v>97</v>
      </c>
    </row>
    <row r="63">
      <c r="A63" s="27">
        <v>19.0</v>
      </c>
      <c r="B63" s="24" t="s">
        <v>18</v>
      </c>
      <c r="D63" s="27">
        <v>2442.0</v>
      </c>
      <c r="E63" s="27">
        <v>2.0</v>
      </c>
      <c r="F63" s="27">
        <v>24.0</v>
      </c>
      <c r="G63" s="27">
        <v>1480.0</v>
      </c>
      <c r="H63" s="24" t="s">
        <v>98</v>
      </c>
    </row>
    <row r="64">
      <c r="A64" s="27">
        <v>19.0</v>
      </c>
      <c r="B64" s="24" t="s">
        <v>40</v>
      </c>
      <c r="C64" s="27">
        <v>2910.0</v>
      </c>
      <c r="D64" s="27">
        <v>3030.0</v>
      </c>
      <c r="E64" s="27">
        <v>2.0</v>
      </c>
      <c r="F64" s="27">
        <v>24.0</v>
      </c>
      <c r="G64" s="27">
        <v>1480.0</v>
      </c>
      <c r="H64" s="24" t="s">
        <v>98</v>
      </c>
    </row>
    <row r="65">
      <c r="A65" s="27">
        <v>19.0</v>
      </c>
      <c r="B65" s="24" t="s">
        <v>39</v>
      </c>
      <c r="C65" s="27">
        <v>3240.0</v>
      </c>
      <c r="D65" s="27">
        <v>3360.0</v>
      </c>
      <c r="E65" s="27">
        <v>2.0</v>
      </c>
      <c r="F65" s="27">
        <v>24.0</v>
      </c>
      <c r="G65" s="27">
        <v>1480.0</v>
      </c>
      <c r="H65" s="24" t="s">
        <v>98</v>
      </c>
    </row>
    <row r="66">
      <c r="A66" s="27">
        <v>19.0</v>
      </c>
      <c r="B66" s="24" t="s">
        <v>18</v>
      </c>
      <c r="C66" s="27">
        <v>4014.0</v>
      </c>
      <c r="E66" s="27">
        <v>2.0</v>
      </c>
      <c r="F66" s="27">
        <v>24.0</v>
      </c>
      <c r="G66" s="27">
        <v>1480.0</v>
      </c>
      <c r="H66" s="24" t="s">
        <v>98</v>
      </c>
    </row>
    <row r="67">
      <c r="A67" s="27">
        <v>20.0</v>
      </c>
      <c r="B67" s="24" t="s">
        <v>18</v>
      </c>
      <c r="D67" s="27">
        <v>3074.0</v>
      </c>
      <c r="E67" s="27">
        <v>2.0</v>
      </c>
      <c r="F67" s="27">
        <v>17.0</v>
      </c>
      <c r="G67" s="27">
        <v>777.0</v>
      </c>
      <c r="H67" s="24" t="s">
        <v>99</v>
      </c>
    </row>
    <row r="68">
      <c r="A68" s="27">
        <v>20.0</v>
      </c>
      <c r="B68" s="24" t="s">
        <v>61</v>
      </c>
      <c r="C68" s="27">
        <v>3240.0</v>
      </c>
      <c r="D68" s="27">
        <v>3360.0</v>
      </c>
      <c r="E68" s="27">
        <v>2.0</v>
      </c>
      <c r="F68" s="27">
        <v>17.0</v>
      </c>
      <c r="G68" s="27">
        <v>777.0</v>
      </c>
      <c r="H68" s="24" t="s">
        <v>99</v>
      </c>
    </row>
    <row r="69">
      <c r="A69" s="27">
        <v>20.0</v>
      </c>
      <c r="B69" s="24" t="s">
        <v>18</v>
      </c>
      <c r="C69" s="27">
        <v>3526.0</v>
      </c>
      <c r="E69" s="27">
        <v>2.0</v>
      </c>
      <c r="F69" s="27">
        <v>17.0</v>
      </c>
      <c r="G69" s="27">
        <v>777.0</v>
      </c>
      <c r="H69" s="24" t="s">
        <v>99</v>
      </c>
    </row>
    <row r="70">
      <c r="A70" s="27">
        <v>21.0</v>
      </c>
      <c r="B70" s="24" t="s">
        <v>18</v>
      </c>
      <c r="D70" s="27">
        <v>2406.0</v>
      </c>
      <c r="E70" s="27">
        <v>2.0</v>
      </c>
      <c r="F70" s="27">
        <v>10.0</v>
      </c>
      <c r="G70" s="27">
        <v>260.0</v>
      </c>
      <c r="H70" s="24" t="s">
        <v>100</v>
      </c>
    </row>
    <row r="71">
      <c r="A71" s="27">
        <v>21.0</v>
      </c>
      <c r="B71" s="24" t="s">
        <v>33</v>
      </c>
      <c r="C71" s="27">
        <v>3240.0</v>
      </c>
      <c r="D71" s="27">
        <v>3360.0</v>
      </c>
      <c r="E71" s="27">
        <v>2.0</v>
      </c>
      <c r="F71" s="27">
        <v>10.0</v>
      </c>
      <c r="G71" s="27">
        <v>260.0</v>
      </c>
      <c r="H71" s="24" t="s">
        <v>100</v>
      </c>
    </row>
    <row r="72">
      <c r="A72" s="27">
        <v>21.0</v>
      </c>
      <c r="B72" s="24" t="s">
        <v>18</v>
      </c>
      <c r="C72" s="27">
        <v>4194.0</v>
      </c>
      <c r="E72" s="27">
        <v>2.0</v>
      </c>
      <c r="F72" s="27">
        <v>10.0</v>
      </c>
      <c r="G72" s="27">
        <v>260.0</v>
      </c>
      <c r="H72" s="24" t="s">
        <v>100</v>
      </c>
    </row>
    <row r="73">
      <c r="A73" s="27">
        <v>22.0</v>
      </c>
      <c r="B73" s="24" t="s">
        <v>18</v>
      </c>
      <c r="D73" s="27">
        <v>1770.0</v>
      </c>
      <c r="E73" s="27">
        <v>2.0</v>
      </c>
      <c r="F73" s="27">
        <v>20.0</v>
      </c>
      <c r="G73" s="27">
        <v>969.4</v>
      </c>
      <c r="H73" s="24" t="s">
        <v>101</v>
      </c>
    </row>
    <row r="74">
      <c r="A74" s="27">
        <v>22.0</v>
      </c>
      <c r="B74" s="24" t="s">
        <v>29</v>
      </c>
      <c r="C74" s="27">
        <v>3240.0</v>
      </c>
      <c r="D74" s="27">
        <v>3360.0</v>
      </c>
      <c r="E74" s="27">
        <v>2.0</v>
      </c>
      <c r="F74" s="27">
        <v>20.0</v>
      </c>
      <c r="G74" s="27">
        <v>969.4</v>
      </c>
      <c r="H74" s="24" t="s">
        <v>101</v>
      </c>
    </row>
    <row r="75">
      <c r="A75" s="27">
        <v>22.0</v>
      </c>
      <c r="B75" s="24" t="s">
        <v>18</v>
      </c>
      <c r="C75" s="27">
        <v>4830.0</v>
      </c>
      <c r="E75" s="27">
        <v>2.0</v>
      </c>
      <c r="F75" s="27">
        <v>20.0</v>
      </c>
      <c r="G75" s="27">
        <v>969.4</v>
      </c>
      <c r="H75" s="24" t="s">
        <v>101</v>
      </c>
    </row>
    <row r="76">
      <c r="A76" s="27">
        <v>23.0</v>
      </c>
      <c r="B76" s="24" t="s">
        <v>18</v>
      </c>
      <c r="D76" s="27">
        <v>2748.0</v>
      </c>
      <c r="E76" s="27">
        <v>2.0</v>
      </c>
      <c r="F76" s="27">
        <v>14.0</v>
      </c>
      <c r="G76" s="27">
        <v>488.0</v>
      </c>
      <c r="H76" s="24" t="s">
        <v>102</v>
      </c>
    </row>
    <row r="77">
      <c r="A77" s="27">
        <v>23.0</v>
      </c>
      <c r="B77" s="24" t="s">
        <v>60</v>
      </c>
      <c r="C77" s="27">
        <v>3240.0</v>
      </c>
      <c r="D77" s="27">
        <v>3360.0</v>
      </c>
      <c r="E77" s="27">
        <v>2.0</v>
      </c>
      <c r="F77" s="27">
        <v>14.0</v>
      </c>
      <c r="G77" s="27">
        <v>488.0</v>
      </c>
      <c r="H77" s="24" t="s">
        <v>102</v>
      </c>
    </row>
    <row r="78">
      <c r="A78" s="27">
        <v>23.0</v>
      </c>
      <c r="B78" s="24" t="s">
        <v>18</v>
      </c>
      <c r="C78" s="27">
        <v>3852.0</v>
      </c>
      <c r="E78" s="27">
        <v>2.0</v>
      </c>
      <c r="F78" s="27">
        <v>14.0</v>
      </c>
      <c r="G78" s="27">
        <v>488.0</v>
      </c>
      <c r="H78" s="24" t="s">
        <v>102</v>
      </c>
    </row>
    <row r="79">
      <c r="A79" s="27">
        <v>24.0</v>
      </c>
      <c r="B79" s="24" t="s">
        <v>18</v>
      </c>
      <c r="D79" s="27">
        <v>1860.0</v>
      </c>
      <c r="E79" s="27">
        <v>1.0</v>
      </c>
      <c r="F79" s="27">
        <v>20.0</v>
      </c>
      <c r="G79" s="27">
        <v>1118.0</v>
      </c>
      <c r="H79" s="24" t="s">
        <v>103</v>
      </c>
    </row>
    <row r="80">
      <c r="A80" s="27">
        <v>24.0</v>
      </c>
      <c r="B80" s="24" t="s">
        <v>20</v>
      </c>
      <c r="C80" s="27">
        <v>2988.0</v>
      </c>
      <c r="D80" s="27">
        <v>3108.0</v>
      </c>
      <c r="E80" s="27">
        <v>1.0</v>
      </c>
      <c r="F80" s="27">
        <v>20.0</v>
      </c>
      <c r="G80" s="27">
        <v>1118.0</v>
      </c>
      <c r="H80" s="24" t="s">
        <v>103</v>
      </c>
    </row>
    <row r="81">
      <c r="A81" s="27">
        <v>24.0</v>
      </c>
      <c r="B81" s="24" t="s">
        <v>21</v>
      </c>
      <c r="C81" s="27">
        <v>3240.0</v>
      </c>
      <c r="D81" s="27">
        <v>3360.0</v>
      </c>
      <c r="E81" s="27">
        <v>1.0</v>
      </c>
      <c r="F81" s="27">
        <v>20.0</v>
      </c>
      <c r="G81" s="27">
        <v>1118.0</v>
      </c>
      <c r="H81" s="24" t="s">
        <v>103</v>
      </c>
    </row>
    <row r="82">
      <c r="A82" s="27">
        <v>24.0</v>
      </c>
      <c r="B82" s="24" t="s">
        <v>18</v>
      </c>
      <c r="C82" s="27">
        <v>4462.0</v>
      </c>
      <c r="E82" s="27">
        <v>1.0</v>
      </c>
      <c r="F82" s="27">
        <v>20.0</v>
      </c>
      <c r="G82" s="27">
        <v>1118.0</v>
      </c>
      <c r="H82" s="24" t="s">
        <v>103</v>
      </c>
    </row>
    <row r="83">
      <c r="A83" s="27">
        <v>25.0</v>
      </c>
      <c r="B83" s="24" t="s">
        <v>18</v>
      </c>
      <c r="D83" s="27">
        <v>1964.0</v>
      </c>
      <c r="E83" s="27">
        <v>2.0</v>
      </c>
      <c r="F83" s="27">
        <v>24.0</v>
      </c>
      <c r="G83" s="27">
        <v>1466.0</v>
      </c>
      <c r="H83" s="24" t="s">
        <v>104</v>
      </c>
    </row>
    <row r="84">
      <c r="A84" s="27">
        <v>25.0</v>
      </c>
      <c r="B84" s="24" t="s">
        <v>22</v>
      </c>
      <c r="C84" s="27">
        <v>3014.0</v>
      </c>
      <c r="D84" s="27">
        <v>3134.0</v>
      </c>
      <c r="E84" s="27">
        <v>2.0</v>
      </c>
      <c r="F84" s="27">
        <v>24.0</v>
      </c>
      <c r="G84" s="27">
        <v>1466.0</v>
      </c>
      <c r="H84" s="24" t="s">
        <v>104</v>
      </c>
    </row>
    <row r="85">
      <c r="A85" s="27">
        <v>25.0</v>
      </c>
      <c r="B85" s="24" t="s">
        <v>23</v>
      </c>
      <c r="C85" s="27">
        <v>3240.0</v>
      </c>
      <c r="D85" s="27">
        <v>3360.0</v>
      </c>
      <c r="E85" s="27">
        <v>2.0</v>
      </c>
      <c r="F85" s="27">
        <v>24.0</v>
      </c>
      <c r="G85" s="27">
        <v>1466.0</v>
      </c>
      <c r="H85" s="24" t="s">
        <v>104</v>
      </c>
    </row>
    <row r="86">
      <c r="A86" s="27">
        <v>25.0</v>
      </c>
      <c r="B86" s="24" t="s">
        <v>18</v>
      </c>
      <c r="C86" s="27">
        <v>4488.0</v>
      </c>
      <c r="E86" s="27">
        <v>2.0</v>
      </c>
      <c r="F86" s="27">
        <v>24.0</v>
      </c>
      <c r="G86" s="27">
        <v>1466.0</v>
      </c>
      <c r="H86" s="24" t="s">
        <v>104</v>
      </c>
    </row>
    <row r="87">
      <c r="A87" s="27">
        <v>26.0</v>
      </c>
      <c r="B87" s="24" t="s">
        <v>18</v>
      </c>
      <c r="D87" s="27">
        <v>2886.0</v>
      </c>
      <c r="E87" s="27">
        <v>2.0</v>
      </c>
      <c r="F87" s="27">
        <v>32.0</v>
      </c>
      <c r="G87" s="27">
        <v>1672.0</v>
      </c>
      <c r="H87" s="24" t="s">
        <v>105</v>
      </c>
    </row>
    <row r="88">
      <c r="A88" s="27">
        <v>26.0</v>
      </c>
      <c r="B88" s="24" t="s">
        <v>34</v>
      </c>
      <c r="C88" s="27">
        <v>3240.0</v>
      </c>
      <c r="D88" s="27">
        <v>3360.0</v>
      </c>
      <c r="E88" s="27">
        <v>2.0</v>
      </c>
      <c r="F88" s="27">
        <v>32.0</v>
      </c>
      <c r="G88" s="27">
        <v>1672.0</v>
      </c>
      <c r="H88" s="24" t="s">
        <v>105</v>
      </c>
    </row>
    <row r="89">
      <c r="A89" s="27">
        <v>26.0</v>
      </c>
      <c r="B89" s="24" t="s">
        <v>18</v>
      </c>
      <c r="C89" s="27">
        <v>3714.0</v>
      </c>
      <c r="E89" s="27">
        <v>2.0</v>
      </c>
      <c r="F89" s="27">
        <v>32.0</v>
      </c>
      <c r="G89" s="27">
        <v>1672.0</v>
      </c>
      <c r="H89" s="24" t="s">
        <v>105</v>
      </c>
    </row>
    <row r="90">
      <c r="A90" s="27">
        <v>27.0</v>
      </c>
      <c r="B90" s="24" t="s">
        <v>18</v>
      </c>
      <c r="D90" s="27">
        <v>1438.0</v>
      </c>
      <c r="E90" s="27">
        <v>2.0</v>
      </c>
      <c r="F90" s="27">
        <v>20.0</v>
      </c>
      <c r="G90" s="27">
        <v>1132.0</v>
      </c>
      <c r="H90" s="24" t="s">
        <v>106</v>
      </c>
    </row>
    <row r="91">
      <c r="A91" s="27">
        <v>27.0</v>
      </c>
      <c r="B91" s="24" t="s">
        <v>49</v>
      </c>
      <c r="C91" s="27">
        <v>3240.0</v>
      </c>
      <c r="D91" s="27">
        <v>3360.0</v>
      </c>
      <c r="E91" s="27">
        <v>2.0</v>
      </c>
      <c r="F91" s="27">
        <v>20.0</v>
      </c>
      <c r="G91" s="27">
        <v>1132.0</v>
      </c>
      <c r="H91" s="24" t="s">
        <v>106</v>
      </c>
    </row>
    <row r="92">
      <c r="A92" s="27">
        <v>27.0</v>
      </c>
      <c r="B92" s="24" t="s">
        <v>18</v>
      </c>
      <c r="C92" s="27">
        <v>5162.0</v>
      </c>
      <c r="E92" s="27">
        <v>2.0</v>
      </c>
      <c r="F92" s="27">
        <v>20.0</v>
      </c>
      <c r="G92" s="27">
        <v>1132.0</v>
      </c>
      <c r="H92" s="24" t="s">
        <v>106</v>
      </c>
    </row>
    <row r="93">
      <c r="A93" s="27">
        <v>28.0</v>
      </c>
      <c r="B93" s="24" t="s">
        <v>18</v>
      </c>
      <c r="D93" s="27">
        <v>1140.0</v>
      </c>
      <c r="E93" s="27">
        <v>2.0</v>
      </c>
      <c r="F93" s="27">
        <v>20.0</v>
      </c>
      <c r="G93" s="27">
        <v>1222.0</v>
      </c>
      <c r="H93" s="24" t="s">
        <v>107</v>
      </c>
    </row>
    <row r="94">
      <c r="A94" s="27">
        <v>28.0</v>
      </c>
      <c r="B94" s="24" t="s">
        <v>56</v>
      </c>
      <c r="C94" s="27">
        <v>2910.0</v>
      </c>
      <c r="D94" s="27">
        <v>3030.0</v>
      </c>
      <c r="E94" s="27">
        <v>2.0</v>
      </c>
      <c r="F94" s="27">
        <v>20.0</v>
      </c>
      <c r="G94" s="27">
        <v>1222.0</v>
      </c>
      <c r="H94" s="24" t="s">
        <v>107</v>
      </c>
    </row>
    <row r="95">
      <c r="A95" s="27">
        <v>28.0</v>
      </c>
      <c r="B95" s="24" t="s">
        <v>55</v>
      </c>
      <c r="C95" s="27">
        <v>3240.0</v>
      </c>
      <c r="D95" s="27">
        <v>3360.0</v>
      </c>
      <c r="E95" s="27">
        <v>2.0</v>
      </c>
      <c r="F95" s="27">
        <v>20.0</v>
      </c>
      <c r="G95" s="27">
        <v>1222.0</v>
      </c>
      <c r="H95" s="24" t="s">
        <v>107</v>
      </c>
    </row>
    <row r="96">
      <c r="A96" s="27">
        <v>28.0</v>
      </c>
      <c r="B96" s="24" t="s">
        <v>18</v>
      </c>
      <c r="C96" s="27">
        <v>5082.0</v>
      </c>
      <c r="E96" s="27">
        <v>2.0</v>
      </c>
      <c r="F96" s="27">
        <v>20.0</v>
      </c>
      <c r="G96" s="27">
        <v>1222.0</v>
      </c>
      <c r="H96" s="24" t="s">
        <v>107</v>
      </c>
    </row>
    <row r="97">
      <c r="A97" s="27">
        <v>29.0</v>
      </c>
      <c r="B97" s="24" t="s">
        <v>18</v>
      </c>
      <c r="D97" s="27">
        <v>1912.0</v>
      </c>
      <c r="E97" s="27">
        <v>2.0</v>
      </c>
      <c r="F97" s="27">
        <v>22.0</v>
      </c>
      <c r="G97" s="27">
        <v>1266.0</v>
      </c>
      <c r="H97" s="24" t="s">
        <v>108</v>
      </c>
    </row>
    <row r="98">
      <c r="A98" s="27">
        <v>29.0</v>
      </c>
      <c r="B98" s="24" t="s">
        <v>54</v>
      </c>
      <c r="C98" s="27">
        <v>3240.0</v>
      </c>
      <c r="D98" s="27">
        <v>3360.0</v>
      </c>
      <c r="E98" s="27">
        <v>2.0</v>
      </c>
      <c r="F98" s="27">
        <v>22.0</v>
      </c>
      <c r="G98" s="27">
        <v>1266.0</v>
      </c>
      <c r="H98" s="24" t="s">
        <v>108</v>
      </c>
    </row>
    <row r="99">
      <c r="A99" s="27">
        <v>29.0</v>
      </c>
      <c r="B99" s="24" t="s">
        <v>18</v>
      </c>
      <c r="C99" s="27">
        <v>4688.0</v>
      </c>
      <c r="E99" s="27">
        <v>2.0</v>
      </c>
      <c r="F99" s="27">
        <v>22.0</v>
      </c>
      <c r="G99" s="27">
        <v>1266.0</v>
      </c>
      <c r="H99" s="24" t="s">
        <v>108</v>
      </c>
    </row>
    <row r="100">
      <c r="A100" s="27">
        <v>30.0</v>
      </c>
      <c r="B100" s="24" t="s">
        <v>18</v>
      </c>
      <c r="D100" s="27">
        <v>1444.0</v>
      </c>
      <c r="E100" s="27">
        <v>1.0</v>
      </c>
      <c r="F100" s="27">
        <v>32.0</v>
      </c>
      <c r="G100" s="27">
        <v>1554.0</v>
      </c>
      <c r="H100" s="24" t="s">
        <v>109</v>
      </c>
    </row>
    <row r="101">
      <c r="A101" s="27">
        <v>30.0</v>
      </c>
      <c r="B101" s="24" t="s">
        <v>50</v>
      </c>
      <c r="C101" s="27">
        <v>3240.0</v>
      </c>
      <c r="D101" s="27">
        <v>3360.0</v>
      </c>
      <c r="E101" s="27">
        <v>1.0</v>
      </c>
      <c r="F101" s="27">
        <v>32.0</v>
      </c>
      <c r="G101" s="27">
        <v>1554.0</v>
      </c>
      <c r="H101" s="24" t="s">
        <v>109</v>
      </c>
    </row>
    <row r="102">
      <c r="A102" s="27">
        <v>30.0</v>
      </c>
      <c r="B102" s="24" t="s">
        <v>18</v>
      </c>
      <c r="C102" s="27">
        <v>5156.0</v>
      </c>
      <c r="E102" s="27">
        <v>1.0</v>
      </c>
      <c r="F102" s="27">
        <v>32.0</v>
      </c>
      <c r="G102" s="27">
        <v>1554.0</v>
      </c>
      <c r="H102" s="24" t="s">
        <v>109</v>
      </c>
    </row>
    <row r="103">
      <c r="A103" s="27">
        <v>31.0</v>
      </c>
      <c r="B103" s="24" t="s">
        <v>18</v>
      </c>
      <c r="D103" s="27">
        <v>3098.0</v>
      </c>
      <c r="E103" s="27">
        <v>2.0</v>
      </c>
      <c r="F103" s="27">
        <v>17.0</v>
      </c>
      <c r="G103" s="27">
        <v>718.0</v>
      </c>
      <c r="H103" s="24" t="s">
        <v>110</v>
      </c>
    </row>
    <row r="104">
      <c r="A104" s="27">
        <v>31.0</v>
      </c>
      <c r="B104" s="24" t="s">
        <v>44</v>
      </c>
      <c r="C104" s="27">
        <v>3240.0</v>
      </c>
      <c r="D104" s="27">
        <v>3360.0</v>
      </c>
      <c r="E104" s="27">
        <v>2.0</v>
      </c>
      <c r="F104" s="27">
        <v>17.0</v>
      </c>
      <c r="G104" s="27">
        <v>718.0</v>
      </c>
      <c r="H104" s="24" t="s">
        <v>110</v>
      </c>
    </row>
    <row r="105">
      <c r="A105" s="27">
        <v>31.0</v>
      </c>
      <c r="B105" s="24" t="s">
        <v>18</v>
      </c>
      <c r="C105" s="27">
        <v>3502.0</v>
      </c>
      <c r="E105" s="27">
        <v>2.0</v>
      </c>
      <c r="F105" s="27">
        <v>17.0</v>
      </c>
      <c r="G105" s="27">
        <v>718.0</v>
      </c>
      <c r="H105" s="24" t="s">
        <v>110</v>
      </c>
    </row>
    <row r="106">
      <c r="A106" s="27">
        <v>32.0</v>
      </c>
      <c r="B106" s="24" t="s">
        <v>18</v>
      </c>
      <c r="D106" s="27">
        <v>2818.0</v>
      </c>
      <c r="E106" s="27">
        <v>2.0</v>
      </c>
      <c r="F106" s="27">
        <v>20.0</v>
      </c>
      <c r="G106" s="27">
        <v>902.0</v>
      </c>
      <c r="H106" s="24" t="s">
        <v>111</v>
      </c>
    </row>
    <row r="107">
      <c r="A107" s="27">
        <v>32.0</v>
      </c>
      <c r="B107" s="24" t="s">
        <v>43</v>
      </c>
      <c r="C107" s="27">
        <v>3240.0</v>
      </c>
      <c r="D107" s="27">
        <v>3360.0</v>
      </c>
      <c r="E107" s="27">
        <v>2.0</v>
      </c>
      <c r="F107" s="27">
        <v>20.0</v>
      </c>
      <c r="G107" s="27">
        <v>902.0</v>
      </c>
      <c r="H107" s="24" t="s">
        <v>111</v>
      </c>
    </row>
    <row r="108">
      <c r="A108" s="27">
        <v>32.0</v>
      </c>
      <c r="B108" s="24" t="s">
        <v>18</v>
      </c>
      <c r="C108" s="27">
        <v>3782.0</v>
      </c>
      <c r="E108" s="27">
        <v>2.0</v>
      </c>
      <c r="F108" s="27">
        <v>20.0</v>
      </c>
      <c r="G108" s="27">
        <v>902.0</v>
      </c>
      <c r="H108" s="24" t="s">
        <v>111</v>
      </c>
    </row>
    <row r="109">
      <c r="A109" s="27">
        <v>33.0</v>
      </c>
      <c r="B109" s="24" t="s">
        <v>18</v>
      </c>
      <c r="D109" s="27">
        <v>2500.0</v>
      </c>
      <c r="E109" s="27">
        <v>2.0</v>
      </c>
      <c r="F109" s="27">
        <v>14.0</v>
      </c>
      <c r="G109" s="27">
        <v>408.0</v>
      </c>
      <c r="H109" s="24" t="s">
        <v>112</v>
      </c>
    </row>
    <row r="110">
      <c r="A110" s="27">
        <v>33.0</v>
      </c>
      <c r="B110" s="24" t="s">
        <v>66</v>
      </c>
      <c r="C110" s="27">
        <v>3240.0</v>
      </c>
      <c r="D110" s="27">
        <v>3360.0</v>
      </c>
      <c r="E110" s="27">
        <v>2.0</v>
      </c>
      <c r="F110" s="27">
        <v>14.0</v>
      </c>
      <c r="G110" s="27">
        <v>408.0</v>
      </c>
      <c r="H110" s="24" t="s">
        <v>112</v>
      </c>
    </row>
    <row r="111">
      <c r="A111" s="27">
        <v>33.0</v>
      </c>
      <c r="B111" s="24" t="s">
        <v>18</v>
      </c>
      <c r="C111" s="27">
        <v>4100.0</v>
      </c>
      <c r="E111" s="27">
        <v>2.0</v>
      </c>
      <c r="F111" s="27">
        <v>14.0</v>
      </c>
      <c r="G111" s="27">
        <v>408.0</v>
      </c>
      <c r="H111" s="24" t="s">
        <v>112</v>
      </c>
    </row>
    <row r="112">
      <c r="A112" s="27">
        <v>34.0</v>
      </c>
      <c r="B112" s="24" t="s">
        <v>18</v>
      </c>
      <c r="D112" s="27">
        <v>2186.0</v>
      </c>
      <c r="E112" s="27">
        <v>2.0</v>
      </c>
      <c r="F112" s="27">
        <v>24.0</v>
      </c>
      <c r="G112" s="27">
        <v>1458.0</v>
      </c>
      <c r="H112" s="24" t="s">
        <v>113</v>
      </c>
    </row>
    <row r="113">
      <c r="A113" s="27">
        <v>34.0</v>
      </c>
      <c r="B113" s="24" t="s">
        <v>41</v>
      </c>
      <c r="C113" s="27">
        <v>2920.0</v>
      </c>
      <c r="D113" s="27">
        <v>3040.0</v>
      </c>
      <c r="E113" s="27">
        <v>2.0</v>
      </c>
      <c r="F113" s="27">
        <v>24.0</v>
      </c>
      <c r="G113" s="27">
        <v>1458.0</v>
      </c>
      <c r="H113" s="24" t="s">
        <v>113</v>
      </c>
    </row>
    <row r="114">
      <c r="A114" s="27">
        <v>34.0</v>
      </c>
      <c r="B114" s="24" t="s">
        <v>42</v>
      </c>
      <c r="C114" s="27">
        <v>3240.0</v>
      </c>
      <c r="D114" s="27">
        <v>3360.0</v>
      </c>
      <c r="E114" s="27">
        <v>2.0</v>
      </c>
      <c r="F114" s="27">
        <v>24.0</v>
      </c>
      <c r="G114" s="27">
        <v>1458.0</v>
      </c>
      <c r="H114" s="24" t="s">
        <v>113</v>
      </c>
    </row>
    <row r="115">
      <c r="A115" s="27">
        <v>34.0</v>
      </c>
      <c r="B115" s="24" t="s">
        <v>18</v>
      </c>
      <c r="C115" s="27">
        <v>3940.0</v>
      </c>
      <c r="E115" s="27">
        <v>2.0</v>
      </c>
      <c r="F115" s="27">
        <v>24.0</v>
      </c>
      <c r="G115" s="27">
        <v>1458.0</v>
      </c>
      <c r="H115" s="24" t="s">
        <v>113</v>
      </c>
    </row>
    <row r="116">
      <c r="A116" s="27">
        <v>35.0</v>
      </c>
      <c r="B116" s="24" t="s">
        <v>18</v>
      </c>
      <c r="D116" s="27">
        <v>2240.0</v>
      </c>
      <c r="E116" s="27">
        <v>1.0</v>
      </c>
      <c r="F116" s="27">
        <v>24.0</v>
      </c>
      <c r="G116" s="27">
        <v>1345.0</v>
      </c>
      <c r="H116" s="24" t="s">
        <v>114</v>
      </c>
    </row>
    <row r="117">
      <c r="A117" s="27">
        <v>35.0</v>
      </c>
      <c r="B117" s="24" t="s">
        <v>36</v>
      </c>
      <c r="C117" s="27">
        <v>3106.0</v>
      </c>
      <c r="D117" s="27">
        <v>3226.0</v>
      </c>
      <c r="E117" s="27">
        <v>1.0</v>
      </c>
      <c r="F117" s="27">
        <v>24.0</v>
      </c>
      <c r="G117" s="27">
        <v>1345.0</v>
      </c>
      <c r="H117" s="24" t="s">
        <v>114</v>
      </c>
    </row>
    <row r="118">
      <c r="A118" s="27">
        <v>35.0</v>
      </c>
      <c r="B118" s="24" t="s">
        <v>35</v>
      </c>
      <c r="C118" s="27">
        <v>3240.0</v>
      </c>
      <c r="D118" s="27">
        <v>3360.0</v>
      </c>
      <c r="E118" s="27">
        <v>1.0</v>
      </c>
      <c r="F118" s="27">
        <v>24.0</v>
      </c>
      <c r="G118" s="27">
        <v>1345.0</v>
      </c>
      <c r="H118" s="24" t="s">
        <v>114</v>
      </c>
    </row>
    <row r="119">
      <c r="A119" s="27">
        <v>35.0</v>
      </c>
      <c r="B119" s="24" t="s">
        <v>18</v>
      </c>
      <c r="C119" s="27">
        <v>4234.0</v>
      </c>
      <c r="E119" s="27">
        <v>1.0</v>
      </c>
      <c r="F119" s="27">
        <v>24.0</v>
      </c>
      <c r="G119" s="27">
        <v>1345.0</v>
      </c>
      <c r="H119" s="24" t="s">
        <v>114</v>
      </c>
    </row>
    <row r="120">
      <c r="A120" s="27">
        <v>36.0</v>
      </c>
      <c r="B120" s="24" t="s">
        <v>18</v>
      </c>
      <c r="D120" s="27">
        <v>2734.0</v>
      </c>
      <c r="E120" s="27">
        <v>2.0</v>
      </c>
      <c r="F120" s="27">
        <v>20.0</v>
      </c>
      <c r="G120" s="27">
        <v>1148.0</v>
      </c>
      <c r="H120" s="24" t="s">
        <v>115</v>
      </c>
    </row>
    <row r="121">
      <c r="A121" s="27">
        <v>36.0</v>
      </c>
      <c r="B121" s="24" t="s">
        <v>64</v>
      </c>
      <c r="C121" s="27">
        <v>3240.0</v>
      </c>
      <c r="D121" s="27">
        <v>3360.0</v>
      </c>
      <c r="E121" s="27">
        <v>2.0</v>
      </c>
      <c r="F121" s="27">
        <v>20.0</v>
      </c>
      <c r="G121" s="27">
        <v>1148.0</v>
      </c>
      <c r="H121" s="24" t="s">
        <v>115</v>
      </c>
    </row>
    <row r="122">
      <c r="A122" s="27">
        <v>36.0</v>
      </c>
      <c r="B122" s="24" t="s">
        <v>18</v>
      </c>
      <c r="C122" s="27">
        <v>3866.0</v>
      </c>
      <c r="E122" s="27">
        <v>2.0</v>
      </c>
      <c r="F122" s="27">
        <v>20.0</v>
      </c>
      <c r="G122" s="27">
        <v>1148.0</v>
      </c>
      <c r="H122" s="24" t="s">
        <v>115</v>
      </c>
    </row>
    <row r="123">
      <c r="A123" s="27">
        <v>37.0</v>
      </c>
      <c r="B123" s="24" t="s">
        <v>18</v>
      </c>
      <c r="D123" s="27">
        <v>2874.0</v>
      </c>
      <c r="E123" s="27">
        <v>2.0</v>
      </c>
      <c r="F123" s="27">
        <v>20.0</v>
      </c>
      <c r="G123" s="27">
        <v>896.0</v>
      </c>
      <c r="H123" s="24" t="s">
        <v>116</v>
      </c>
    </row>
    <row r="124">
      <c r="A124" s="27">
        <v>37.0</v>
      </c>
      <c r="B124" s="24" t="s">
        <v>65</v>
      </c>
      <c r="C124" s="27">
        <v>3240.0</v>
      </c>
      <c r="D124" s="27">
        <v>3360.0</v>
      </c>
      <c r="E124" s="27">
        <v>2.0</v>
      </c>
      <c r="F124" s="27">
        <v>20.0</v>
      </c>
      <c r="G124" s="27">
        <v>896.0</v>
      </c>
      <c r="H124" s="24" t="s">
        <v>116</v>
      </c>
    </row>
    <row r="125">
      <c r="A125" s="27">
        <v>37.0</v>
      </c>
      <c r="B125" s="24" t="s">
        <v>18</v>
      </c>
      <c r="C125" s="27">
        <v>3726.0</v>
      </c>
      <c r="E125" s="27">
        <v>2.0</v>
      </c>
      <c r="F125" s="27">
        <v>20.0</v>
      </c>
      <c r="G125" s="27">
        <v>896.0</v>
      </c>
      <c r="H125" s="24" t="s">
        <v>116</v>
      </c>
    </row>
    <row r="126">
      <c r="A126" s="27">
        <v>38.0</v>
      </c>
      <c r="B126" s="24" t="s">
        <v>18</v>
      </c>
      <c r="D126" s="27">
        <v>2844.0</v>
      </c>
      <c r="E126" s="27">
        <v>2.0</v>
      </c>
      <c r="F126" s="27">
        <v>32.0</v>
      </c>
      <c r="G126" s="27">
        <v>2050.2</v>
      </c>
      <c r="H126" s="24" t="s">
        <v>117</v>
      </c>
    </row>
    <row r="127">
      <c r="A127" s="27">
        <v>38.0</v>
      </c>
      <c r="B127" s="24" t="s">
        <v>45</v>
      </c>
      <c r="C127" s="27">
        <v>3118.0</v>
      </c>
      <c r="D127" s="27">
        <v>3238.0</v>
      </c>
      <c r="E127" s="27">
        <v>2.0</v>
      </c>
      <c r="F127" s="27">
        <v>32.0</v>
      </c>
      <c r="G127" s="27">
        <v>2050.2</v>
      </c>
      <c r="H127" s="24" t="s">
        <v>117</v>
      </c>
    </row>
    <row r="128">
      <c r="A128" s="27">
        <v>38.0</v>
      </c>
      <c r="B128" s="24" t="s">
        <v>46</v>
      </c>
      <c r="C128" s="27">
        <v>3240.0</v>
      </c>
      <c r="D128" s="27">
        <v>3360.0</v>
      </c>
      <c r="E128" s="27">
        <v>2.0</v>
      </c>
      <c r="F128" s="27">
        <v>32.0</v>
      </c>
      <c r="G128" s="27">
        <v>2050.2</v>
      </c>
      <c r="H128" s="24" t="s">
        <v>117</v>
      </c>
    </row>
    <row r="129">
      <c r="A129" s="27">
        <v>38.0</v>
      </c>
      <c r="B129" s="24" t="s">
        <v>18</v>
      </c>
      <c r="C129" s="27">
        <v>3634.0</v>
      </c>
      <c r="E129" s="27">
        <v>2.0</v>
      </c>
      <c r="F129" s="27">
        <v>32.0</v>
      </c>
      <c r="G129" s="27">
        <v>2050.2</v>
      </c>
      <c r="H129" s="24" t="s">
        <v>117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>
        <v>1.0</v>
      </c>
      <c r="B1" s="24" t="s">
        <v>118</v>
      </c>
      <c r="C1" s="24" t="s">
        <v>20</v>
      </c>
      <c r="D1" s="24">
        <v>24.8317</v>
      </c>
      <c r="E1" s="24">
        <v>92.7746</v>
      </c>
      <c r="G1" s="28" t="str">
        <f>VLOOKUP(C1,Location_file!A:A,1,0)</f>
        <v>SAT/FKSIL</v>
      </c>
    </row>
    <row r="2">
      <c r="A2" s="24">
        <v>1.0</v>
      </c>
      <c r="B2" s="24" t="s">
        <v>119</v>
      </c>
      <c r="C2" s="24" t="s">
        <v>21</v>
      </c>
      <c r="D2" s="24">
        <v>24.7184</v>
      </c>
      <c r="E2" s="24">
        <v>92.5736</v>
      </c>
      <c r="G2" s="28" t="str">
        <f>VLOOKUP(C2,Location_file!A:A,1,0)</f>
        <v>SAT/HKD</v>
      </c>
    </row>
    <row r="3">
      <c r="A3" s="24">
        <v>2.0</v>
      </c>
      <c r="B3" s="24" t="s">
        <v>120</v>
      </c>
      <c r="C3" s="24" t="s">
        <v>23</v>
      </c>
      <c r="D3" s="24">
        <v>0.0</v>
      </c>
      <c r="E3" s="24">
        <v>0.0</v>
      </c>
      <c r="G3" s="28" t="str">
        <f>VLOOKUP(C3,Location_file!A:A,1,0)</f>
        <v>SAT/FKKXJ</v>
      </c>
    </row>
    <row r="4">
      <c r="A4" s="24">
        <v>2.0</v>
      </c>
      <c r="B4" s="24" t="s">
        <v>121</v>
      </c>
      <c r="C4" s="24" t="s">
        <v>22</v>
      </c>
      <c r="D4" s="24">
        <v>0.0</v>
      </c>
      <c r="E4" s="24">
        <v>0.0</v>
      </c>
      <c r="G4" s="28" t="str">
        <f>VLOOKUP(C4,Location_file!A:A,1,0)</f>
        <v>SAT/BDPR1</v>
      </c>
    </row>
    <row r="5">
      <c r="A5" s="24">
        <v>3.0</v>
      </c>
      <c r="B5" s="24" t="s">
        <v>122</v>
      </c>
      <c r="C5" s="24" t="s">
        <v>24</v>
      </c>
      <c r="D5" s="24">
        <v>27.0219</v>
      </c>
      <c r="E5" s="24">
        <v>94.667</v>
      </c>
      <c r="G5" s="28" t="str">
        <f>VLOOKUP(C5,Location_file!A:A,1,0)</f>
        <v>SAT/FKSRN</v>
      </c>
    </row>
    <row r="6">
      <c r="A6" s="24">
        <v>3.0</v>
      </c>
      <c r="B6" s="24" t="s">
        <v>123</v>
      </c>
      <c r="C6" s="24" t="s">
        <v>25</v>
      </c>
      <c r="D6" s="24">
        <v>0.0</v>
      </c>
      <c r="E6" s="24">
        <v>0.0</v>
      </c>
      <c r="G6" s="28" t="str">
        <f>VLOOKUP(C6,Location_file!A:A,1,0)</f>
        <v>SAT/MNT1</v>
      </c>
    </row>
    <row r="7">
      <c r="A7" s="24">
        <v>3.0</v>
      </c>
      <c r="B7" s="24" t="s">
        <v>124</v>
      </c>
      <c r="C7" s="24" t="s">
        <v>26</v>
      </c>
      <c r="D7" s="24">
        <v>0.0</v>
      </c>
      <c r="E7" s="24">
        <v>0.0</v>
      </c>
      <c r="G7" s="28" t="str">
        <f>VLOOKUP(C7,Location_file!A:A,1,0)</f>
        <v>SAT/RJH2</v>
      </c>
    </row>
    <row r="8">
      <c r="A8" s="24">
        <v>4.0</v>
      </c>
      <c r="B8" s="24" t="s">
        <v>125</v>
      </c>
      <c r="C8" s="24" t="s">
        <v>27</v>
      </c>
      <c r="D8" s="24">
        <v>26.4862</v>
      </c>
      <c r="E8" s="24">
        <v>93.9782</v>
      </c>
      <c r="G8" s="28" t="str">
        <f>VLOOKUP(C8,Location_file!A:A,1,0)</f>
        <v>SAT/BKK1</v>
      </c>
    </row>
    <row r="9">
      <c r="A9" s="24">
        <v>4.0</v>
      </c>
      <c r="B9" s="24" t="s">
        <v>126</v>
      </c>
      <c r="C9" s="24" t="s">
        <v>28</v>
      </c>
      <c r="D9" s="24">
        <v>26.2833</v>
      </c>
      <c r="E9" s="24">
        <v>93.8843</v>
      </c>
      <c r="G9" s="28" t="str">
        <f>VLOOKUP(C9,Location_file!A:A,1,0)</f>
        <v>SAT/SRU</v>
      </c>
    </row>
    <row r="10">
      <c r="A10" s="24">
        <v>5.0</v>
      </c>
      <c r="B10" s="24" t="s">
        <v>127</v>
      </c>
      <c r="C10" s="24" t="s">
        <v>29</v>
      </c>
      <c r="D10" s="24">
        <v>24.747</v>
      </c>
      <c r="E10" s="24">
        <v>93.9337</v>
      </c>
      <c r="G10" s="28" t="str">
        <f>VLOOKUP(C10,Location_file!A:A,1,0)</f>
        <v>SAT/IMPAL</v>
      </c>
    </row>
    <row r="11">
      <c r="A11" s="24">
        <v>6.0</v>
      </c>
      <c r="B11" s="24" t="s">
        <v>128</v>
      </c>
      <c r="C11" s="24" t="s">
        <v>30</v>
      </c>
      <c r="D11" s="24">
        <v>0.0</v>
      </c>
      <c r="E11" s="24">
        <v>0.0</v>
      </c>
      <c r="G11" s="28" t="str">
        <f>VLOOKUP(C11,Location_file!A:A,1,0)</f>
        <v>SAT/FKNHL</v>
      </c>
    </row>
    <row r="12">
      <c r="A12" s="24">
        <v>7.0</v>
      </c>
      <c r="B12" s="24" t="s">
        <v>129</v>
      </c>
      <c r="C12" s="24" t="s">
        <v>32</v>
      </c>
      <c r="D12" s="24">
        <v>27.2211</v>
      </c>
      <c r="E12" s="24">
        <v>94.0786</v>
      </c>
      <c r="G12" s="28" t="str">
        <f>VLOOKUP(C12,Location_file!A:A,1,0)</f>
        <v>SAT/FKNLP</v>
      </c>
    </row>
    <row r="13">
      <c r="A13" s="24">
        <v>7.0</v>
      </c>
      <c r="B13" s="24" t="s">
        <v>130</v>
      </c>
      <c r="C13" s="24" t="s">
        <v>31</v>
      </c>
      <c r="D13" s="24">
        <v>0.0</v>
      </c>
      <c r="E13" s="24">
        <v>0.0</v>
      </c>
      <c r="G13" s="28" t="str">
        <f>VLOOKUP(C13,Location_file!A:A,1,0)</f>
        <v>SAT/FKDMC</v>
      </c>
    </row>
    <row r="14">
      <c r="A14" s="24">
        <v>8.0</v>
      </c>
      <c r="B14" s="24" t="s">
        <v>131</v>
      </c>
      <c r="C14" s="24" t="s">
        <v>33</v>
      </c>
      <c r="D14" s="24">
        <v>26.195</v>
      </c>
      <c r="E14" s="24">
        <v>93.0154</v>
      </c>
      <c r="G14" s="28" t="str">
        <f>VLOOKUP(C14,Location_file!A:A,1,0)</f>
        <v>SAT/HLF</v>
      </c>
    </row>
    <row r="15">
      <c r="A15" s="24">
        <v>9.0</v>
      </c>
      <c r="B15" s="24" t="s">
        <v>132</v>
      </c>
      <c r="C15" s="24" t="s">
        <v>34</v>
      </c>
      <c r="D15" s="24">
        <v>0.0</v>
      </c>
      <c r="E15" s="24">
        <v>0.0</v>
      </c>
      <c r="G15" s="28" t="str">
        <f>VLOOKUP(C15,Location_file!A:A,1,0)</f>
        <v>SAT/FKSHL</v>
      </c>
    </row>
    <row r="16">
      <c r="A16" s="24">
        <v>10.0</v>
      </c>
      <c r="B16" s="24" t="s">
        <v>133</v>
      </c>
      <c r="C16" s="24" t="s">
        <v>35</v>
      </c>
      <c r="D16" s="24">
        <v>26.3399</v>
      </c>
      <c r="E16" s="24">
        <v>89.4638</v>
      </c>
      <c r="G16" s="28" t="str">
        <f>VLOOKUP(C16,Location_file!A:A,1,0)</f>
        <v>SAT/COB1</v>
      </c>
    </row>
    <row r="17">
      <c r="A17" s="24">
        <v>10.0</v>
      </c>
      <c r="B17" s="24" t="s">
        <v>134</v>
      </c>
      <c r="C17" s="24" t="s">
        <v>36</v>
      </c>
      <c r="D17" s="24">
        <v>26.3247</v>
      </c>
      <c r="E17" s="24">
        <v>89.4776</v>
      </c>
      <c r="G17" s="28" t="str">
        <f>VLOOKUP(C17,Location_file!A:A,1,0)</f>
        <v>SAT/FKCOB</v>
      </c>
    </row>
    <row r="18">
      <c r="A18" s="24">
        <v>15.0</v>
      </c>
      <c r="B18" s="24" t="s">
        <v>135</v>
      </c>
      <c r="C18" s="24" t="s">
        <v>37</v>
      </c>
      <c r="D18" s="24">
        <v>25.9031</v>
      </c>
      <c r="E18" s="24">
        <v>93.7002</v>
      </c>
      <c r="G18" s="28" t="str">
        <f>VLOOKUP(C18,Location_file!A:A,1,0)</f>
        <v>SAT/DMP</v>
      </c>
    </row>
    <row r="19">
      <c r="A19" s="24">
        <v>15.0</v>
      </c>
      <c r="B19" s="24" t="s">
        <v>136</v>
      </c>
      <c r="C19" s="24" t="s">
        <v>38</v>
      </c>
      <c r="D19" s="24">
        <v>25.6797</v>
      </c>
      <c r="E19" s="24">
        <v>94.124</v>
      </c>
      <c r="G19" s="28" t="str">
        <f>VLOOKUP(C19,Location_file!A:A,1,0)</f>
        <v>SAT/KMA</v>
      </c>
    </row>
    <row r="20">
      <c r="A20" s="24">
        <v>16.0</v>
      </c>
      <c r="B20" s="24" t="s">
        <v>137</v>
      </c>
      <c r="C20" s="24" t="s">
        <v>40</v>
      </c>
      <c r="D20" s="24">
        <v>25.9368</v>
      </c>
      <c r="E20" s="24">
        <v>92.9543</v>
      </c>
      <c r="G20" s="28" t="str">
        <f>VLOOKUP(C20,Location_file!A:A,1,0)</f>
        <v>SAT/FKHJI</v>
      </c>
    </row>
    <row r="21">
      <c r="A21" s="24">
        <v>16.0</v>
      </c>
      <c r="B21" s="24" t="s">
        <v>138</v>
      </c>
      <c r="C21" s="24" t="s">
        <v>39</v>
      </c>
      <c r="D21" s="24">
        <v>25.8429</v>
      </c>
      <c r="E21" s="24">
        <v>93.431</v>
      </c>
      <c r="G21" s="28" t="str">
        <f>VLOOKUP(C21,Location_file!A:A,1,0)</f>
        <v>SAT/DPU</v>
      </c>
    </row>
    <row r="22">
      <c r="A22" s="24">
        <v>17.0</v>
      </c>
      <c r="B22" s="24" t="s">
        <v>139</v>
      </c>
      <c r="C22" s="24" t="s">
        <v>42</v>
      </c>
      <c r="D22" s="24">
        <v>26.4499</v>
      </c>
      <c r="E22" s="24">
        <v>90.2924</v>
      </c>
      <c r="G22" s="28" t="str">
        <f>VLOOKUP(C22,Location_file!A:A,1,0)</f>
        <v>SAT/HBL1</v>
      </c>
    </row>
    <row r="23">
      <c r="A23" s="24">
        <v>17.0</v>
      </c>
      <c r="B23" s="24" t="s">
        <v>140</v>
      </c>
      <c r="C23" s="24" t="s">
        <v>41</v>
      </c>
      <c r="D23" s="24">
        <v>26.08</v>
      </c>
      <c r="E23" s="24">
        <v>89.96</v>
      </c>
      <c r="G23" s="28" t="str">
        <f>VLOOKUP(C23,Location_file!A:A,1,0)</f>
        <v>SAT/DBI1</v>
      </c>
    </row>
    <row r="24">
      <c r="A24" s="24">
        <v>18.0</v>
      </c>
      <c r="B24" s="24" t="s">
        <v>141</v>
      </c>
      <c r="C24" s="24" t="s">
        <v>43</v>
      </c>
      <c r="D24" s="24">
        <v>25.9693</v>
      </c>
      <c r="E24" s="24">
        <v>91.224</v>
      </c>
      <c r="G24" s="28" t="str">
        <f>VLOOKUP(C24,Location_file!A:A,1,0)</f>
        <v>SAT/FKGLPT</v>
      </c>
    </row>
    <row r="25">
      <c r="A25" s="24">
        <v>18.0</v>
      </c>
      <c r="B25" s="24" t="s">
        <v>142</v>
      </c>
      <c r="C25" s="24" t="s">
        <v>44</v>
      </c>
      <c r="D25" s="24">
        <v>25.9693</v>
      </c>
      <c r="E25" s="24">
        <v>91.2241</v>
      </c>
      <c r="G25" s="28" t="str">
        <f>VLOOKUP(C25,Location_file!A:A,1,0)</f>
        <v>SAT/BOKO</v>
      </c>
    </row>
    <row r="26">
      <c r="A26" s="24">
        <v>19.0</v>
      </c>
      <c r="B26" s="24" t="s">
        <v>143</v>
      </c>
      <c r="C26" s="24" t="s">
        <v>46</v>
      </c>
      <c r="D26" s="24">
        <v>26.5134</v>
      </c>
      <c r="E26" s="24">
        <v>91.2613</v>
      </c>
      <c r="G26" s="28" t="str">
        <f>VLOOKUP(C26,Location_file!A:A,1,0)</f>
        <v>SAT/FKNLV</v>
      </c>
    </row>
    <row r="27">
      <c r="A27" s="24">
        <v>19.0</v>
      </c>
      <c r="B27" s="24" t="s">
        <v>144</v>
      </c>
      <c r="C27" s="24" t="s">
        <v>45</v>
      </c>
      <c r="D27" s="24">
        <v>26.5133</v>
      </c>
      <c r="E27" s="24">
        <v>91.2611</v>
      </c>
      <c r="G27" s="28" t="str">
        <f>VLOOKUP(C27,Location_file!A:A,1,0)</f>
        <v>SAT/NLV1</v>
      </c>
    </row>
    <row r="28">
      <c r="A28" s="24">
        <v>20.0</v>
      </c>
      <c r="B28" s="24" t="s">
        <v>145</v>
      </c>
      <c r="C28" s="24" t="s">
        <v>47</v>
      </c>
      <c r="D28" s="24">
        <v>26.4109</v>
      </c>
      <c r="E28" s="24">
        <v>91.9715</v>
      </c>
      <c r="G28" s="28" t="str">
        <f>VLOOKUP(C28,Location_file!A:A,1,0)</f>
        <v>SAT/FKMAN</v>
      </c>
    </row>
    <row r="29">
      <c r="A29" s="24">
        <v>20.0</v>
      </c>
      <c r="B29" s="24" t="s">
        <v>146</v>
      </c>
      <c r="C29" s="24" t="s">
        <v>48</v>
      </c>
      <c r="D29" s="24">
        <v>26.7232</v>
      </c>
      <c r="E29" s="24">
        <v>92.0801</v>
      </c>
      <c r="G29" s="28" t="str">
        <f>VLOOKUP(C29,Location_file!A:A,1,0)</f>
        <v>SAT/UGR</v>
      </c>
    </row>
    <row r="30">
      <c r="A30" s="24">
        <v>21.0</v>
      </c>
      <c r="B30" s="24" t="s">
        <v>147</v>
      </c>
      <c r="C30" s="24" t="s">
        <v>49</v>
      </c>
      <c r="D30" s="24">
        <v>23.7422</v>
      </c>
      <c r="E30" s="24">
        <v>92.7357</v>
      </c>
      <c r="G30" s="28" t="str">
        <f>VLOOKUP(C30,Location_file!A:A,1,0)</f>
        <v>SAT/AJL</v>
      </c>
    </row>
    <row r="31">
      <c r="A31" s="24">
        <v>22.0</v>
      </c>
      <c r="B31" s="24" t="s">
        <v>148</v>
      </c>
      <c r="C31" s="24" t="s">
        <v>50</v>
      </c>
      <c r="D31" s="24">
        <v>23.8124</v>
      </c>
      <c r="E31" s="24">
        <v>91.3436</v>
      </c>
      <c r="G31" s="28" t="str">
        <f>VLOOKUP(C31,Location_file!A:A,1,0)</f>
        <v>SAT/FKIXA</v>
      </c>
    </row>
    <row r="32">
      <c r="A32" s="24">
        <v>23.0</v>
      </c>
      <c r="B32" s="24" t="s">
        <v>149</v>
      </c>
      <c r="C32" s="24" t="s">
        <v>51</v>
      </c>
      <c r="D32" s="24">
        <v>26.7768</v>
      </c>
      <c r="E32" s="24">
        <v>94.2307</v>
      </c>
      <c r="G32" s="28" t="str">
        <f>VLOOKUP(C32,Location_file!A:A,1,0)</f>
        <v>SAT/FKJOR</v>
      </c>
    </row>
    <row r="33">
      <c r="A33" s="24">
        <v>24.0</v>
      </c>
      <c r="B33" s="24" t="s">
        <v>150</v>
      </c>
      <c r="C33" s="24" t="s">
        <v>52</v>
      </c>
      <c r="D33" s="24">
        <v>0.0</v>
      </c>
      <c r="E33" s="24">
        <v>0.0</v>
      </c>
      <c r="G33" s="28" t="str">
        <f>VLOOKUP(C33,Location_file!A:A,1,0)</f>
        <v>SAT/MJI1</v>
      </c>
    </row>
    <row r="34">
      <c r="A34" s="24">
        <v>24.0</v>
      </c>
      <c r="B34" s="24" t="s">
        <v>151</v>
      </c>
      <c r="C34" s="24" t="s">
        <v>53</v>
      </c>
      <c r="D34" s="24">
        <v>28.0626</v>
      </c>
      <c r="E34" s="24">
        <v>95.3298</v>
      </c>
      <c r="G34" s="28" t="str">
        <f>VLOOKUP(C34,Location_file!A:A,1,0)</f>
        <v>SAT/PSG</v>
      </c>
    </row>
    <row r="35">
      <c r="A35" s="24">
        <v>25.0</v>
      </c>
      <c r="B35" s="24" t="s">
        <v>152</v>
      </c>
      <c r="C35" s="24" t="s">
        <v>54</v>
      </c>
      <c r="D35" s="24">
        <v>24.3633</v>
      </c>
      <c r="E35" s="24">
        <v>92.1602</v>
      </c>
      <c r="G35" s="28" t="str">
        <f>VLOOKUP(C35,Location_file!A:A,1,0)</f>
        <v>SAT/FKPSG</v>
      </c>
    </row>
    <row r="36">
      <c r="A36" s="24">
        <v>25.0</v>
      </c>
      <c r="B36" s="24" t="s">
        <v>153</v>
      </c>
      <c r="C36" s="24" t="s">
        <v>55</v>
      </c>
      <c r="D36" s="24">
        <v>23.8426</v>
      </c>
      <c r="E36" s="24">
        <v>91.6412</v>
      </c>
      <c r="G36" s="28" t="str">
        <f>VLOOKUP(C36,Location_file!A:A,1,0)</f>
        <v>SAT/TLM</v>
      </c>
    </row>
    <row r="37">
      <c r="A37" s="24">
        <v>25.0</v>
      </c>
      <c r="B37" s="24" t="s">
        <v>154</v>
      </c>
      <c r="C37" s="24" t="s">
        <v>56</v>
      </c>
      <c r="D37" s="24">
        <v>23.52</v>
      </c>
      <c r="E37" s="24">
        <v>91.51</v>
      </c>
      <c r="G37" s="28" t="str">
        <f>VLOOKUP(C37,Location_file!A:A,1,0)</f>
        <v>SAT/UDAIPUR</v>
      </c>
    </row>
    <row r="38">
      <c r="A38" s="24">
        <v>26.0</v>
      </c>
      <c r="B38" s="24" t="s">
        <v>155</v>
      </c>
      <c r="C38" s="24" t="s">
        <v>59</v>
      </c>
      <c r="D38" s="24">
        <v>27.43</v>
      </c>
      <c r="E38" s="24">
        <v>94.97</v>
      </c>
      <c r="G38" s="28" t="str">
        <f>VLOOKUP(C38,Location_file!A:A,1,0)</f>
        <v>SAT/DIBRUGARH</v>
      </c>
    </row>
    <row r="39">
      <c r="A39" s="24">
        <v>26.0</v>
      </c>
      <c r="B39" s="24" t="s">
        <v>156</v>
      </c>
      <c r="C39" s="24" t="s">
        <v>58</v>
      </c>
      <c r="D39" s="24">
        <v>0.0</v>
      </c>
      <c r="E39" s="24">
        <v>0.0</v>
      </c>
      <c r="G39" s="28" t="str">
        <f>VLOOKUP(C39,Location_file!A:A,1,0)</f>
        <v>SAT/FKTSK</v>
      </c>
    </row>
    <row r="40">
      <c r="A40" s="24">
        <v>26.0</v>
      </c>
      <c r="B40" s="24" t="s">
        <v>157</v>
      </c>
      <c r="C40" s="24" t="s">
        <v>57</v>
      </c>
      <c r="D40" s="24">
        <v>27.478657</v>
      </c>
      <c r="E40" s="24">
        <v>95.307296</v>
      </c>
      <c r="G40" s="28" t="str">
        <f>VLOOKUP(C40,Location_file!A:A,1,0)</f>
        <v>SAT/DIG</v>
      </c>
    </row>
    <row r="41">
      <c r="A41" s="24">
        <v>27.0</v>
      </c>
      <c r="B41" s="24" t="s">
        <v>158</v>
      </c>
      <c r="C41" s="24" t="s">
        <v>60</v>
      </c>
      <c r="D41" s="24">
        <v>25.463</v>
      </c>
      <c r="E41" s="24">
        <v>92.2226</v>
      </c>
      <c r="G41" s="28" t="str">
        <f>VLOOKUP(C41,Location_file!A:A,1,0)</f>
        <v>SAT/JNH</v>
      </c>
    </row>
    <row r="42">
      <c r="A42" s="24">
        <v>28.0</v>
      </c>
      <c r="B42" s="24" t="s">
        <v>159</v>
      </c>
      <c r="C42" s="24" t="s">
        <v>61</v>
      </c>
      <c r="D42" s="24">
        <v>26.2108</v>
      </c>
      <c r="E42" s="24">
        <v>92.3738</v>
      </c>
      <c r="G42" s="28" t="str">
        <f>VLOOKUP(C42,Location_file!A:A,1,0)</f>
        <v>SAT/MGN</v>
      </c>
    </row>
    <row r="43">
      <c r="A43" s="24">
        <v>29.0</v>
      </c>
      <c r="B43" s="24" t="s">
        <v>160</v>
      </c>
      <c r="C43" s="24" t="s">
        <v>62</v>
      </c>
      <c r="D43" s="24">
        <v>0.0</v>
      </c>
      <c r="E43" s="24">
        <v>0.0</v>
      </c>
      <c r="G43" s="28" t="str">
        <f>VLOOKUP(C43,Location_file!A:A,1,0)</f>
        <v>SAT/FKNGAN</v>
      </c>
    </row>
    <row r="44">
      <c r="A44" s="24">
        <v>29.0</v>
      </c>
      <c r="B44" s="24" t="s">
        <v>161</v>
      </c>
      <c r="C44" s="24" t="s">
        <v>63</v>
      </c>
      <c r="D44" s="24">
        <v>26.7052</v>
      </c>
      <c r="E44" s="24">
        <v>92.7659</v>
      </c>
      <c r="G44" s="28" t="str">
        <f>VLOOKUP(C44,Location_file!A:A,1,0)</f>
        <v>SAT/FKTEZ</v>
      </c>
    </row>
    <row r="45">
      <c r="A45" s="24">
        <v>30.0</v>
      </c>
      <c r="B45" s="24" t="s">
        <v>162</v>
      </c>
      <c r="C45" s="24" t="s">
        <v>65</v>
      </c>
      <c r="D45" s="24">
        <v>26.3626</v>
      </c>
      <c r="E45" s="24">
        <v>90.9875</v>
      </c>
      <c r="G45" s="28" t="str">
        <f>VLOOKUP(C45,Location_file!A:A,1,0)</f>
        <v>SAT/FKBPRD</v>
      </c>
    </row>
    <row r="46">
      <c r="A46" s="24">
        <v>30.0</v>
      </c>
      <c r="B46" s="24" t="s">
        <v>163</v>
      </c>
      <c r="C46" s="24" t="s">
        <v>64</v>
      </c>
      <c r="D46" s="24">
        <v>26.4507</v>
      </c>
      <c r="E46" s="24">
        <v>90.5618</v>
      </c>
      <c r="G46" s="28" t="str">
        <f>VLOOKUP(C46,Location_file!A:A,1,0)</f>
        <v>SAT/FKBON</v>
      </c>
    </row>
    <row r="47">
      <c r="A47" s="24">
        <v>31.0</v>
      </c>
      <c r="B47" s="24" t="s">
        <v>164</v>
      </c>
      <c r="C47" s="24" t="s">
        <v>66</v>
      </c>
      <c r="D47" s="24">
        <v>0.0</v>
      </c>
      <c r="E47" s="24">
        <v>0.0</v>
      </c>
      <c r="G47" s="28" t="str">
        <f>VLOOKUP(C47,Location_file!A:A,1,0)</f>
        <v>SAT/HSG</v>
      </c>
    </row>
    <row r="48">
      <c r="A48" s="24">
        <v>32.0</v>
      </c>
      <c r="B48" s="24" t="s">
        <v>165</v>
      </c>
      <c r="C48" s="24" t="s">
        <v>67</v>
      </c>
      <c r="D48" s="24">
        <v>26.3302</v>
      </c>
      <c r="E48" s="24">
        <v>94.5263</v>
      </c>
      <c r="G48" s="28" t="str">
        <f>VLOOKUP(C48,Location_file!A:A,1,0)</f>
        <v>SAT/MOKO</v>
      </c>
    </row>
    <row r="49">
      <c r="A49" s="24">
        <v>33.0</v>
      </c>
      <c r="B49" s="24" t="s">
        <v>166</v>
      </c>
      <c r="C49" s="24" t="s">
        <v>68</v>
      </c>
      <c r="D49" s="24">
        <v>26.1022</v>
      </c>
      <c r="E49" s="24">
        <v>91.6862</v>
      </c>
      <c r="G49" s="28" t="str">
        <f>VLOOKUP(C49,Location_file!A:A,1,0)</f>
        <v>SAT/GUW</v>
      </c>
    </row>
    <row r="50">
      <c r="A50" s="24">
        <v>34.0</v>
      </c>
      <c r="B50" s="24" t="s">
        <v>167</v>
      </c>
      <c r="C50" s="24" t="s">
        <v>69</v>
      </c>
      <c r="D50" s="24">
        <v>26.134</v>
      </c>
      <c r="E50" s="24">
        <v>91.821</v>
      </c>
      <c r="G50" s="28" t="str">
        <f>VLOOKUP(C50,Location_file!A:A,1,0)</f>
        <v>SAT/Hatigaon</v>
      </c>
    </row>
    <row r="51">
      <c r="A51" s="24">
        <v>35.0</v>
      </c>
      <c r="B51" s="24" t="s">
        <v>168</v>
      </c>
      <c r="C51" s="24" t="s">
        <v>70</v>
      </c>
      <c r="D51" s="24">
        <v>26.1222</v>
      </c>
      <c r="E51" s="24">
        <v>91.8097</v>
      </c>
      <c r="G51" s="28" t="str">
        <f>VLOOKUP(C51,Location_file!A:A,1,0)</f>
        <v>SAT/GUW2</v>
      </c>
    </row>
    <row r="52">
      <c r="A52" s="24">
        <v>36.0</v>
      </c>
      <c r="B52" s="24" t="s">
        <v>169</v>
      </c>
      <c r="C52" s="24" t="s">
        <v>71</v>
      </c>
      <c r="D52" s="24">
        <v>26.11</v>
      </c>
      <c r="E52" s="24">
        <v>91.53</v>
      </c>
      <c r="G52" s="28" t="str">
        <f>VLOOKUP(C52,Location_file!A:A,1,0)</f>
        <v>SAT/PALASHBARI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6.38"/>
    <col customWidth="1" min="2" max="2" width="42.0"/>
    <col customWidth="1" min="3" max="3" width="5.13"/>
    <col customWidth="1" min="4" max="4" width="6.63"/>
    <col customWidth="1" min="5" max="5" width="11.88"/>
    <col customWidth="1" min="6" max="6" width="4.63"/>
    <col customWidth="1" min="7" max="7" width="11.88"/>
    <col customWidth="1" min="8" max="9" width="8.38"/>
    <col customWidth="1" min="10" max="10" width="22.75"/>
    <col customWidth="1" min="11" max="11" width="17.25"/>
    <col customWidth="1" min="12" max="12" width="21.5"/>
    <col customWidth="1" min="14" max="14" width="43.38"/>
    <col customWidth="1" min="20" max="20" width="109.88"/>
    <col customWidth="1" min="22" max="22" width="27.88"/>
    <col customWidth="1" min="23" max="23" width="24.25"/>
    <col customWidth="1" min="24" max="24" width="21.13"/>
  </cols>
  <sheetData>
    <row r="1">
      <c r="A1" s="29" t="s">
        <v>170</v>
      </c>
      <c r="B1" s="29" t="s">
        <v>171</v>
      </c>
      <c r="C1" s="29" t="s">
        <v>172</v>
      </c>
      <c r="D1" s="29" t="s">
        <v>173</v>
      </c>
      <c r="E1" s="29" t="s">
        <v>174</v>
      </c>
      <c r="F1" s="29" t="s">
        <v>76</v>
      </c>
      <c r="G1" s="29" t="s">
        <v>175</v>
      </c>
      <c r="H1" s="29" t="s">
        <v>176</v>
      </c>
      <c r="I1" s="29" t="s">
        <v>72</v>
      </c>
      <c r="J1" s="29" t="s">
        <v>177</v>
      </c>
      <c r="K1" s="29" t="s">
        <v>178</v>
      </c>
      <c r="L1" s="29" t="s">
        <v>179</v>
      </c>
      <c r="M1" s="30"/>
      <c r="N1" s="31"/>
      <c r="O1" s="32"/>
      <c r="P1" s="30">
        <v>17.0</v>
      </c>
      <c r="Q1" s="33">
        <v>21.0</v>
      </c>
      <c r="R1" s="34"/>
      <c r="S1" s="34"/>
      <c r="T1" s="34"/>
      <c r="U1" s="34"/>
      <c r="V1" s="34"/>
      <c r="W1" s="34"/>
      <c r="X1" s="34"/>
      <c r="Y1" s="34"/>
      <c r="Z1" s="34"/>
      <c r="AA1" s="34"/>
    </row>
    <row r="2">
      <c r="A2" s="33" t="s">
        <v>103</v>
      </c>
      <c r="B2" s="33" t="s">
        <v>180</v>
      </c>
      <c r="C2" s="33">
        <v>699.1</v>
      </c>
      <c r="D2" s="35" t="s">
        <v>181</v>
      </c>
      <c r="E2" s="36">
        <v>629190.0</v>
      </c>
      <c r="F2" s="33">
        <v>1.0</v>
      </c>
      <c r="G2" s="36">
        <v>1118.0</v>
      </c>
      <c r="H2" s="37">
        <v>20.0</v>
      </c>
      <c r="I2" s="37">
        <v>24.0</v>
      </c>
      <c r="J2" s="33" t="s">
        <v>182</v>
      </c>
      <c r="K2" s="33" t="s">
        <v>183</v>
      </c>
      <c r="L2" s="37">
        <v>1860.0</v>
      </c>
      <c r="M2" s="36">
        <f>IFERROR(__xludf.DUMMYFUNCTION("SPLIT(D2,""."",,)"),1.0)</f>
        <v>1</v>
      </c>
      <c r="N2" s="36" t="str">
        <f>IFERROR(__xludf.DUMMYFUNCTION("""COMPUTED_VALUE"""),"0-0")</f>
        <v>0-0</v>
      </c>
      <c r="O2" s="38"/>
      <c r="P2" s="33">
        <v>20.0</v>
      </c>
      <c r="Q2" s="33">
        <v>23.72</v>
      </c>
      <c r="R2" s="34"/>
      <c r="S2" s="34"/>
      <c r="T2" s="34"/>
      <c r="U2" s="34"/>
      <c r="V2" s="34"/>
      <c r="W2" s="34"/>
      <c r="X2" s="34"/>
      <c r="Y2" s="34"/>
      <c r="Z2" s="34"/>
      <c r="AA2" s="34"/>
    </row>
    <row r="3">
      <c r="A3" s="33" t="s">
        <v>104</v>
      </c>
      <c r="B3" s="33" t="s">
        <v>184</v>
      </c>
      <c r="C3" s="33">
        <v>681.7</v>
      </c>
      <c r="D3" s="35" t="s">
        <v>185</v>
      </c>
      <c r="E3" s="36">
        <v>393681.75000000006</v>
      </c>
      <c r="F3" s="33">
        <v>2.0</v>
      </c>
      <c r="G3" s="36">
        <v>1466.0</v>
      </c>
      <c r="H3" s="37">
        <v>24.0</v>
      </c>
      <c r="I3" s="37">
        <v>25.0</v>
      </c>
      <c r="J3" s="33" t="s">
        <v>186</v>
      </c>
      <c r="K3" s="33" t="s">
        <v>187</v>
      </c>
      <c r="L3" s="37">
        <v>1964.0</v>
      </c>
      <c r="M3" s="36">
        <f>IFERROR(__xludf.DUMMYFUNCTION("SPLIT(D3,""."",,)"),2.0)</f>
        <v>2</v>
      </c>
      <c r="N3" s="36" t="str">
        <f>IFERROR(__xludf.DUMMYFUNCTION("""COMPUTED_VALUE"""),"0-0")</f>
        <v>0-0</v>
      </c>
      <c r="O3" s="38"/>
      <c r="P3" s="33">
        <v>22.0</v>
      </c>
      <c r="Q3" s="33">
        <v>24.4</v>
      </c>
      <c r="R3" s="34"/>
      <c r="S3" s="34"/>
      <c r="T3" s="34"/>
      <c r="U3" s="34"/>
      <c r="V3" s="34"/>
      <c r="W3" s="34"/>
      <c r="X3" s="34"/>
      <c r="Y3" s="34"/>
      <c r="Z3" s="34"/>
      <c r="AA3" s="34"/>
    </row>
    <row r="4">
      <c r="A4" s="33" t="s">
        <v>90</v>
      </c>
      <c r="B4" s="33" t="s">
        <v>188</v>
      </c>
      <c r="C4" s="33">
        <v>958.6</v>
      </c>
      <c r="D4" s="35" t="s">
        <v>189</v>
      </c>
      <c r="E4" s="36">
        <v>862740.0</v>
      </c>
      <c r="F4" s="36">
        <v>1.0</v>
      </c>
      <c r="G4" s="36">
        <v>1213.6</v>
      </c>
      <c r="H4" s="37">
        <v>20.0</v>
      </c>
      <c r="I4" s="37">
        <v>11.0</v>
      </c>
      <c r="J4" s="36" t="s">
        <v>190</v>
      </c>
      <c r="K4" s="33" t="s">
        <v>191</v>
      </c>
      <c r="L4" s="33">
        <v>1506.0</v>
      </c>
      <c r="M4" s="36">
        <f>IFERROR(__xludf.DUMMYFUNCTION("SPLIT(D4,""."",,)"),3.0)</f>
        <v>3</v>
      </c>
      <c r="N4" s="34" t="str">
        <f>IFERROR(__xludf.DUMMYFUNCTION("""COMPUTED_VALUE"""),"0-0")</f>
        <v>0-0</v>
      </c>
      <c r="O4" s="38"/>
      <c r="P4" s="33">
        <v>24.0</v>
      </c>
      <c r="Q4" s="33">
        <v>25.23</v>
      </c>
      <c r="R4" s="34"/>
      <c r="S4" s="34"/>
      <c r="T4" s="34"/>
      <c r="U4" s="34"/>
      <c r="V4" s="34"/>
      <c r="W4" s="34"/>
      <c r="X4" s="34"/>
      <c r="Y4" s="34"/>
      <c r="Z4" s="34"/>
      <c r="AA4" s="34"/>
    </row>
    <row r="5">
      <c r="A5" s="33" t="s">
        <v>92</v>
      </c>
      <c r="B5" s="33" t="s">
        <v>192</v>
      </c>
      <c r="C5" s="33">
        <v>666.3</v>
      </c>
      <c r="D5" s="35" t="s">
        <v>193</v>
      </c>
      <c r="E5" s="36">
        <v>384788.25000000006</v>
      </c>
      <c r="F5" s="36">
        <v>2.0</v>
      </c>
      <c r="G5" s="36">
        <v>1398.6</v>
      </c>
      <c r="H5" s="37">
        <v>24.0</v>
      </c>
      <c r="I5" s="37">
        <v>13.0</v>
      </c>
      <c r="J5" s="36" t="s">
        <v>194</v>
      </c>
      <c r="K5" s="33" t="s">
        <v>187</v>
      </c>
      <c r="L5" s="33">
        <v>2224.0</v>
      </c>
      <c r="M5" s="36">
        <f>IFERROR(__xludf.DUMMYFUNCTION("SPLIT(D5,""."",,)"),4.0)</f>
        <v>4</v>
      </c>
      <c r="N5" s="34" t="str">
        <f>IFERROR(__xludf.DUMMYFUNCTION("""COMPUTED_VALUE"""),"0-0")</f>
        <v>0-0</v>
      </c>
      <c r="O5" s="38"/>
      <c r="P5" s="33">
        <v>14.0</v>
      </c>
      <c r="Q5" s="33">
        <v>19.0</v>
      </c>
      <c r="R5" s="34"/>
      <c r="S5" s="34"/>
      <c r="T5" s="34"/>
      <c r="U5" s="34"/>
      <c r="V5" s="34"/>
      <c r="W5" s="34"/>
      <c r="X5" s="34"/>
      <c r="Y5" s="34"/>
      <c r="Z5" s="34"/>
      <c r="AA5" s="34"/>
    </row>
    <row r="6">
      <c r="A6" s="39" t="s">
        <v>101</v>
      </c>
      <c r="B6" s="39" t="s">
        <v>195</v>
      </c>
      <c r="C6" s="40">
        <v>1012.0</v>
      </c>
      <c r="D6" s="41" t="s">
        <v>196</v>
      </c>
      <c r="E6" s="42">
        <v>500940.00000000006</v>
      </c>
      <c r="F6" s="42">
        <v>2.0</v>
      </c>
      <c r="G6" s="42">
        <v>969.4</v>
      </c>
      <c r="H6" s="43">
        <v>20.0</v>
      </c>
      <c r="I6" s="43">
        <v>22.0</v>
      </c>
      <c r="J6" s="39" t="s">
        <v>197</v>
      </c>
      <c r="K6" s="40">
        <v>3360.0</v>
      </c>
      <c r="L6" s="43">
        <v>1770.0</v>
      </c>
      <c r="M6" s="36">
        <f>IFERROR(__xludf.DUMMYFUNCTION("SPLIT(D6,""."",,)"),5.0)</f>
        <v>5</v>
      </c>
      <c r="N6" s="34" t="str">
        <f>IFERROR(__xludf.DUMMYFUNCTION("""COMPUTED_VALUE"""),"0-0")</f>
        <v>0-0</v>
      </c>
      <c r="O6" s="38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>
      <c r="A7" s="39" t="s">
        <v>85</v>
      </c>
      <c r="B7" s="39" t="s">
        <v>198</v>
      </c>
      <c r="C7" s="40">
        <v>700.0</v>
      </c>
      <c r="D7" s="41" t="s">
        <v>199</v>
      </c>
      <c r="E7" s="42">
        <v>404250.00000000006</v>
      </c>
      <c r="F7" s="42">
        <v>2.0</v>
      </c>
      <c r="G7" s="42">
        <v>1546.6</v>
      </c>
      <c r="H7" s="43">
        <v>24.0</v>
      </c>
      <c r="I7" s="43">
        <v>6.0</v>
      </c>
      <c r="J7" s="44" t="s">
        <v>200</v>
      </c>
      <c r="K7" s="39">
        <v>3360.0</v>
      </c>
      <c r="L7" s="40">
        <v>2444.0</v>
      </c>
      <c r="M7" s="36">
        <f>IFERROR(__xludf.DUMMYFUNCTION("SPLIT(D7,""."",,)"),6.0)</f>
        <v>6</v>
      </c>
      <c r="N7" s="34" t="str">
        <f>IFERROR(__xludf.DUMMYFUNCTION("""COMPUTED_VALUE"""),"0-0")</f>
        <v>0-0</v>
      </c>
      <c r="O7" s="38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>
      <c r="A8" s="33" t="s">
        <v>84</v>
      </c>
      <c r="B8" s="33" t="s">
        <v>201</v>
      </c>
      <c r="C8" s="33">
        <v>925.7</v>
      </c>
      <c r="D8" s="35" t="s">
        <v>202</v>
      </c>
      <c r="E8" s="36">
        <v>763702.5000000001</v>
      </c>
      <c r="F8" s="36">
        <v>2.0</v>
      </c>
      <c r="G8" s="36">
        <v>2064.6</v>
      </c>
      <c r="H8" s="37">
        <v>32.0</v>
      </c>
      <c r="I8" s="37">
        <v>5.0</v>
      </c>
      <c r="J8" s="33" t="s">
        <v>203</v>
      </c>
      <c r="K8" s="33" t="s">
        <v>204</v>
      </c>
      <c r="L8" s="33">
        <v>1762.0</v>
      </c>
      <c r="M8" s="36">
        <f>IFERROR(__xludf.DUMMYFUNCTION("SPLIT(D8,""."",,)"),7.0)</f>
        <v>7</v>
      </c>
      <c r="N8" s="34" t="str">
        <f>IFERROR(__xludf.DUMMYFUNCTION("""COMPUTED_VALUE"""),"0-0")</f>
        <v>0-0</v>
      </c>
      <c r="O8" s="38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>
      <c r="A9" s="39" t="s">
        <v>100</v>
      </c>
      <c r="B9" s="39" t="s">
        <v>205</v>
      </c>
      <c r="C9" s="40">
        <v>672.0</v>
      </c>
      <c r="D9" s="41" t="s">
        <v>206</v>
      </c>
      <c r="E9" s="42">
        <v>277200.0</v>
      </c>
      <c r="F9" s="42">
        <v>2.0</v>
      </c>
      <c r="G9" s="42">
        <v>260.0</v>
      </c>
      <c r="H9" s="43">
        <v>10.0</v>
      </c>
      <c r="I9" s="43">
        <v>21.0</v>
      </c>
      <c r="J9" s="39" t="s">
        <v>207</v>
      </c>
      <c r="K9" s="40">
        <v>3360.0</v>
      </c>
      <c r="L9" s="43">
        <v>2406.0</v>
      </c>
      <c r="M9" s="36">
        <f>IFERROR(__xludf.DUMMYFUNCTION("SPLIT(D9,""."",,)"),8.0)</f>
        <v>8</v>
      </c>
      <c r="N9" s="34" t="str">
        <f>IFERROR(__xludf.DUMMYFUNCTION("""COMPUTED_VALUE"""),"0-0")</f>
        <v>0-0</v>
      </c>
      <c r="O9" s="38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>
      <c r="A10" s="33" t="s">
        <v>105</v>
      </c>
      <c r="B10" s="33" t="s">
        <v>208</v>
      </c>
      <c r="C10" s="33">
        <v>242.0</v>
      </c>
      <c r="D10" s="33" t="s">
        <v>209</v>
      </c>
      <c r="E10" s="37">
        <v>199650.00000000003</v>
      </c>
      <c r="F10" s="33">
        <v>2.0</v>
      </c>
      <c r="G10" s="33">
        <v>1672.0</v>
      </c>
      <c r="H10" s="37">
        <v>32.0</v>
      </c>
      <c r="I10" s="37">
        <v>26.0</v>
      </c>
      <c r="J10" s="33" t="s">
        <v>210</v>
      </c>
      <c r="K10" s="33">
        <v>3360.0</v>
      </c>
      <c r="L10" s="37">
        <v>2886.0</v>
      </c>
      <c r="M10" s="36">
        <f>IFERROR(__xludf.DUMMYFUNCTION("SPLIT(D10,""."",,)"),9.0)</f>
        <v>9</v>
      </c>
      <c r="N10" s="34" t="str">
        <f>IFERROR(__xludf.DUMMYFUNCTION("""COMPUTED_VALUE"""),"0-0")</f>
        <v>0-0</v>
      </c>
      <c r="O10" s="38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>
      <c r="A11" s="33" t="s">
        <v>114</v>
      </c>
      <c r="B11" s="33" t="s">
        <v>211</v>
      </c>
      <c r="C11" s="37">
        <v>671.2</v>
      </c>
      <c r="D11" s="33" t="s">
        <v>212</v>
      </c>
      <c r="E11" s="37">
        <v>704760.0</v>
      </c>
      <c r="F11" s="37">
        <v>1.0</v>
      </c>
      <c r="G11" s="37">
        <v>1345.0</v>
      </c>
      <c r="H11" s="37">
        <v>24.0</v>
      </c>
      <c r="I11" s="37">
        <v>35.0</v>
      </c>
      <c r="J11" s="33" t="s">
        <v>213</v>
      </c>
      <c r="K11" s="33" t="s">
        <v>214</v>
      </c>
      <c r="L11" s="37">
        <v>2240.0</v>
      </c>
      <c r="M11" s="36">
        <f>IFERROR(__xludf.DUMMYFUNCTION("SPLIT(D11,""."",,)"),10.0)</f>
        <v>10</v>
      </c>
      <c r="N11" s="36" t="str">
        <f>IFERROR(__xludf.DUMMYFUNCTION("""COMPUTED_VALUE"""),"0-0")</f>
        <v>0-0</v>
      </c>
      <c r="O11" s="38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>
      <c r="A12" s="39" t="s">
        <v>97</v>
      </c>
      <c r="B12" s="39" t="s">
        <v>215</v>
      </c>
      <c r="C12" s="40">
        <v>724.4</v>
      </c>
      <c r="D12" s="41" t="s">
        <v>216</v>
      </c>
      <c r="E12" s="42">
        <v>597630.0</v>
      </c>
      <c r="F12" s="42">
        <v>2.0</v>
      </c>
      <c r="G12" s="42">
        <v>1598.4</v>
      </c>
      <c r="H12" s="43">
        <v>32.0</v>
      </c>
      <c r="I12" s="43">
        <v>18.0</v>
      </c>
      <c r="J12" s="39" t="s">
        <v>217</v>
      </c>
      <c r="K12" s="40" t="s">
        <v>218</v>
      </c>
      <c r="L12" s="43">
        <v>2174.0</v>
      </c>
      <c r="M12" s="36">
        <f>IFERROR(__xludf.DUMMYFUNCTION("SPLIT(D12,""."",,)"),15.0)</f>
        <v>15</v>
      </c>
      <c r="N12" s="36" t="str">
        <f>IFERROR(__xludf.DUMMYFUNCTION("""COMPUTED_VALUE"""),"0-0")</f>
        <v>0-0</v>
      </c>
      <c r="O12" s="38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>
      <c r="A13" s="33" t="s">
        <v>98</v>
      </c>
      <c r="B13" s="33" t="s">
        <v>219</v>
      </c>
      <c r="C13" s="33">
        <v>542.5</v>
      </c>
      <c r="D13" s="35" t="s">
        <v>220</v>
      </c>
      <c r="E13" s="36">
        <v>313293.75</v>
      </c>
      <c r="F13" s="36">
        <v>2.0</v>
      </c>
      <c r="G13" s="36">
        <v>1480.0</v>
      </c>
      <c r="H13" s="37">
        <v>24.0</v>
      </c>
      <c r="I13" s="37">
        <v>19.0</v>
      </c>
      <c r="J13" s="33" t="s">
        <v>221</v>
      </c>
      <c r="K13" s="33" t="s">
        <v>222</v>
      </c>
      <c r="L13" s="33">
        <v>2442.0</v>
      </c>
      <c r="M13" s="36">
        <f>IFERROR(__xludf.DUMMYFUNCTION("SPLIT(D13,""."",,)"),16.0)</f>
        <v>16</v>
      </c>
      <c r="N13" s="36" t="str">
        <f>IFERROR(__xludf.DUMMYFUNCTION("""COMPUTED_VALUE"""),"0-0")</f>
        <v>0-0</v>
      </c>
      <c r="O13" s="38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>
      <c r="A14" s="33" t="s">
        <v>113</v>
      </c>
      <c r="B14" s="33" t="s">
        <v>223</v>
      </c>
      <c r="C14" s="37">
        <v>524.7</v>
      </c>
      <c r="D14" s="33" t="s">
        <v>224</v>
      </c>
      <c r="E14" s="37">
        <v>303014.25</v>
      </c>
      <c r="F14" s="37">
        <v>2.0</v>
      </c>
      <c r="G14" s="37">
        <v>1458.0</v>
      </c>
      <c r="H14" s="37">
        <v>24.0</v>
      </c>
      <c r="I14" s="37">
        <v>34.0</v>
      </c>
      <c r="J14" s="33" t="s">
        <v>225</v>
      </c>
      <c r="K14" s="33" t="s">
        <v>226</v>
      </c>
      <c r="L14" s="37">
        <v>2186.0</v>
      </c>
      <c r="M14" s="36">
        <f>IFERROR(__xludf.DUMMYFUNCTION("SPLIT(D14,""."",,)"),17.0)</f>
        <v>17</v>
      </c>
      <c r="N14" s="36" t="str">
        <f>IFERROR(__xludf.DUMMYFUNCTION("""COMPUTED_VALUE"""),"0-0")</f>
        <v>0-0</v>
      </c>
      <c r="O14" s="38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>
      <c r="A15" s="33" t="s">
        <v>110</v>
      </c>
      <c r="B15" s="33" t="s">
        <v>227</v>
      </c>
      <c r="C15" s="37">
        <v>69.0</v>
      </c>
      <c r="D15" s="33" t="s">
        <v>228</v>
      </c>
      <c r="E15" s="37">
        <v>34155.0</v>
      </c>
      <c r="F15" s="37">
        <v>2.0</v>
      </c>
      <c r="G15" s="37">
        <v>718.0</v>
      </c>
      <c r="H15" s="37">
        <v>17.0</v>
      </c>
      <c r="I15" s="37">
        <v>31.0</v>
      </c>
      <c r="J15" s="33" t="s">
        <v>229</v>
      </c>
      <c r="K15" s="33">
        <v>3360.0</v>
      </c>
      <c r="L15" s="37">
        <v>3098.0</v>
      </c>
      <c r="M15" s="36">
        <f>IFERROR(__xludf.DUMMYFUNCTION("SPLIT(D15,""."",,)"),18.0)</f>
        <v>18</v>
      </c>
      <c r="N15" s="36" t="str">
        <f>IFERROR(__xludf.DUMMYFUNCTION("""COMPUTED_VALUE"""),"0-0")</f>
        <v>0-0</v>
      </c>
      <c r="O15" s="38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>
      <c r="A16" s="33" t="s">
        <v>230</v>
      </c>
      <c r="B16" s="33" t="s">
        <v>231</v>
      </c>
      <c r="C16" s="37">
        <v>232.0</v>
      </c>
      <c r="D16" s="33" t="s">
        <v>228</v>
      </c>
      <c r="E16" s="37">
        <v>114840.0</v>
      </c>
      <c r="F16" s="37">
        <v>2.0</v>
      </c>
      <c r="G16" s="37">
        <v>902.0</v>
      </c>
      <c r="H16" s="37">
        <v>20.0</v>
      </c>
      <c r="I16" s="37">
        <v>32.0</v>
      </c>
      <c r="J16" s="33" t="s">
        <v>232</v>
      </c>
      <c r="K16" s="33">
        <v>3360.0</v>
      </c>
      <c r="L16" s="37">
        <v>2818.0</v>
      </c>
      <c r="M16" s="36">
        <f>IFERROR(__xludf.DUMMYFUNCTION("SPLIT(D16,""."",,)"),18.0)</f>
        <v>18</v>
      </c>
      <c r="N16" s="36" t="str">
        <f>IFERROR(__xludf.DUMMYFUNCTION("""COMPUTED_VALUE"""),"0-0")</f>
        <v>0-0</v>
      </c>
      <c r="O16" s="38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>
      <c r="A17" s="33" t="s">
        <v>117</v>
      </c>
      <c r="B17" s="33" t="s">
        <v>233</v>
      </c>
      <c r="C17" s="37">
        <v>202.0</v>
      </c>
      <c r="D17" s="33" t="s">
        <v>234</v>
      </c>
      <c r="E17" s="37">
        <v>166650.0</v>
      </c>
      <c r="F17" s="37">
        <v>2.0</v>
      </c>
      <c r="G17" s="37">
        <v>2050.2</v>
      </c>
      <c r="H17" s="37">
        <v>32.0</v>
      </c>
      <c r="I17" s="37">
        <v>38.0</v>
      </c>
      <c r="J17" s="33" t="s">
        <v>235</v>
      </c>
      <c r="K17" s="33" t="s">
        <v>236</v>
      </c>
      <c r="L17" s="37">
        <v>2844.0</v>
      </c>
      <c r="M17" s="36">
        <f>IFERROR(__xludf.DUMMYFUNCTION("SPLIT(D17,""."",,)"),19.0)</f>
        <v>19</v>
      </c>
      <c r="N17" s="36" t="str">
        <f>IFERROR(__xludf.DUMMYFUNCTION("""COMPUTED_VALUE"""),"0-0")</f>
        <v>0-0</v>
      </c>
      <c r="O17" s="38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>
      <c r="A18" s="33" t="s">
        <v>237</v>
      </c>
      <c r="B18" s="33" t="s">
        <v>238</v>
      </c>
      <c r="C18" s="33">
        <v>141.8</v>
      </c>
      <c r="D18" s="35" t="s">
        <v>239</v>
      </c>
      <c r="E18" s="36">
        <v>70191.0</v>
      </c>
      <c r="F18" s="36">
        <v>2.0</v>
      </c>
      <c r="G18" s="36">
        <v>1154.4</v>
      </c>
      <c r="H18" s="37">
        <v>20.0</v>
      </c>
      <c r="I18" s="37">
        <v>1.0</v>
      </c>
      <c r="J18" s="36" t="s">
        <v>240</v>
      </c>
      <c r="K18" s="33">
        <v>3360.0</v>
      </c>
      <c r="L18" s="33">
        <v>3020.0</v>
      </c>
      <c r="M18" s="36">
        <f>IFERROR(__xludf.DUMMYFUNCTION("SPLIT(D18,""."",,)"),20.0)</f>
        <v>20</v>
      </c>
      <c r="N18" s="36" t="str">
        <f>IFERROR(__xludf.DUMMYFUNCTION("""COMPUTED_VALUE"""),"0-0")</f>
        <v>0-0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>
      <c r="A19" s="33" t="s">
        <v>237</v>
      </c>
      <c r="B19" s="39" t="s">
        <v>241</v>
      </c>
      <c r="C19" s="40">
        <v>222.0</v>
      </c>
      <c r="D19" s="41" t="s">
        <v>239</v>
      </c>
      <c r="E19" s="42">
        <v>91575.0</v>
      </c>
      <c r="F19" s="42">
        <v>2.0</v>
      </c>
      <c r="G19" s="42">
        <v>577.2</v>
      </c>
      <c r="H19" s="43">
        <v>14.0</v>
      </c>
      <c r="I19" s="43">
        <v>2.0</v>
      </c>
      <c r="J19" s="44" t="s">
        <v>242</v>
      </c>
      <c r="K19" s="39">
        <v>3360.0</v>
      </c>
      <c r="L19" s="40">
        <v>2884.0</v>
      </c>
      <c r="M19" s="36">
        <f>IFERROR(__xludf.DUMMYFUNCTION("SPLIT(D19,""."",,)"),20.0)</f>
        <v>20</v>
      </c>
      <c r="N19" s="36" t="str">
        <f>IFERROR(__xludf.DUMMYFUNCTION("""COMPUTED_VALUE"""),"0-0")</f>
        <v>0-0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>
      <c r="A20" s="33" t="s">
        <v>106</v>
      </c>
      <c r="B20" s="33" t="s">
        <v>243</v>
      </c>
      <c r="C20" s="33">
        <v>1042.0</v>
      </c>
      <c r="D20" s="35" t="s">
        <v>244</v>
      </c>
      <c r="E20" s="37">
        <v>515790.00000000006</v>
      </c>
      <c r="F20" s="33">
        <v>2.0</v>
      </c>
      <c r="G20" s="33">
        <v>1132.0</v>
      </c>
      <c r="H20" s="37">
        <v>20.0</v>
      </c>
      <c r="I20" s="37">
        <v>27.0</v>
      </c>
      <c r="J20" s="33" t="s">
        <v>245</v>
      </c>
      <c r="K20" s="33">
        <v>3360.0</v>
      </c>
      <c r="L20" s="37">
        <v>1438.0</v>
      </c>
      <c r="M20" s="36">
        <f>IFERROR(__xludf.DUMMYFUNCTION("SPLIT(D20,""."",,)"),21.0)</f>
        <v>21</v>
      </c>
      <c r="N20" s="36" t="str">
        <f>IFERROR(__xludf.DUMMYFUNCTION("""COMPUTED_VALUE"""),"0-0")</f>
        <v>0-0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>
      <c r="A21" s="33" t="s">
        <v>109</v>
      </c>
      <c r="B21" s="33" t="s">
        <v>246</v>
      </c>
      <c r="C21" s="37">
        <v>1120.0</v>
      </c>
      <c r="D21" s="33" t="s">
        <v>247</v>
      </c>
      <c r="E21" s="37">
        <v>1680000.0</v>
      </c>
      <c r="F21" s="37">
        <v>1.0</v>
      </c>
      <c r="G21" s="37">
        <v>1554.0</v>
      </c>
      <c r="H21" s="37">
        <v>32.0</v>
      </c>
      <c r="I21" s="37">
        <v>30.0</v>
      </c>
      <c r="J21" s="33" t="s">
        <v>248</v>
      </c>
      <c r="K21" s="33">
        <v>3360.0</v>
      </c>
      <c r="L21" s="37">
        <v>1444.0</v>
      </c>
      <c r="M21" s="36">
        <f>IFERROR(__xludf.DUMMYFUNCTION("SPLIT(D21,""."",,)"),22.0)</f>
        <v>22</v>
      </c>
      <c r="N21" s="36" t="str">
        <f>IFERROR(__xludf.DUMMYFUNCTION("""COMPUTED_VALUE"""),"0-0")</f>
        <v>0-0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>
      <c r="A22" s="39" t="s">
        <v>91</v>
      </c>
      <c r="B22" s="39" t="s">
        <v>249</v>
      </c>
      <c r="C22" s="40">
        <v>666.0</v>
      </c>
      <c r="D22" s="41" t="s">
        <v>250</v>
      </c>
      <c r="E22" s="42">
        <v>549450.0</v>
      </c>
      <c r="F22" s="42">
        <v>2.0</v>
      </c>
      <c r="G22" s="42">
        <v>2146.0</v>
      </c>
      <c r="H22" s="43">
        <v>32.0</v>
      </c>
      <c r="I22" s="43">
        <v>12.0</v>
      </c>
      <c r="J22" s="44" t="s">
        <v>251</v>
      </c>
      <c r="K22" s="39">
        <v>3360.0</v>
      </c>
      <c r="L22" s="40">
        <v>2432.0</v>
      </c>
      <c r="M22" s="36">
        <f>IFERROR(__xludf.DUMMYFUNCTION("SPLIT(D22,""."",,)"),23.0)</f>
        <v>23</v>
      </c>
      <c r="N22" s="36" t="str">
        <f>IFERROR(__xludf.DUMMYFUNCTION("""COMPUTED_VALUE"""),"0-0")</f>
        <v>0-0</v>
      </c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>
      <c r="A23" s="33" t="s">
        <v>83</v>
      </c>
      <c r="B23" s="33" t="s">
        <v>252</v>
      </c>
      <c r="C23" s="33">
        <v>1154.0</v>
      </c>
      <c r="D23" s="35" t="s">
        <v>253</v>
      </c>
      <c r="E23" s="36">
        <v>476025.00000000006</v>
      </c>
      <c r="F23" s="36">
        <v>2.0</v>
      </c>
      <c r="G23" s="36">
        <v>547.5999999999999</v>
      </c>
      <c r="H23" s="37">
        <v>14.0</v>
      </c>
      <c r="I23" s="37">
        <v>4.0</v>
      </c>
      <c r="J23" s="33" t="s">
        <v>254</v>
      </c>
      <c r="K23" s="33" t="s">
        <v>255</v>
      </c>
      <c r="L23" s="33">
        <v>1180.0</v>
      </c>
      <c r="M23" s="36">
        <f>IFERROR(__xludf.DUMMYFUNCTION("SPLIT(D23,""."",,)"),24.0)</f>
        <v>24</v>
      </c>
      <c r="N23" s="36" t="str">
        <f>IFERROR(__xludf.DUMMYFUNCTION("""COMPUTED_VALUE"""),"0-0")</f>
        <v>0-0</v>
      </c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>
      <c r="A24" s="33" t="s">
        <v>256</v>
      </c>
      <c r="B24" s="33" t="s">
        <v>257</v>
      </c>
      <c r="C24" s="37">
        <v>1181.1</v>
      </c>
      <c r="D24" s="33" t="s">
        <v>258</v>
      </c>
      <c r="E24" s="37">
        <v>584644.5</v>
      </c>
      <c r="F24" s="37">
        <v>2.0</v>
      </c>
      <c r="G24" s="37">
        <v>1222.0</v>
      </c>
      <c r="H24" s="37">
        <v>20.0</v>
      </c>
      <c r="I24" s="37">
        <v>28.0</v>
      </c>
      <c r="J24" s="33" t="s">
        <v>259</v>
      </c>
      <c r="K24" s="33" t="s">
        <v>222</v>
      </c>
      <c r="L24" s="37">
        <v>1140.0</v>
      </c>
      <c r="M24" s="36">
        <f>IFERROR(__xludf.DUMMYFUNCTION("SPLIT(D24,""."",,)"),25.0)</f>
        <v>25</v>
      </c>
      <c r="N24" s="36" t="str">
        <f>IFERROR(__xludf.DUMMYFUNCTION("""COMPUTED_VALUE"""),"0-0")</f>
        <v>0-0</v>
      </c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>
      <c r="A25" s="33" t="s">
        <v>108</v>
      </c>
      <c r="B25" s="33" t="s">
        <v>260</v>
      </c>
      <c r="C25" s="37">
        <v>810.0</v>
      </c>
      <c r="D25" s="33" t="s">
        <v>258</v>
      </c>
      <c r="E25" s="37">
        <v>467775.00000000006</v>
      </c>
      <c r="F25" s="37">
        <v>2.0</v>
      </c>
      <c r="G25" s="37">
        <v>1266.0</v>
      </c>
      <c r="H25" s="37">
        <v>22.0</v>
      </c>
      <c r="I25" s="37">
        <v>29.0</v>
      </c>
      <c r="J25" s="33" t="s">
        <v>261</v>
      </c>
      <c r="K25" s="33">
        <v>3360.0</v>
      </c>
      <c r="L25" s="37">
        <v>1912.0</v>
      </c>
      <c r="M25" s="36">
        <f>IFERROR(__xludf.DUMMYFUNCTION("SPLIT(D25,""."",,)"),25.0)</f>
        <v>25</v>
      </c>
      <c r="N25" s="36" t="str">
        <f>IFERROR(__xludf.DUMMYFUNCTION("""COMPUTED_VALUE"""),"0-0")</f>
        <v>0-0</v>
      </c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>
      <c r="A26" s="33" t="s">
        <v>262</v>
      </c>
      <c r="B26" s="33" t="s">
        <v>263</v>
      </c>
      <c r="C26" s="33">
        <v>1043.0</v>
      </c>
      <c r="D26" s="35" t="s">
        <v>264</v>
      </c>
      <c r="E26" s="36">
        <v>860475.0000000001</v>
      </c>
      <c r="F26" s="36">
        <v>2.0</v>
      </c>
      <c r="G26" s="36">
        <v>2131.2</v>
      </c>
      <c r="H26" s="37">
        <v>32.0</v>
      </c>
      <c r="I26" s="37">
        <v>9.0</v>
      </c>
      <c r="J26" s="33" t="s">
        <v>265</v>
      </c>
      <c r="K26" s="33" t="s">
        <v>266</v>
      </c>
      <c r="L26" s="33">
        <v>1826.0</v>
      </c>
      <c r="M26" s="36">
        <f>IFERROR(__xludf.DUMMYFUNCTION("SPLIT(D26,""."",,)"),26.0)</f>
        <v>26</v>
      </c>
      <c r="N26" s="34" t="str">
        <f>IFERROR(__xludf.DUMMYFUNCTION("""COMPUTED_VALUE"""),"0-0")</f>
        <v>0-0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>
      <c r="A27" s="33" t="s">
        <v>89</v>
      </c>
      <c r="B27" s="33" t="s">
        <v>267</v>
      </c>
      <c r="C27" s="33">
        <v>940.0</v>
      </c>
      <c r="D27" s="35" t="s">
        <v>264</v>
      </c>
      <c r="E27" s="36">
        <v>465300.00000000006</v>
      </c>
      <c r="F27" s="36">
        <v>2.0</v>
      </c>
      <c r="G27" s="36">
        <v>1080.4</v>
      </c>
      <c r="H27" s="37">
        <v>20.0</v>
      </c>
      <c r="I27" s="37">
        <v>10.0</v>
      </c>
      <c r="J27" s="36" t="s">
        <v>268</v>
      </c>
      <c r="K27" s="33">
        <v>3360.0</v>
      </c>
      <c r="L27" s="33">
        <v>2066.0</v>
      </c>
      <c r="M27" s="36">
        <f>IFERROR(__xludf.DUMMYFUNCTION("SPLIT(D27,""."",,)"),26.0)</f>
        <v>26</v>
      </c>
      <c r="N27" s="34" t="str">
        <f>IFERROR(__xludf.DUMMYFUNCTION("""COMPUTED_VALUE"""),"0-0")</f>
        <v>0-0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>
      <c r="A28" s="33" t="s">
        <v>102</v>
      </c>
      <c r="B28" s="33" t="s">
        <v>269</v>
      </c>
      <c r="C28" s="33">
        <v>364.0</v>
      </c>
      <c r="D28" s="35" t="s">
        <v>270</v>
      </c>
      <c r="E28" s="36">
        <v>150150.0</v>
      </c>
      <c r="F28" s="33">
        <v>2.0</v>
      </c>
      <c r="G28" s="36">
        <v>488.0</v>
      </c>
      <c r="H28" s="37">
        <v>14.0</v>
      </c>
      <c r="I28" s="37">
        <v>23.0</v>
      </c>
      <c r="J28" s="33" t="s">
        <v>271</v>
      </c>
      <c r="K28" s="33">
        <v>3360.0</v>
      </c>
      <c r="L28" s="37">
        <v>2748.0</v>
      </c>
      <c r="M28" s="36">
        <f>IFERROR(__xludf.DUMMYFUNCTION("SPLIT(D28,""."",,)"),27.0)</f>
        <v>27</v>
      </c>
      <c r="N28" s="34" t="str">
        <f>IFERROR(__xludf.DUMMYFUNCTION("""COMPUTED_VALUE"""),"0-0")</f>
        <v>0-0</v>
      </c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>
      <c r="A29" s="39" t="s">
        <v>99</v>
      </c>
      <c r="B29" s="39" t="s">
        <v>272</v>
      </c>
      <c r="C29" s="40">
        <v>100.6</v>
      </c>
      <c r="D29" s="41" t="s">
        <v>273</v>
      </c>
      <c r="E29" s="42">
        <v>49797.00000000001</v>
      </c>
      <c r="F29" s="42">
        <v>2.0</v>
      </c>
      <c r="G29" s="42">
        <v>777.0</v>
      </c>
      <c r="H29" s="43">
        <v>17.0</v>
      </c>
      <c r="I29" s="43">
        <v>20.0</v>
      </c>
      <c r="J29" s="44" t="s">
        <v>274</v>
      </c>
      <c r="K29" s="39">
        <v>3360.0</v>
      </c>
      <c r="L29" s="40">
        <v>3074.0</v>
      </c>
      <c r="M29" s="36">
        <f>IFERROR(__xludf.DUMMYFUNCTION("SPLIT(D29,""."",,)"),28.0)</f>
        <v>28</v>
      </c>
      <c r="N29" s="34" t="str">
        <f>IFERROR(__xludf.DUMMYFUNCTION("""COMPUTED_VALUE"""),"0-0")</f>
        <v>0-0</v>
      </c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>
      <c r="A30" s="39" t="s">
        <v>275</v>
      </c>
      <c r="B30" s="39" t="s">
        <v>276</v>
      </c>
      <c r="C30" s="40">
        <v>51.8</v>
      </c>
      <c r="D30" s="41" t="s">
        <v>277</v>
      </c>
      <c r="E30" s="42">
        <v>29914.500000000004</v>
      </c>
      <c r="F30" s="42">
        <v>2.0</v>
      </c>
      <c r="G30" s="42">
        <v>1487.4</v>
      </c>
      <c r="H30" s="43">
        <v>24.0</v>
      </c>
      <c r="I30" s="43">
        <v>7.0</v>
      </c>
      <c r="J30" s="39" t="s">
        <v>278</v>
      </c>
      <c r="K30" s="39">
        <v>3360.0</v>
      </c>
      <c r="L30" s="43">
        <v>3142.0</v>
      </c>
      <c r="M30" s="36">
        <f>IFERROR(__xludf.DUMMYFUNCTION("SPLIT(D30,""."",,)"),29.0)</f>
        <v>29</v>
      </c>
      <c r="N30" s="34" t="str">
        <f>IFERROR(__xludf.DUMMYFUNCTION("""COMPUTED_VALUE"""),"0-0")</f>
        <v>0-0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>
      <c r="A31" s="39" t="s">
        <v>87</v>
      </c>
      <c r="B31" s="39" t="s">
        <v>279</v>
      </c>
      <c r="C31" s="40">
        <v>432.0</v>
      </c>
      <c r="D31" s="41" t="s">
        <v>277</v>
      </c>
      <c r="E31" s="42">
        <v>356400.0</v>
      </c>
      <c r="F31" s="42">
        <v>2.0</v>
      </c>
      <c r="G31" s="42">
        <v>1857.4</v>
      </c>
      <c r="H31" s="43">
        <v>32.0</v>
      </c>
      <c r="I31" s="43">
        <v>8.0</v>
      </c>
      <c r="J31" s="44" t="s">
        <v>280</v>
      </c>
      <c r="K31" s="39">
        <v>3360.0</v>
      </c>
      <c r="L31" s="40">
        <v>2730.0</v>
      </c>
      <c r="M31" s="36">
        <f>IFERROR(__xludf.DUMMYFUNCTION("SPLIT(D31,""."",,)"),29.0)</f>
        <v>29</v>
      </c>
      <c r="N31" s="34" t="str">
        <f>IFERROR(__xludf.DUMMYFUNCTION("""COMPUTED_VALUE"""),"0-0")</f>
        <v>0-0</v>
      </c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>
      <c r="A32" s="33" t="s">
        <v>281</v>
      </c>
      <c r="B32" s="33" t="s">
        <v>282</v>
      </c>
      <c r="C32" s="37">
        <v>386.0</v>
      </c>
      <c r="D32" s="33" t="s">
        <v>283</v>
      </c>
      <c r="E32" s="37">
        <v>191070.00000000003</v>
      </c>
      <c r="F32" s="37">
        <v>2.0</v>
      </c>
      <c r="G32" s="37">
        <v>1148.0</v>
      </c>
      <c r="H32" s="37">
        <v>20.0</v>
      </c>
      <c r="I32" s="37">
        <v>36.0</v>
      </c>
      <c r="J32" s="33" t="s">
        <v>284</v>
      </c>
      <c r="K32" s="33">
        <v>3360.0</v>
      </c>
      <c r="L32" s="37">
        <v>2734.0</v>
      </c>
      <c r="M32" s="36">
        <f>IFERROR(__xludf.DUMMYFUNCTION("SPLIT(D32,""."",,)"),30.0)</f>
        <v>30</v>
      </c>
      <c r="N32" s="34" t="str">
        <f>IFERROR(__xludf.DUMMYFUNCTION("""COMPUTED_VALUE"""),"0-0")</f>
        <v>0-0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>
      <c r="A33" s="33" t="s">
        <v>116</v>
      </c>
      <c r="B33" s="33" t="s">
        <v>285</v>
      </c>
      <c r="C33" s="37">
        <v>212.0</v>
      </c>
      <c r="D33" s="33" t="s">
        <v>283</v>
      </c>
      <c r="E33" s="37">
        <v>104940.0</v>
      </c>
      <c r="F33" s="37">
        <v>2.0</v>
      </c>
      <c r="G33" s="37">
        <v>896.0</v>
      </c>
      <c r="H33" s="37">
        <v>20.0</v>
      </c>
      <c r="I33" s="37">
        <v>37.0</v>
      </c>
      <c r="J33" s="33" t="s">
        <v>286</v>
      </c>
      <c r="K33" s="33">
        <v>3360.0</v>
      </c>
      <c r="L33" s="37">
        <v>2874.0</v>
      </c>
      <c r="M33" s="36">
        <f>IFERROR(__xludf.DUMMYFUNCTION("SPLIT(D33,""."",,)"),30.0)</f>
        <v>30</v>
      </c>
      <c r="N33" s="34" t="str">
        <f>IFERROR(__xludf.DUMMYFUNCTION("""COMPUTED_VALUE"""),"0-0")</f>
        <v>0-0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>
      <c r="A34" s="33" t="s">
        <v>112</v>
      </c>
      <c r="B34" s="33" t="s">
        <v>287</v>
      </c>
      <c r="C34" s="37">
        <v>420.0</v>
      </c>
      <c r="D34" s="33" t="s">
        <v>288</v>
      </c>
      <c r="E34" s="37">
        <v>173250.0</v>
      </c>
      <c r="F34" s="37">
        <v>2.0</v>
      </c>
      <c r="G34" s="37">
        <v>408.0</v>
      </c>
      <c r="H34" s="37">
        <v>14.0</v>
      </c>
      <c r="I34" s="37">
        <v>33.0</v>
      </c>
      <c r="J34" s="33" t="s">
        <v>289</v>
      </c>
      <c r="K34" s="33">
        <v>3360.0</v>
      </c>
      <c r="L34" s="37">
        <v>2500.0</v>
      </c>
      <c r="M34" s="36">
        <f>IFERROR(__xludf.DUMMYFUNCTION("SPLIT(D34,""."",,)"),31.0)</f>
        <v>31</v>
      </c>
      <c r="N34" s="34" t="str">
        <f>IFERROR(__xludf.DUMMYFUNCTION("""COMPUTED_VALUE"""),"0-0")</f>
        <v>0-0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>
      <c r="A35" s="33" t="s">
        <v>94</v>
      </c>
      <c r="B35" s="33" t="s">
        <v>290</v>
      </c>
      <c r="C35" s="33">
        <v>924.0</v>
      </c>
      <c r="D35" s="35" t="s">
        <v>291</v>
      </c>
      <c r="E35" s="36">
        <v>304920.0</v>
      </c>
      <c r="F35" s="36">
        <v>2.0</v>
      </c>
      <c r="G35" s="36">
        <v>125.8</v>
      </c>
      <c r="H35" s="37">
        <v>7.0</v>
      </c>
      <c r="I35" s="37">
        <v>15.0</v>
      </c>
      <c r="J35" s="33" t="s">
        <v>292</v>
      </c>
      <c r="K35" s="33">
        <v>3360.0</v>
      </c>
      <c r="L35" s="33">
        <v>2040.0</v>
      </c>
      <c r="M35" s="36">
        <f>IFERROR(__xludf.DUMMYFUNCTION("SPLIT(D35,""."",,)"),32.0)</f>
        <v>32</v>
      </c>
      <c r="N35" s="34" t="str">
        <f>IFERROR(__xludf.DUMMYFUNCTION("""COMPUTED_VALUE"""),"0-0")</f>
        <v>0-0</v>
      </c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>
      <c r="A36" s="39" t="s">
        <v>96</v>
      </c>
      <c r="B36" s="39" t="s">
        <v>293</v>
      </c>
      <c r="C36" s="40">
        <v>46.3</v>
      </c>
      <c r="D36" s="41" t="s">
        <v>294</v>
      </c>
      <c r="E36" s="42">
        <v>22918.500000000004</v>
      </c>
      <c r="F36" s="42">
        <v>2.0</v>
      </c>
      <c r="G36" s="42">
        <v>1080.4</v>
      </c>
      <c r="H36" s="43">
        <v>20.0</v>
      </c>
      <c r="I36" s="43">
        <v>17.0</v>
      </c>
      <c r="J36" s="44" t="s">
        <v>295</v>
      </c>
      <c r="K36" s="39">
        <v>3360.0</v>
      </c>
      <c r="L36" s="43">
        <v>3150.0</v>
      </c>
      <c r="M36" s="36">
        <f>IFERROR(__xludf.DUMMYFUNCTION("SPLIT(D36,""."",,)"),33.0)</f>
        <v>33</v>
      </c>
      <c r="N36" s="34" t="str">
        <f>IFERROR(__xludf.DUMMYFUNCTION("""COMPUTED_VALUE"""),"0-0")</f>
        <v>0-0</v>
      </c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>
      <c r="A37" s="39" t="s">
        <v>93</v>
      </c>
      <c r="B37" s="39" t="s">
        <v>296</v>
      </c>
      <c r="C37" s="40">
        <v>79.6</v>
      </c>
      <c r="D37" s="41" t="s">
        <v>297</v>
      </c>
      <c r="E37" s="42">
        <v>39402.0</v>
      </c>
      <c r="F37" s="42">
        <v>2.0</v>
      </c>
      <c r="G37" s="42">
        <v>1080.4</v>
      </c>
      <c r="H37" s="43">
        <v>20.0</v>
      </c>
      <c r="I37" s="43">
        <v>14.0</v>
      </c>
      <c r="J37" s="44" t="s">
        <v>298</v>
      </c>
      <c r="K37" s="39">
        <v>3360.0</v>
      </c>
      <c r="L37" s="43">
        <v>3120.0</v>
      </c>
      <c r="M37" s="36">
        <f>IFERROR(__xludf.DUMMYFUNCTION("SPLIT(D37,""."",,)"),34.0)</f>
        <v>34</v>
      </c>
      <c r="N37" s="34" t="str">
        <f>IFERROR(__xludf.DUMMYFUNCTION("""COMPUTED_VALUE"""),"0-0")</f>
        <v>0-0</v>
      </c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>
      <c r="A38" s="33" t="s">
        <v>95</v>
      </c>
      <c r="B38" s="33" t="s">
        <v>299</v>
      </c>
      <c r="C38" s="33">
        <v>74.0</v>
      </c>
      <c r="D38" s="35" t="s">
        <v>300</v>
      </c>
      <c r="E38" s="36">
        <v>36630.0</v>
      </c>
      <c r="F38" s="36">
        <v>2.0</v>
      </c>
      <c r="G38" s="36">
        <v>1080.4</v>
      </c>
      <c r="H38" s="37">
        <v>20.0</v>
      </c>
      <c r="I38" s="37">
        <v>16.0</v>
      </c>
      <c r="J38" s="36" t="s">
        <v>301</v>
      </c>
      <c r="K38" s="33">
        <v>3360.0</v>
      </c>
      <c r="L38" s="33">
        <v>3135.0</v>
      </c>
      <c r="M38" s="36">
        <f>IFERROR(__xludf.DUMMYFUNCTION("SPLIT(D38,""."",,)"),35.0)</f>
        <v>35</v>
      </c>
      <c r="N38" s="34" t="str">
        <f>IFERROR(__xludf.DUMMYFUNCTION("""COMPUTED_VALUE"""),"0-0")</f>
        <v>0-0</v>
      </c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>
      <c r="A39" s="33" t="s">
        <v>82</v>
      </c>
      <c r="B39" s="33" t="s">
        <v>302</v>
      </c>
      <c r="C39" s="33">
        <v>4.0</v>
      </c>
      <c r="D39" s="35" t="s">
        <v>303</v>
      </c>
      <c r="E39" s="36">
        <v>1980.0</v>
      </c>
      <c r="F39" s="36">
        <v>2.0</v>
      </c>
      <c r="G39" s="36">
        <v>1080.4</v>
      </c>
      <c r="H39" s="37">
        <v>20.0</v>
      </c>
      <c r="I39" s="37">
        <v>3.0</v>
      </c>
      <c r="J39" s="36" t="s">
        <v>304</v>
      </c>
      <c r="K39" s="33">
        <v>3360.0</v>
      </c>
      <c r="L39" s="33">
        <v>3225.0</v>
      </c>
      <c r="M39" s="36">
        <f>IFERROR(__xludf.DUMMYFUNCTION("SPLIT(D39,""."",,)"),36.0)</f>
        <v>36</v>
      </c>
      <c r="N39" s="34" t="str">
        <f>IFERROR(__xludf.DUMMYFUNCTION("""COMPUTED_VALUE"""),"0-0")</f>
        <v>0-0</v>
      </c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1.13"/>
    <col customWidth="1" min="3" max="3" width="10.5"/>
    <col customWidth="1" min="6" max="6" width="10.5"/>
    <col customWidth="1" min="7" max="7" width="4.5"/>
    <col customWidth="1" min="8" max="8" width="14.88"/>
    <col customWidth="1" min="14" max="14" width="10.13"/>
    <col customWidth="1" min="20" max="20" width="109.88"/>
    <col customWidth="1" min="22" max="22" width="27.88"/>
    <col customWidth="1" min="23" max="23" width="24.25"/>
    <col customWidth="1" min="24" max="24" width="21.13"/>
  </cols>
  <sheetData>
    <row r="1">
      <c r="A1" s="45" t="s">
        <v>305</v>
      </c>
      <c r="B1" s="45" t="s">
        <v>306</v>
      </c>
      <c r="C1" s="45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>
      <c r="A2" s="45" t="s">
        <v>148</v>
      </c>
      <c r="B2" s="45" t="s">
        <v>307</v>
      </c>
      <c r="C2" s="45">
        <v>2.0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>
      <c r="A3" s="45" t="s">
        <v>166</v>
      </c>
      <c r="B3" s="45" t="s">
        <v>308</v>
      </c>
      <c r="C3" s="45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>
      <c r="A4" s="45" t="s">
        <v>167</v>
      </c>
      <c r="B4" s="45" t="s">
        <v>308</v>
      </c>
      <c r="C4" s="45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>
      <c r="A5" s="45" t="s">
        <v>149</v>
      </c>
      <c r="B5" s="45" t="s">
        <v>309</v>
      </c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>
      <c r="A6" s="45" t="s">
        <v>161</v>
      </c>
      <c r="B6" s="47" t="s">
        <v>310</v>
      </c>
      <c r="C6" s="45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>
      <c r="A7" s="45" t="s">
        <v>118</v>
      </c>
      <c r="B7" s="45" t="s">
        <v>311</v>
      </c>
      <c r="C7" s="45">
        <v>2.0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>
      <c r="A8" s="45" t="s">
        <v>132</v>
      </c>
      <c r="B8" s="45" t="s">
        <v>312</v>
      </c>
      <c r="C8" s="45">
        <v>2.0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>
      <c r="A9" s="45" t="s">
        <v>128</v>
      </c>
      <c r="B9" s="45" t="s">
        <v>313</v>
      </c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>
      <c r="A10" s="45" t="s">
        <v>168</v>
      </c>
      <c r="B10" s="45" t="s">
        <v>308</v>
      </c>
      <c r="C10" s="45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>
      <c r="A11" s="45" t="s">
        <v>314</v>
      </c>
      <c r="B11" s="45" t="s">
        <v>315</v>
      </c>
      <c r="C11" s="45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>
      <c r="A12" s="45" t="s">
        <v>160</v>
      </c>
      <c r="B12" s="45" t="s">
        <v>316</v>
      </c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>
      <c r="A13" s="45" t="s">
        <v>133</v>
      </c>
      <c r="B13" s="45" t="s">
        <v>317</v>
      </c>
      <c r="C13" s="45">
        <v>1.0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>
      <c r="A14" s="45" t="s">
        <v>156</v>
      </c>
      <c r="B14" s="45" t="s">
        <v>318</v>
      </c>
      <c r="C14" s="45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>
      <c r="A15" s="45" t="s">
        <v>135</v>
      </c>
      <c r="B15" s="45" t="s">
        <v>319</v>
      </c>
      <c r="C15" s="45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>
      <c r="A16" s="45" t="s">
        <v>122</v>
      </c>
      <c r="B16" s="45" t="s">
        <v>320</v>
      </c>
      <c r="C16" s="45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>
      <c r="A17" s="45" t="s">
        <v>152</v>
      </c>
      <c r="B17" s="45" t="s">
        <v>321</v>
      </c>
      <c r="C17" s="45">
        <v>2.0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>
      <c r="A18" s="45" t="s">
        <v>134</v>
      </c>
      <c r="B18" s="45" t="s">
        <v>317</v>
      </c>
      <c r="C18" s="45">
        <v>1.0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>
      <c r="A19" s="45" t="s">
        <v>129</v>
      </c>
      <c r="B19" s="45" t="s">
        <v>322</v>
      </c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>
      <c r="A20" s="45" t="s">
        <v>163</v>
      </c>
      <c r="B20" s="45" t="s">
        <v>323</v>
      </c>
      <c r="C20" s="45">
        <v>1.0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>
      <c r="A21" s="45" t="s">
        <v>147</v>
      </c>
      <c r="B21" s="45" t="s">
        <v>324</v>
      </c>
      <c r="C21" s="45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>
      <c r="A22" s="45" t="s">
        <v>145</v>
      </c>
      <c r="B22" s="45" t="s">
        <v>325</v>
      </c>
      <c r="C22" s="45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>
      <c r="A23" s="45" t="s">
        <v>155</v>
      </c>
      <c r="B23" s="45" t="s">
        <v>326</v>
      </c>
      <c r="C23" s="45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>
      <c r="A24" s="45" t="s">
        <v>125</v>
      </c>
      <c r="B24" s="45" t="s">
        <v>327</v>
      </c>
      <c r="C24" s="45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>
      <c r="A25" s="45" t="s">
        <v>143</v>
      </c>
      <c r="B25" s="45" t="s">
        <v>328</v>
      </c>
      <c r="C25" s="45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>
      <c r="A26" s="45" t="s">
        <v>144</v>
      </c>
      <c r="B26" s="45" t="s">
        <v>329</v>
      </c>
      <c r="C26" s="45">
        <v>1.0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>
      <c r="A27" s="33" t="s">
        <v>127</v>
      </c>
      <c r="B27" s="33" t="s">
        <v>330</v>
      </c>
      <c r="C27" s="33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>
      <c r="A28" s="33" t="s">
        <v>137</v>
      </c>
      <c r="B28" s="33" t="s">
        <v>331</v>
      </c>
      <c r="C28" s="33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>
      <c r="A29" s="33" t="s">
        <v>139</v>
      </c>
      <c r="B29" s="33" t="s">
        <v>332</v>
      </c>
      <c r="C29" s="33">
        <v>1.0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>
      <c r="A30" s="33" t="s">
        <v>141</v>
      </c>
      <c r="B30" s="33" t="s">
        <v>333</v>
      </c>
      <c r="C30" s="33">
        <v>1.0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>
      <c r="A31" s="33" t="s">
        <v>120</v>
      </c>
      <c r="B31" s="33" t="s">
        <v>334</v>
      </c>
      <c r="C31" s="33">
        <v>2.0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>
      <c r="A32" s="33" t="s">
        <v>162</v>
      </c>
      <c r="B32" s="33" t="s">
        <v>335</v>
      </c>
      <c r="C32" s="33">
        <v>1.0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>
      <c r="A33" s="33" t="s">
        <v>130</v>
      </c>
      <c r="B33" s="33" t="s">
        <v>336</v>
      </c>
      <c r="C33" s="34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>
      <c r="A34" s="33" t="s">
        <v>157</v>
      </c>
      <c r="B34" s="33" t="s">
        <v>337</v>
      </c>
      <c r="C34" s="34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>
      <c r="A35" s="33" t="s">
        <v>159</v>
      </c>
      <c r="B35" s="33" t="s">
        <v>338</v>
      </c>
      <c r="C35" s="34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>
      <c r="A36" s="33" t="s">
        <v>169</v>
      </c>
      <c r="B36" s="33" t="s">
        <v>339</v>
      </c>
      <c r="C36" s="34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>
      <c r="A37" s="33" t="s">
        <v>142</v>
      </c>
      <c r="B37" s="33" t="s">
        <v>340</v>
      </c>
      <c r="C37" s="33">
        <v>1.0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>
      <c r="A38" s="33" t="s">
        <v>124</v>
      </c>
      <c r="B38" s="33" t="s">
        <v>341</v>
      </c>
      <c r="C38" s="34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>
      <c r="A39" s="33" t="s">
        <v>154</v>
      </c>
      <c r="B39" s="33" t="s">
        <v>342</v>
      </c>
      <c r="C39" s="34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>
      <c r="A40" s="33" t="s">
        <v>153</v>
      </c>
      <c r="B40" s="33" t="s">
        <v>343</v>
      </c>
      <c r="C40" s="33">
        <v>2.0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>
      <c r="A41" s="33" t="s">
        <v>146</v>
      </c>
      <c r="B41" s="33" t="s">
        <v>344</v>
      </c>
      <c r="C41" s="34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>
      <c r="A42" s="33" t="s">
        <v>138</v>
      </c>
      <c r="B42" s="33" t="s">
        <v>345</v>
      </c>
      <c r="C42" s="34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>
      <c r="A43" s="33" t="s">
        <v>121</v>
      </c>
      <c r="B43" s="33" t="s">
        <v>346</v>
      </c>
      <c r="C43" s="33">
        <v>2.0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>
      <c r="A44" s="33" t="s">
        <v>140</v>
      </c>
      <c r="B44" s="33" t="s">
        <v>347</v>
      </c>
      <c r="C44" s="33">
        <v>1.0</v>
      </c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>
      <c r="A45" s="33" t="s">
        <v>158</v>
      </c>
      <c r="B45" s="33" t="s">
        <v>348</v>
      </c>
      <c r="C45" s="33">
        <v>2.0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>
      <c r="A46" s="33" t="s">
        <v>349</v>
      </c>
      <c r="B46" s="33" t="s">
        <v>315</v>
      </c>
      <c r="C46" s="34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>
      <c r="A47" s="33" t="s">
        <v>119</v>
      </c>
      <c r="B47" s="33" t="s">
        <v>346</v>
      </c>
      <c r="C47" s="33">
        <v>2.0</v>
      </c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>
      <c r="A48" s="33" t="s">
        <v>123</v>
      </c>
      <c r="B48" s="33" t="s">
        <v>350</v>
      </c>
      <c r="C48" s="34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>
      <c r="A49" s="33" t="s">
        <v>164</v>
      </c>
      <c r="B49" s="33" t="s">
        <v>351</v>
      </c>
      <c r="C49" s="33">
        <v>1.0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>
      <c r="A50" s="33" t="s">
        <v>151</v>
      </c>
      <c r="B50" s="33" t="s">
        <v>352</v>
      </c>
      <c r="C50" s="34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>
      <c r="A51" s="33" t="s">
        <v>126</v>
      </c>
      <c r="B51" s="33" t="s">
        <v>353</v>
      </c>
      <c r="C51" s="34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>
      <c r="A52" s="33" t="s">
        <v>136</v>
      </c>
      <c r="B52" s="33" t="s">
        <v>354</v>
      </c>
      <c r="C52" s="34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>
      <c r="A53" s="33" t="s">
        <v>131</v>
      </c>
      <c r="B53" s="33" t="s">
        <v>355</v>
      </c>
      <c r="C53" s="33">
        <v>2.0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>
      <c r="A54" s="33" t="s">
        <v>150</v>
      </c>
      <c r="B54" s="33" t="s">
        <v>356</v>
      </c>
      <c r="C54" s="34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>
      <c r="A55" s="33" t="s">
        <v>165</v>
      </c>
      <c r="B55" s="33" t="s">
        <v>357</v>
      </c>
      <c r="C55" s="34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>
      <c r="A56" s="34"/>
      <c r="B56" s="34"/>
      <c r="C56" s="34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>
      <c r="A57" s="34"/>
      <c r="B57" s="34"/>
      <c r="C57" s="34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>
      <c r="A58" s="34"/>
      <c r="B58" s="34"/>
      <c r="C58" s="34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>
      <c r="A59" s="34"/>
      <c r="B59" s="34"/>
      <c r="C59" s="34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>
      <c r="A60" s="34"/>
      <c r="B60" s="34"/>
      <c r="C60" s="34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>
      <c r="A61" s="34"/>
      <c r="B61" s="34"/>
      <c r="C61" s="34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>
      <c r="A62" s="34"/>
      <c r="B62" s="34"/>
      <c r="C62" s="34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>
      <c r="A63" s="34"/>
      <c r="B63" s="34"/>
      <c r="C63" s="34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>
      <c r="A64" s="34"/>
      <c r="B64" s="34"/>
      <c r="C64" s="34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>
      <c r="A65" s="34"/>
      <c r="B65" s="34"/>
      <c r="C65" s="34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>
      <c r="A66" s="34"/>
      <c r="B66" s="34"/>
      <c r="C66" s="34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>
      <c r="A67" s="34"/>
      <c r="B67" s="34"/>
      <c r="C67" s="34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>
      <c r="A68" s="34"/>
      <c r="B68" s="34"/>
      <c r="C68" s="34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>
      <c r="A69" s="34"/>
      <c r="B69" s="34"/>
      <c r="C69" s="34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>
      <c r="A70" s="34"/>
      <c r="B70" s="34"/>
      <c r="C70" s="34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>
      <c r="A71" s="34"/>
      <c r="B71" s="34"/>
      <c r="C71" s="34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>
      <c r="A72" s="34"/>
      <c r="B72" s="34"/>
      <c r="C72" s="34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>
      <c r="A73" s="34"/>
      <c r="B73" s="34"/>
      <c r="C73" s="34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>
      <c r="A74" s="34"/>
      <c r="B74" s="34"/>
      <c r="C74" s="34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>
      <c r="A75" s="34"/>
      <c r="B75" s="34"/>
      <c r="C75" s="34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>
      <c r="A76" s="34"/>
      <c r="B76" s="34"/>
      <c r="C76" s="34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>
      <c r="A77" s="34"/>
      <c r="B77" s="34"/>
      <c r="C77" s="34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>
      <c r="A78" s="34"/>
      <c r="B78" s="34"/>
      <c r="C78" s="34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>
      <c r="A79" s="34"/>
      <c r="B79" s="34"/>
      <c r="C79" s="3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>
      <c r="A80" s="34"/>
      <c r="B80" s="34"/>
      <c r="C80" s="3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>
      <c r="A81" s="34"/>
      <c r="B81" s="34"/>
      <c r="C81" s="3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>
      <c r="A82" s="34"/>
      <c r="B82" s="34"/>
      <c r="C82" s="3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>
      <c r="A83" s="34"/>
      <c r="B83" s="34"/>
      <c r="C83" s="34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>
      <c r="A84" s="34"/>
      <c r="B84" s="34"/>
      <c r="C84" s="34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>
      <c r="A85" s="34"/>
      <c r="B85" s="34"/>
      <c r="C85" s="34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>
      <c r="A86" s="34"/>
      <c r="B86" s="34"/>
      <c r="C86" s="34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>
      <c r="A87" s="34"/>
      <c r="B87" s="34"/>
      <c r="C87" s="34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>
      <c r="A88" s="34"/>
      <c r="B88" s="34"/>
      <c r="C88" s="34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>
      <c r="A89" s="34"/>
      <c r="B89" s="34"/>
      <c r="C89" s="3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>
      <c r="A90" s="34"/>
      <c r="B90" s="34"/>
      <c r="C90" s="3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>
      <c r="A91" s="34"/>
      <c r="B91" s="34"/>
      <c r="C91" s="3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</row>
    <row r="92">
      <c r="A92" s="34"/>
      <c r="B92" s="34"/>
      <c r="C92" s="3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>
      <c r="A93" s="34"/>
      <c r="B93" s="34"/>
      <c r="C93" s="34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>
      <c r="A94" s="34"/>
      <c r="B94" s="34"/>
      <c r="C94" s="34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>
      <c r="A95" s="34"/>
      <c r="B95" s="34"/>
      <c r="C95" s="34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</row>
    <row r="96">
      <c r="A96" s="34"/>
      <c r="B96" s="34"/>
      <c r="C96" s="34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>
      <c r="A97" s="34"/>
      <c r="B97" s="34"/>
      <c r="C97" s="34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</row>
    <row r="98">
      <c r="A98" s="34"/>
      <c r="B98" s="34"/>
      <c r="C98" s="34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>
      <c r="A99" s="34"/>
      <c r="B99" s="34"/>
      <c r="C99" s="3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</row>
    <row r="100">
      <c r="A100" s="34"/>
      <c r="B100" s="34"/>
      <c r="C100" s="3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>
      <c r="A101" s="34"/>
      <c r="B101" s="34"/>
      <c r="C101" s="3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>
      <c r="A102" s="34"/>
      <c r="B102" s="34"/>
      <c r="C102" s="3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>
      <c r="A103" s="34"/>
      <c r="B103" s="34"/>
      <c r="C103" s="34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>
      <c r="A104" s="34"/>
      <c r="B104" s="34"/>
      <c r="C104" s="34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>
      <c r="A105" s="34"/>
      <c r="B105" s="34"/>
      <c r="C105" s="34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>
      <c r="A106" s="34"/>
      <c r="B106" s="34"/>
      <c r="C106" s="34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>
      <c r="A107" s="34"/>
      <c r="B107" s="34"/>
      <c r="C107" s="34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>
      <c r="A108" s="34"/>
      <c r="B108" s="34"/>
      <c r="C108" s="34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>
      <c r="A109" s="34"/>
      <c r="B109" s="34"/>
      <c r="C109" s="34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</row>
    <row r="110">
      <c r="A110" s="34"/>
      <c r="B110" s="34"/>
      <c r="C110" s="34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>
      <c r="A111" s="34"/>
      <c r="B111" s="34"/>
      <c r="C111" s="34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>
      <c r="A112" s="34"/>
      <c r="B112" s="34"/>
      <c r="C112" s="34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>
      <c r="A113" s="34"/>
      <c r="B113" s="34"/>
      <c r="C113" s="34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>
      <c r="A114" s="34"/>
      <c r="B114" s="34"/>
      <c r="C114" s="34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>
      <c r="A115" s="34"/>
      <c r="B115" s="34"/>
      <c r="C115" s="34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>
      <c r="A116" s="34"/>
      <c r="B116" s="34"/>
      <c r="C116" s="34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>
      <c r="A117" s="34"/>
      <c r="B117" s="34"/>
      <c r="C117" s="34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>
      <c r="A118" s="34"/>
      <c r="B118" s="34"/>
      <c r="C118" s="34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>
      <c r="A119" s="34"/>
      <c r="B119" s="34"/>
      <c r="C119" s="34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>
      <c r="A120" s="34"/>
      <c r="B120" s="34"/>
      <c r="C120" s="34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>
      <c r="A121" s="34"/>
      <c r="B121" s="34"/>
      <c r="C121" s="34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>
      <c r="A122" s="34"/>
      <c r="B122" s="34"/>
      <c r="C122" s="34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>
      <c r="A123" s="34"/>
      <c r="B123" s="34"/>
      <c r="C123" s="34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>
      <c r="A124" s="34"/>
      <c r="B124" s="34"/>
      <c r="C124" s="34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>
      <c r="A125" s="34"/>
      <c r="B125" s="34"/>
      <c r="C125" s="34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>
      <c r="A126" s="34"/>
      <c r="B126" s="34"/>
      <c r="C126" s="34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>
      <c r="A127" s="34"/>
      <c r="B127" s="34"/>
      <c r="C127" s="34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>
      <c r="A128" s="34"/>
      <c r="B128" s="34"/>
      <c r="C128" s="34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>
      <c r="A129" s="34"/>
      <c r="B129" s="34"/>
      <c r="C129" s="34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>
      <c r="A130" s="34"/>
      <c r="B130" s="34"/>
      <c r="C130" s="34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>
      <c r="A131" s="34"/>
      <c r="B131" s="34"/>
      <c r="C131" s="34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>
      <c r="A132" s="34"/>
      <c r="B132" s="34"/>
      <c r="C132" s="34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>
      <c r="A133" s="34"/>
      <c r="B133" s="34"/>
      <c r="C133" s="34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>
      <c r="A134" s="34"/>
      <c r="B134" s="34"/>
      <c r="C134" s="34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>
      <c r="A135" s="34"/>
      <c r="B135" s="34"/>
      <c r="C135" s="34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>
      <c r="A136" s="34"/>
      <c r="B136" s="34"/>
      <c r="C136" s="34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>
      <c r="A137" s="34"/>
      <c r="B137" s="34"/>
      <c r="C137" s="34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>
      <c r="A138" s="34"/>
      <c r="B138" s="34"/>
      <c r="C138" s="34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>
      <c r="A139" s="34"/>
      <c r="B139" s="34"/>
      <c r="C139" s="34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>
      <c r="A140" s="34"/>
      <c r="B140" s="34"/>
      <c r="C140" s="34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>
      <c r="A141" s="34"/>
      <c r="B141" s="34"/>
      <c r="C141" s="34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>
      <c r="A142" s="34"/>
      <c r="B142" s="34"/>
      <c r="C142" s="34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>
      <c r="A143" s="34"/>
      <c r="B143" s="34"/>
      <c r="C143" s="34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>
      <c r="A144" s="34"/>
      <c r="B144" s="34"/>
      <c r="C144" s="34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>
      <c r="A145" s="34"/>
      <c r="B145" s="34"/>
      <c r="C145" s="34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>
      <c r="A146" s="34"/>
      <c r="B146" s="34"/>
      <c r="C146" s="34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>
      <c r="A147" s="34"/>
      <c r="B147" s="34"/>
      <c r="C147" s="34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>
      <c r="A148" s="34"/>
      <c r="B148" s="34"/>
      <c r="C148" s="34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>
      <c r="A149" s="34"/>
      <c r="B149" s="34"/>
      <c r="C149" s="34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>
      <c r="A150" s="34"/>
      <c r="B150" s="34"/>
      <c r="C150" s="34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>
      <c r="A151" s="34"/>
      <c r="B151" s="34"/>
      <c r="C151" s="34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>
      <c r="A152" s="34"/>
      <c r="B152" s="34"/>
      <c r="C152" s="34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>
      <c r="A153" s="34"/>
      <c r="B153" s="34"/>
      <c r="C153" s="34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>
      <c r="A154" s="34"/>
      <c r="B154" s="34"/>
      <c r="C154" s="34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>
      <c r="A155" s="34"/>
      <c r="B155" s="34"/>
      <c r="C155" s="34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>
      <c r="A156" s="34"/>
      <c r="B156" s="34"/>
      <c r="C156" s="34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>
      <c r="A157" s="34"/>
      <c r="B157" s="34"/>
      <c r="C157" s="34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>
      <c r="A158" s="34"/>
      <c r="B158" s="34"/>
      <c r="C158" s="34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>
      <c r="A159" s="34"/>
      <c r="B159" s="34"/>
      <c r="C159" s="34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>
      <c r="A160" s="34"/>
      <c r="B160" s="34"/>
      <c r="C160" s="34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>
      <c r="A161" s="34"/>
      <c r="B161" s="34"/>
      <c r="C161" s="34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>
      <c r="A162" s="34"/>
      <c r="B162" s="34"/>
      <c r="C162" s="34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>
      <c r="A163" s="34"/>
      <c r="B163" s="34"/>
      <c r="C163" s="34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>
      <c r="A164" s="34"/>
      <c r="B164" s="34"/>
      <c r="C164" s="34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>
      <c r="A165" s="34"/>
      <c r="B165" s="34"/>
      <c r="C165" s="34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>
      <c r="A166" s="34"/>
      <c r="B166" s="34"/>
      <c r="C166" s="34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>
      <c r="A167" s="34"/>
      <c r="B167" s="34"/>
      <c r="C167" s="34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>
      <c r="A168" s="34"/>
      <c r="B168" s="34"/>
      <c r="C168" s="34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>
      <c r="A169" s="34"/>
      <c r="B169" s="34"/>
      <c r="C169" s="34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>
      <c r="A170" s="34"/>
      <c r="B170" s="34"/>
      <c r="C170" s="34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>
      <c r="A171" s="34"/>
      <c r="B171" s="34"/>
      <c r="C171" s="34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>
      <c r="A172" s="34"/>
      <c r="B172" s="34"/>
      <c r="C172" s="34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>
      <c r="A173" s="34"/>
      <c r="B173" s="34"/>
      <c r="C173" s="34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>
      <c r="A174" s="34"/>
      <c r="B174" s="34"/>
      <c r="C174" s="34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>
      <c r="A175" s="34"/>
      <c r="B175" s="34"/>
      <c r="C175" s="34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>
      <c r="A176" s="34"/>
      <c r="B176" s="34"/>
      <c r="C176" s="34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>
      <c r="A177" s="34"/>
      <c r="B177" s="34"/>
      <c r="C177" s="34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>
      <c r="A178" s="34"/>
      <c r="B178" s="34"/>
      <c r="C178" s="34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>
      <c r="A179" s="34"/>
      <c r="B179" s="34"/>
      <c r="C179" s="34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>
      <c r="A180" s="34"/>
      <c r="B180" s="34"/>
      <c r="C180" s="34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>
      <c r="A181" s="34"/>
      <c r="B181" s="34"/>
      <c r="C181" s="34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>
      <c r="A182" s="34"/>
      <c r="B182" s="34"/>
      <c r="C182" s="34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>
      <c r="A183" s="34"/>
      <c r="B183" s="34"/>
      <c r="C183" s="34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>
      <c r="A184" s="34"/>
      <c r="B184" s="34"/>
      <c r="C184" s="34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>
      <c r="A185" s="34"/>
      <c r="B185" s="34"/>
      <c r="C185" s="34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>
      <c r="A186" s="34"/>
      <c r="B186" s="34"/>
      <c r="C186" s="34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>
      <c r="A187" s="34"/>
      <c r="B187" s="34"/>
      <c r="C187" s="34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>
      <c r="A188" s="34"/>
      <c r="B188" s="34"/>
      <c r="C188" s="34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>
      <c r="A189" s="34"/>
      <c r="B189" s="34"/>
      <c r="C189" s="34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>
      <c r="A190" s="34"/>
      <c r="B190" s="34"/>
      <c r="C190" s="34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>
      <c r="A191" s="34"/>
      <c r="B191" s="34"/>
      <c r="C191" s="34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>
      <c r="A192" s="34"/>
      <c r="B192" s="34"/>
      <c r="C192" s="34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>
      <c r="A193" s="34"/>
      <c r="B193" s="34"/>
      <c r="C193" s="34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>
      <c r="A194" s="34"/>
      <c r="B194" s="34"/>
      <c r="C194" s="34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>
      <c r="A195" s="34"/>
      <c r="B195" s="34"/>
      <c r="C195" s="34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>
      <c r="A196" s="34"/>
      <c r="B196" s="34"/>
      <c r="C196" s="34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>
      <c r="A197" s="34"/>
      <c r="B197" s="34"/>
      <c r="C197" s="34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>
      <c r="A198" s="34"/>
      <c r="B198" s="34"/>
      <c r="C198" s="34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>
      <c r="A199" s="34"/>
      <c r="B199" s="34"/>
      <c r="C199" s="34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>
      <c r="A200" s="34"/>
      <c r="B200" s="34"/>
      <c r="C200" s="34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>
      <c r="A201" s="34"/>
      <c r="B201" s="34"/>
      <c r="C201" s="34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>
      <c r="A202" s="34"/>
      <c r="B202" s="34"/>
      <c r="C202" s="34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>
      <c r="A203" s="34"/>
      <c r="B203" s="34"/>
      <c r="C203" s="34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>
      <c r="A204" s="34"/>
      <c r="B204" s="34"/>
      <c r="C204" s="34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>
      <c r="A205" s="34"/>
      <c r="B205" s="34"/>
      <c r="C205" s="34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>
      <c r="A206" s="34"/>
      <c r="B206" s="34"/>
      <c r="C206" s="34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>
      <c r="A207" s="34"/>
      <c r="B207" s="34"/>
      <c r="C207" s="34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>
      <c r="A208" s="34"/>
      <c r="B208" s="34"/>
      <c r="C208" s="34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>
      <c r="A209" s="34"/>
      <c r="B209" s="34"/>
      <c r="C209" s="34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>
      <c r="A210" s="34"/>
      <c r="B210" s="34"/>
      <c r="C210" s="34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>
      <c r="A211" s="34"/>
      <c r="B211" s="34"/>
      <c r="C211" s="34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>
      <c r="A212" s="34"/>
      <c r="B212" s="34"/>
      <c r="C212" s="34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>
      <c r="A213" s="34"/>
      <c r="B213" s="34"/>
      <c r="C213" s="34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>
      <c r="A214" s="34"/>
      <c r="B214" s="34"/>
      <c r="C214" s="34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>
      <c r="A215" s="34"/>
      <c r="B215" s="34"/>
      <c r="C215" s="34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>
      <c r="A216" s="34"/>
      <c r="B216" s="34"/>
      <c r="C216" s="34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>
      <c r="A217" s="34"/>
      <c r="B217" s="34"/>
      <c r="C217" s="34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>
      <c r="A218" s="34"/>
      <c r="B218" s="34"/>
      <c r="C218" s="34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>
      <c r="A219" s="34"/>
      <c r="B219" s="34"/>
      <c r="C219" s="34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>
      <c r="A220" s="34"/>
      <c r="B220" s="34"/>
      <c r="C220" s="34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>
      <c r="A221" s="34"/>
      <c r="B221" s="34"/>
      <c r="C221" s="34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>
      <c r="A222" s="34"/>
      <c r="B222" s="34"/>
      <c r="C222" s="34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>
      <c r="A223" s="34"/>
      <c r="B223" s="34"/>
      <c r="C223" s="34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>
      <c r="A224" s="34"/>
      <c r="B224" s="34"/>
      <c r="C224" s="34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>
      <c r="A225" s="34"/>
      <c r="B225" s="34"/>
      <c r="C225" s="34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>
      <c r="A226" s="34"/>
      <c r="B226" s="34"/>
      <c r="C226" s="34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>
      <c r="A227" s="34"/>
      <c r="B227" s="34"/>
      <c r="C227" s="34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>
      <c r="A228" s="34"/>
      <c r="B228" s="34"/>
      <c r="C228" s="34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>
      <c r="A229" s="34"/>
      <c r="B229" s="34"/>
      <c r="C229" s="34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>
      <c r="A230" s="34"/>
      <c r="B230" s="34"/>
      <c r="C230" s="34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>
      <c r="A231" s="34"/>
      <c r="B231" s="34"/>
      <c r="C231" s="34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>
      <c r="A232" s="34"/>
      <c r="B232" s="34"/>
      <c r="C232" s="34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>
      <c r="A233" s="34"/>
      <c r="B233" s="34"/>
      <c r="C233" s="34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>
      <c r="A234" s="34"/>
      <c r="B234" s="34"/>
      <c r="C234" s="34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>
      <c r="A235" s="34"/>
      <c r="B235" s="34"/>
      <c r="C235" s="34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>
      <c r="A236" s="34"/>
      <c r="B236" s="34"/>
      <c r="C236" s="34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>
      <c r="A237" s="34"/>
      <c r="B237" s="34"/>
      <c r="C237" s="34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>
      <c r="A238" s="34"/>
      <c r="B238" s="34"/>
      <c r="C238" s="34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>
      <c r="A239" s="34"/>
      <c r="B239" s="34"/>
      <c r="C239" s="34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>
      <c r="A240" s="34"/>
      <c r="B240" s="34"/>
      <c r="C240" s="34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>
      <c r="A241" s="34"/>
      <c r="B241" s="34"/>
      <c r="C241" s="34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>
      <c r="A242" s="34"/>
      <c r="B242" s="34"/>
      <c r="C242" s="34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>
      <c r="A243" s="34"/>
      <c r="B243" s="34"/>
      <c r="C243" s="34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>
      <c r="A244" s="34"/>
      <c r="B244" s="34"/>
      <c r="C244" s="34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>
      <c r="A245" s="34"/>
      <c r="B245" s="34"/>
      <c r="C245" s="34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>
      <c r="A246" s="34"/>
      <c r="B246" s="34"/>
      <c r="C246" s="34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>
      <c r="A247" s="34"/>
      <c r="B247" s="34"/>
      <c r="C247" s="34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>
      <c r="A248" s="34"/>
      <c r="B248" s="34"/>
      <c r="C248" s="34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>
      <c r="A249" s="34"/>
      <c r="B249" s="34"/>
      <c r="C249" s="34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>
      <c r="A250" s="34"/>
      <c r="B250" s="34"/>
      <c r="C250" s="34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>
      <c r="A251" s="34"/>
      <c r="B251" s="34"/>
      <c r="C251" s="34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>
      <c r="A252" s="34"/>
      <c r="B252" s="34"/>
      <c r="C252" s="34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>
      <c r="A253" s="34"/>
      <c r="B253" s="34"/>
      <c r="C253" s="34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>
      <c r="A254" s="34"/>
      <c r="B254" s="34"/>
      <c r="C254" s="34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>
      <c r="A255" s="34"/>
      <c r="B255" s="34"/>
      <c r="C255" s="34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>
      <c r="A256" s="34"/>
      <c r="B256" s="34"/>
      <c r="C256" s="34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>
      <c r="A257" s="34"/>
      <c r="B257" s="34"/>
      <c r="C257" s="34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>
      <c r="A258" s="34"/>
      <c r="B258" s="34"/>
      <c r="C258" s="34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>
      <c r="A259" s="34"/>
      <c r="B259" s="34"/>
      <c r="C259" s="34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>
      <c r="A260" s="34"/>
      <c r="B260" s="34"/>
      <c r="C260" s="34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>
      <c r="A261" s="34"/>
      <c r="B261" s="34"/>
      <c r="C261" s="34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>
      <c r="A262" s="34"/>
      <c r="B262" s="34"/>
      <c r="C262" s="34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>
      <c r="A263" s="34"/>
      <c r="B263" s="34"/>
      <c r="C263" s="34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>
      <c r="A264" s="34"/>
      <c r="B264" s="34"/>
      <c r="C264" s="34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>
      <c r="A265" s="34"/>
      <c r="B265" s="34"/>
      <c r="C265" s="34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>
      <c r="A266" s="34"/>
      <c r="B266" s="34"/>
      <c r="C266" s="34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>
      <c r="A267" s="34"/>
      <c r="B267" s="34"/>
      <c r="C267" s="34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>
      <c r="A268" s="34"/>
      <c r="B268" s="34"/>
      <c r="C268" s="34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>
      <c r="A269" s="34"/>
      <c r="B269" s="34"/>
      <c r="C269" s="34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>
      <c r="A270" s="34"/>
      <c r="B270" s="34"/>
      <c r="C270" s="34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>
      <c r="A271" s="34"/>
      <c r="B271" s="34"/>
      <c r="C271" s="34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>
      <c r="A272" s="34"/>
      <c r="B272" s="34"/>
      <c r="C272" s="34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>
      <c r="A273" s="34"/>
      <c r="B273" s="34"/>
      <c r="C273" s="34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>
      <c r="A274" s="34"/>
      <c r="B274" s="34"/>
      <c r="C274" s="34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>
      <c r="A275" s="34"/>
      <c r="B275" s="34"/>
      <c r="C275" s="34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>
      <c r="A276" s="34"/>
      <c r="B276" s="34"/>
      <c r="C276" s="34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>
      <c r="A277" s="34"/>
      <c r="B277" s="34"/>
      <c r="C277" s="34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>
      <c r="A278" s="34"/>
      <c r="B278" s="34"/>
      <c r="C278" s="34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>
      <c r="A279" s="34"/>
      <c r="B279" s="34"/>
      <c r="C279" s="34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>
      <c r="A280" s="34"/>
      <c r="B280" s="34"/>
      <c r="C280" s="34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>
      <c r="A281" s="34"/>
      <c r="B281" s="34"/>
      <c r="C281" s="34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>
      <c r="A282" s="34"/>
      <c r="B282" s="34"/>
      <c r="C282" s="34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>
      <c r="A283" s="34"/>
      <c r="B283" s="34"/>
      <c r="C283" s="34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>
      <c r="A284" s="34"/>
      <c r="B284" s="34"/>
      <c r="C284" s="34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>
      <c r="A285" s="34"/>
      <c r="B285" s="34"/>
      <c r="C285" s="34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>
      <c r="A286" s="34"/>
      <c r="B286" s="34"/>
      <c r="C286" s="34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>
      <c r="A287" s="34"/>
      <c r="B287" s="34"/>
      <c r="C287" s="34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>
      <c r="A288" s="34"/>
      <c r="B288" s="34"/>
      <c r="C288" s="34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>
      <c r="A289" s="34"/>
      <c r="B289" s="34"/>
      <c r="C289" s="34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>
      <c r="A290" s="34"/>
      <c r="B290" s="34"/>
      <c r="C290" s="34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>
      <c r="A291" s="34"/>
      <c r="B291" s="34"/>
      <c r="C291" s="34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>
      <c r="A292" s="34"/>
      <c r="B292" s="34"/>
      <c r="C292" s="34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>
      <c r="A293" s="34"/>
      <c r="B293" s="34"/>
      <c r="C293" s="34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>
      <c r="A294" s="34"/>
      <c r="B294" s="34"/>
      <c r="C294" s="34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>
      <c r="A295" s="34"/>
      <c r="B295" s="34"/>
      <c r="C295" s="34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>
      <c r="A296" s="34"/>
      <c r="B296" s="34"/>
      <c r="C296" s="34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>
      <c r="A297" s="34"/>
      <c r="B297" s="34"/>
      <c r="C297" s="34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>
      <c r="A298" s="34"/>
      <c r="B298" s="34"/>
      <c r="C298" s="34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>
      <c r="A299" s="34"/>
      <c r="B299" s="34"/>
      <c r="C299" s="34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>
      <c r="A300" s="34"/>
      <c r="B300" s="34"/>
      <c r="C300" s="34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>
      <c r="A301" s="34"/>
      <c r="B301" s="34"/>
      <c r="C301" s="34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>
      <c r="A302" s="34"/>
      <c r="B302" s="34"/>
      <c r="C302" s="34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>
      <c r="A303" s="34"/>
      <c r="B303" s="34"/>
      <c r="C303" s="34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>
      <c r="A304" s="34"/>
      <c r="B304" s="34"/>
      <c r="C304" s="34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>
      <c r="A305" s="34"/>
      <c r="B305" s="34"/>
      <c r="C305" s="34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>
      <c r="A306" s="34"/>
      <c r="B306" s="34"/>
      <c r="C306" s="34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>
      <c r="A307" s="34"/>
      <c r="B307" s="34"/>
      <c r="C307" s="34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>
      <c r="A308" s="34"/>
      <c r="B308" s="34"/>
      <c r="C308" s="34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>
      <c r="A309" s="34"/>
      <c r="B309" s="34"/>
      <c r="C309" s="34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>
      <c r="A310" s="34"/>
      <c r="B310" s="34"/>
      <c r="C310" s="34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>
      <c r="A311" s="34"/>
      <c r="B311" s="34"/>
      <c r="C311" s="34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>
      <c r="A312" s="34"/>
      <c r="B312" s="34"/>
      <c r="C312" s="34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>
      <c r="A313" s="34"/>
      <c r="B313" s="34"/>
      <c r="C313" s="34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>
      <c r="A314" s="34"/>
      <c r="B314" s="34"/>
      <c r="C314" s="34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>
      <c r="A315" s="34"/>
      <c r="B315" s="34"/>
      <c r="C315" s="34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>
      <c r="A316" s="34"/>
      <c r="B316" s="34"/>
      <c r="C316" s="34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>
      <c r="A317" s="34"/>
      <c r="B317" s="34"/>
      <c r="C317" s="34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>
      <c r="A318" s="34"/>
      <c r="B318" s="34"/>
      <c r="C318" s="34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>
      <c r="A319" s="34"/>
      <c r="B319" s="34"/>
      <c r="C319" s="34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>
      <c r="A320" s="34"/>
      <c r="B320" s="34"/>
      <c r="C320" s="34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>
      <c r="A321" s="34"/>
      <c r="B321" s="34"/>
      <c r="C321" s="34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>
      <c r="A322" s="34"/>
      <c r="B322" s="34"/>
      <c r="C322" s="34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>
      <c r="A323" s="34"/>
      <c r="B323" s="34"/>
      <c r="C323" s="34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>
      <c r="A324" s="34"/>
      <c r="B324" s="34"/>
      <c r="C324" s="34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>
      <c r="A325" s="34"/>
      <c r="B325" s="34"/>
      <c r="C325" s="34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>
      <c r="A326" s="34"/>
      <c r="B326" s="34"/>
      <c r="C326" s="34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>
      <c r="A327" s="34"/>
      <c r="B327" s="34"/>
      <c r="C327" s="34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>
      <c r="A328" s="34"/>
      <c r="B328" s="34"/>
      <c r="C328" s="34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>
      <c r="A329" s="34"/>
      <c r="B329" s="34"/>
      <c r="C329" s="34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>
      <c r="A330" s="34"/>
      <c r="B330" s="34"/>
      <c r="C330" s="34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>
      <c r="A331" s="34"/>
      <c r="B331" s="34"/>
      <c r="C331" s="34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>
      <c r="A332" s="34"/>
      <c r="B332" s="34"/>
      <c r="C332" s="34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>
      <c r="A333" s="34"/>
      <c r="B333" s="34"/>
      <c r="C333" s="34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>
      <c r="A334" s="34"/>
      <c r="B334" s="34"/>
      <c r="C334" s="34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>
      <c r="A335" s="34"/>
      <c r="B335" s="34"/>
      <c r="C335" s="34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>
      <c r="A336" s="34"/>
      <c r="B336" s="34"/>
      <c r="C336" s="34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>
      <c r="A337" s="34"/>
      <c r="B337" s="34"/>
      <c r="C337" s="34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>
      <c r="A338" s="34"/>
      <c r="B338" s="34"/>
      <c r="C338" s="34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>
      <c r="A339" s="34"/>
      <c r="B339" s="34"/>
      <c r="C339" s="34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>
      <c r="A340" s="34"/>
      <c r="B340" s="34"/>
      <c r="C340" s="34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>
      <c r="A341" s="34"/>
      <c r="B341" s="34"/>
      <c r="C341" s="34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>
      <c r="A342" s="34"/>
      <c r="B342" s="34"/>
      <c r="C342" s="34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>
      <c r="A343" s="34"/>
      <c r="B343" s="34"/>
      <c r="C343" s="34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>
      <c r="A344" s="34"/>
      <c r="B344" s="34"/>
      <c r="C344" s="34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>
      <c r="A345" s="34"/>
      <c r="B345" s="34"/>
      <c r="C345" s="34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>
      <c r="A346" s="34"/>
      <c r="B346" s="34"/>
      <c r="C346" s="34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>
      <c r="A347" s="34"/>
      <c r="B347" s="34"/>
      <c r="C347" s="34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>
      <c r="A348" s="34"/>
      <c r="B348" s="34"/>
      <c r="C348" s="34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>
      <c r="A349" s="34"/>
      <c r="B349" s="34"/>
      <c r="C349" s="34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>
      <c r="A350" s="34"/>
      <c r="B350" s="34"/>
      <c r="C350" s="34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>
      <c r="A351" s="34"/>
      <c r="B351" s="34"/>
      <c r="C351" s="34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>
      <c r="A352" s="34"/>
      <c r="B352" s="34"/>
      <c r="C352" s="34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>
      <c r="A353" s="34"/>
      <c r="B353" s="34"/>
      <c r="C353" s="34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>
      <c r="A354" s="34"/>
      <c r="B354" s="34"/>
      <c r="C354" s="34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>
      <c r="A355" s="34"/>
      <c r="B355" s="34"/>
      <c r="C355" s="34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>
      <c r="A356" s="34"/>
      <c r="B356" s="34"/>
      <c r="C356" s="34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>
      <c r="A357" s="34"/>
      <c r="B357" s="34"/>
      <c r="C357" s="34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>
      <c r="A358" s="34"/>
      <c r="B358" s="34"/>
      <c r="C358" s="34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>
      <c r="A359" s="34"/>
      <c r="B359" s="34"/>
      <c r="C359" s="34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>
      <c r="A360" s="34"/>
      <c r="B360" s="34"/>
      <c r="C360" s="34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>
      <c r="A361" s="34"/>
      <c r="B361" s="34"/>
      <c r="C361" s="34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>
      <c r="A362" s="34"/>
      <c r="B362" s="34"/>
      <c r="C362" s="34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>
      <c r="A363" s="34"/>
      <c r="B363" s="34"/>
      <c r="C363" s="34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>
      <c r="A364" s="34"/>
      <c r="B364" s="34"/>
      <c r="C364" s="34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>
      <c r="A365" s="34"/>
      <c r="B365" s="34"/>
      <c r="C365" s="34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>
      <c r="A366" s="34"/>
      <c r="B366" s="34"/>
      <c r="C366" s="34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>
      <c r="A367" s="34"/>
      <c r="B367" s="34"/>
      <c r="C367" s="34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>
      <c r="A368" s="34"/>
      <c r="B368" s="34"/>
      <c r="C368" s="34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>
      <c r="A369" s="34"/>
      <c r="B369" s="34"/>
      <c r="C369" s="34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>
      <c r="A370" s="34"/>
      <c r="B370" s="34"/>
      <c r="C370" s="34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>
      <c r="A371" s="34"/>
      <c r="B371" s="34"/>
      <c r="C371" s="34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>
      <c r="A372" s="34"/>
      <c r="B372" s="34"/>
      <c r="C372" s="34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>
      <c r="A373" s="34"/>
      <c r="B373" s="34"/>
      <c r="C373" s="34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>
      <c r="A374" s="34"/>
      <c r="B374" s="34"/>
      <c r="C374" s="34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>
      <c r="A375" s="34"/>
      <c r="B375" s="34"/>
      <c r="C375" s="34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>
      <c r="A376" s="34"/>
      <c r="B376" s="34"/>
      <c r="C376" s="34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>
      <c r="A377" s="34"/>
      <c r="B377" s="34"/>
      <c r="C377" s="34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>
      <c r="A378" s="34"/>
      <c r="B378" s="34"/>
      <c r="C378" s="34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>
      <c r="A379" s="34"/>
      <c r="B379" s="34"/>
      <c r="C379" s="34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>
      <c r="A380" s="34"/>
      <c r="B380" s="34"/>
      <c r="C380" s="34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>
      <c r="A381" s="34"/>
      <c r="B381" s="34"/>
      <c r="C381" s="34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>
      <c r="A382" s="34"/>
      <c r="B382" s="34"/>
      <c r="C382" s="34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>
      <c r="A383" s="34"/>
      <c r="B383" s="34"/>
      <c r="C383" s="34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>
      <c r="A384" s="34"/>
      <c r="B384" s="34"/>
      <c r="C384" s="34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>
      <c r="A385" s="34"/>
      <c r="B385" s="34"/>
      <c r="C385" s="34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>
      <c r="A386" s="34"/>
      <c r="B386" s="34"/>
      <c r="C386" s="34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>
      <c r="A387" s="34"/>
      <c r="B387" s="34"/>
      <c r="C387" s="34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>
      <c r="A388" s="34"/>
      <c r="B388" s="34"/>
      <c r="C388" s="34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>
      <c r="A389" s="34"/>
      <c r="B389" s="34"/>
      <c r="C389" s="34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>
      <c r="A390" s="34"/>
      <c r="B390" s="34"/>
      <c r="C390" s="34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>
      <c r="A391" s="34"/>
      <c r="B391" s="34"/>
      <c r="C391" s="34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>
      <c r="A392" s="34"/>
      <c r="B392" s="34"/>
      <c r="C392" s="34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>
      <c r="A393" s="34"/>
      <c r="B393" s="34"/>
      <c r="C393" s="34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>
      <c r="A394" s="34"/>
      <c r="B394" s="34"/>
      <c r="C394" s="34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>
      <c r="A395" s="34"/>
      <c r="B395" s="34"/>
      <c r="C395" s="34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>
      <c r="A396" s="34"/>
      <c r="B396" s="34"/>
      <c r="C396" s="34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>
      <c r="A397" s="34"/>
      <c r="B397" s="34"/>
      <c r="C397" s="34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>
      <c r="A398" s="34"/>
      <c r="B398" s="34"/>
      <c r="C398" s="34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>
      <c r="A399" s="34"/>
      <c r="B399" s="34"/>
      <c r="C399" s="34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>
      <c r="A400" s="34"/>
      <c r="B400" s="34"/>
      <c r="C400" s="34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>
      <c r="A401" s="34"/>
      <c r="B401" s="34"/>
      <c r="C401" s="34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>
      <c r="A402" s="34"/>
      <c r="B402" s="34"/>
      <c r="C402" s="34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>
      <c r="A403" s="34"/>
      <c r="B403" s="34"/>
      <c r="C403" s="34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>
      <c r="A404" s="34"/>
      <c r="B404" s="34"/>
      <c r="C404" s="34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>
      <c r="A405" s="34"/>
      <c r="B405" s="34"/>
      <c r="C405" s="34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>
      <c r="A406" s="34"/>
      <c r="B406" s="34"/>
      <c r="C406" s="34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>
      <c r="A407" s="34"/>
      <c r="B407" s="34"/>
      <c r="C407" s="34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>
      <c r="A408" s="34"/>
      <c r="B408" s="34"/>
      <c r="C408" s="34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>
      <c r="A409" s="34"/>
      <c r="B409" s="34"/>
      <c r="C409" s="34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>
      <c r="A410" s="34"/>
      <c r="B410" s="34"/>
      <c r="C410" s="34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>
      <c r="A411" s="34"/>
      <c r="B411" s="34"/>
      <c r="C411" s="34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>
      <c r="A412" s="34"/>
      <c r="B412" s="34"/>
      <c r="C412" s="34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>
      <c r="A413" s="34"/>
      <c r="B413" s="34"/>
      <c r="C413" s="34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>
      <c r="A414" s="34"/>
      <c r="B414" s="34"/>
      <c r="C414" s="34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>
      <c r="A415" s="34"/>
      <c r="B415" s="34"/>
      <c r="C415" s="34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>
      <c r="A416" s="34"/>
      <c r="B416" s="34"/>
      <c r="C416" s="34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>
      <c r="A417" s="34"/>
      <c r="B417" s="34"/>
      <c r="C417" s="34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>
      <c r="A418" s="34"/>
      <c r="B418" s="34"/>
      <c r="C418" s="34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>
      <c r="A419" s="34"/>
      <c r="B419" s="34"/>
      <c r="C419" s="34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>
      <c r="A420" s="34"/>
      <c r="B420" s="34"/>
      <c r="C420" s="34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>
      <c r="A421" s="34"/>
      <c r="B421" s="34"/>
      <c r="C421" s="34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>
      <c r="A422" s="34"/>
      <c r="B422" s="34"/>
      <c r="C422" s="34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>
      <c r="A423" s="34"/>
      <c r="B423" s="34"/>
      <c r="C423" s="34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>
      <c r="A424" s="34"/>
      <c r="B424" s="34"/>
      <c r="C424" s="34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>
      <c r="A425" s="34"/>
      <c r="B425" s="34"/>
      <c r="C425" s="34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>
      <c r="A426" s="34"/>
      <c r="B426" s="34"/>
      <c r="C426" s="34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>
      <c r="A427" s="34"/>
      <c r="B427" s="34"/>
      <c r="C427" s="34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>
      <c r="A428" s="34"/>
      <c r="B428" s="34"/>
      <c r="C428" s="34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>
      <c r="A429" s="34"/>
      <c r="B429" s="34"/>
      <c r="C429" s="34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>
      <c r="A430" s="34"/>
      <c r="B430" s="34"/>
      <c r="C430" s="34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>
      <c r="A431" s="34"/>
      <c r="B431" s="34"/>
      <c r="C431" s="34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>
      <c r="A432" s="34"/>
      <c r="B432" s="34"/>
      <c r="C432" s="34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>
      <c r="A433" s="34"/>
      <c r="B433" s="34"/>
      <c r="C433" s="34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>
      <c r="A434" s="34"/>
      <c r="B434" s="34"/>
      <c r="C434" s="34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>
      <c r="A435" s="34"/>
      <c r="B435" s="34"/>
      <c r="C435" s="34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>
      <c r="A436" s="34"/>
      <c r="B436" s="34"/>
      <c r="C436" s="34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>
      <c r="A437" s="34"/>
      <c r="B437" s="34"/>
      <c r="C437" s="34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>
      <c r="A438" s="34"/>
      <c r="B438" s="34"/>
      <c r="C438" s="34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>
      <c r="A439" s="34"/>
      <c r="B439" s="34"/>
      <c r="C439" s="34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>
      <c r="A440" s="34"/>
      <c r="B440" s="34"/>
      <c r="C440" s="34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>
      <c r="A441" s="34"/>
      <c r="B441" s="34"/>
      <c r="C441" s="34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>
      <c r="A442" s="34"/>
      <c r="B442" s="34"/>
      <c r="C442" s="34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>
      <c r="A443" s="34"/>
      <c r="B443" s="34"/>
      <c r="C443" s="34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>
      <c r="A444" s="34"/>
      <c r="B444" s="34"/>
      <c r="C444" s="34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>
      <c r="A445" s="34"/>
      <c r="B445" s="34"/>
      <c r="C445" s="34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>
      <c r="A446" s="34"/>
      <c r="B446" s="34"/>
      <c r="C446" s="34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>
      <c r="A447" s="34"/>
      <c r="B447" s="34"/>
      <c r="C447" s="34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>
      <c r="A448" s="34"/>
      <c r="B448" s="34"/>
      <c r="C448" s="34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>
      <c r="A449" s="34"/>
      <c r="B449" s="34"/>
      <c r="C449" s="34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>
      <c r="A450" s="34"/>
      <c r="B450" s="34"/>
      <c r="C450" s="34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>
      <c r="A451" s="34"/>
      <c r="B451" s="34"/>
      <c r="C451" s="34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>
      <c r="A452" s="34"/>
      <c r="B452" s="34"/>
      <c r="C452" s="34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>
      <c r="A453" s="34"/>
      <c r="B453" s="34"/>
      <c r="C453" s="34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>
      <c r="A454" s="34"/>
      <c r="B454" s="34"/>
      <c r="C454" s="34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>
      <c r="A455" s="34"/>
      <c r="B455" s="34"/>
      <c r="C455" s="34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>
      <c r="A456" s="34"/>
      <c r="B456" s="34"/>
      <c r="C456" s="34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>
      <c r="A457" s="34"/>
      <c r="B457" s="34"/>
      <c r="C457" s="34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>
      <c r="A458" s="34"/>
      <c r="B458" s="34"/>
      <c r="C458" s="34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>
      <c r="A459" s="34"/>
      <c r="B459" s="34"/>
      <c r="C459" s="34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>
      <c r="A460" s="34"/>
      <c r="B460" s="34"/>
      <c r="C460" s="34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>
      <c r="A461" s="34"/>
      <c r="B461" s="34"/>
      <c r="C461" s="34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>
      <c r="A462" s="34"/>
      <c r="B462" s="34"/>
      <c r="C462" s="34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>
      <c r="A463" s="34"/>
      <c r="B463" s="34"/>
      <c r="C463" s="34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>
      <c r="A464" s="34"/>
      <c r="B464" s="34"/>
      <c r="C464" s="34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>
      <c r="A465" s="34"/>
      <c r="B465" s="34"/>
      <c r="C465" s="34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>
      <c r="A466" s="34"/>
      <c r="B466" s="34"/>
      <c r="C466" s="34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>
      <c r="A467" s="34"/>
      <c r="B467" s="34"/>
      <c r="C467" s="34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>
      <c r="A468" s="34"/>
      <c r="B468" s="34"/>
      <c r="C468" s="34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>
      <c r="A469" s="34"/>
      <c r="B469" s="34"/>
      <c r="C469" s="34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>
      <c r="A470" s="34"/>
      <c r="B470" s="34"/>
      <c r="C470" s="34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>
      <c r="A471" s="34"/>
      <c r="B471" s="34"/>
      <c r="C471" s="34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>
      <c r="A472" s="34"/>
      <c r="B472" s="34"/>
      <c r="C472" s="34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>
      <c r="A473" s="34"/>
      <c r="B473" s="34"/>
      <c r="C473" s="34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>
      <c r="A474" s="34"/>
      <c r="B474" s="34"/>
      <c r="C474" s="34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>
      <c r="A475" s="34"/>
      <c r="B475" s="34"/>
      <c r="C475" s="34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>
      <c r="A476" s="34"/>
      <c r="B476" s="34"/>
      <c r="C476" s="34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>
      <c r="A477" s="34"/>
      <c r="B477" s="34"/>
      <c r="C477" s="34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>
      <c r="A478" s="34"/>
      <c r="B478" s="34"/>
      <c r="C478" s="34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>
      <c r="A479" s="34"/>
      <c r="B479" s="34"/>
      <c r="C479" s="34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>
      <c r="A480" s="34"/>
      <c r="B480" s="34"/>
      <c r="C480" s="34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>
      <c r="A481" s="34"/>
      <c r="B481" s="34"/>
      <c r="C481" s="34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>
      <c r="A482" s="34"/>
      <c r="B482" s="34"/>
      <c r="C482" s="34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>
      <c r="A483" s="34"/>
      <c r="B483" s="34"/>
      <c r="C483" s="34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>
      <c r="A484" s="34"/>
      <c r="B484" s="34"/>
      <c r="C484" s="34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>
      <c r="A485" s="34"/>
      <c r="B485" s="34"/>
      <c r="C485" s="34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>
      <c r="A486" s="34"/>
      <c r="B486" s="34"/>
      <c r="C486" s="34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>
      <c r="A487" s="34"/>
      <c r="B487" s="34"/>
      <c r="C487" s="34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>
      <c r="A488" s="34"/>
      <c r="B488" s="34"/>
      <c r="C488" s="34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>
      <c r="A489" s="34"/>
      <c r="B489" s="34"/>
      <c r="C489" s="34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>
      <c r="A490" s="34"/>
      <c r="B490" s="34"/>
      <c r="C490" s="34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>
      <c r="A491" s="34"/>
      <c r="B491" s="34"/>
      <c r="C491" s="34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>
      <c r="A492" s="34"/>
      <c r="B492" s="34"/>
      <c r="C492" s="34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>
      <c r="A493" s="34"/>
      <c r="B493" s="34"/>
      <c r="C493" s="34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>
      <c r="A494" s="34"/>
      <c r="B494" s="34"/>
      <c r="C494" s="34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>
      <c r="A495" s="34"/>
      <c r="B495" s="34"/>
      <c r="C495" s="34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>
      <c r="A496" s="34"/>
      <c r="B496" s="34"/>
      <c r="C496" s="34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>
      <c r="A497" s="34"/>
      <c r="B497" s="34"/>
      <c r="C497" s="34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>
      <c r="A498" s="34"/>
      <c r="B498" s="34"/>
      <c r="C498" s="34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>
      <c r="A499" s="34"/>
      <c r="B499" s="34"/>
      <c r="C499" s="34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>
      <c r="A500" s="34"/>
      <c r="B500" s="34"/>
      <c r="C500" s="34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>
      <c r="A501" s="34"/>
      <c r="B501" s="34"/>
      <c r="C501" s="34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>
      <c r="A502" s="34"/>
      <c r="B502" s="34"/>
      <c r="C502" s="34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>
      <c r="A503" s="34"/>
      <c r="B503" s="34"/>
      <c r="C503" s="34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>
      <c r="A504" s="34"/>
      <c r="B504" s="34"/>
      <c r="C504" s="34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>
      <c r="A505" s="34"/>
      <c r="B505" s="34"/>
      <c r="C505" s="34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>
      <c r="A506" s="34"/>
      <c r="B506" s="34"/>
      <c r="C506" s="34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>
      <c r="A507" s="34"/>
      <c r="B507" s="34"/>
      <c r="C507" s="34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>
      <c r="A508" s="34"/>
      <c r="B508" s="34"/>
      <c r="C508" s="34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>
      <c r="A509" s="34"/>
      <c r="B509" s="34"/>
      <c r="C509" s="34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>
      <c r="A510" s="34"/>
      <c r="B510" s="34"/>
      <c r="C510" s="34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>
      <c r="A511" s="34"/>
      <c r="B511" s="34"/>
      <c r="C511" s="34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>
      <c r="A512" s="34"/>
      <c r="B512" s="34"/>
      <c r="C512" s="34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>
      <c r="A513" s="34"/>
      <c r="B513" s="34"/>
      <c r="C513" s="34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>
      <c r="A514" s="34"/>
      <c r="B514" s="34"/>
      <c r="C514" s="34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>
      <c r="A515" s="34"/>
      <c r="B515" s="34"/>
      <c r="C515" s="34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>
      <c r="A516" s="34"/>
      <c r="B516" s="34"/>
      <c r="C516" s="34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>
      <c r="A517" s="34"/>
      <c r="B517" s="34"/>
      <c r="C517" s="34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>
      <c r="A518" s="34"/>
      <c r="B518" s="34"/>
      <c r="C518" s="34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>
      <c r="A519" s="34"/>
      <c r="B519" s="34"/>
      <c r="C519" s="34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>
      <c r="A520" s="34"/>
      <c r="B520" s="34"/>
      <c r="C520" s="34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>
      <c r="A521" s="34"/>
      <c r="B521" s="34"/>
      <c r="C521" s="34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>
      <c r="A522" s="34"/>
      <c r="B522" s="34"/>
      <c r="C522" s="34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>
      <c r="A523" s="34"/>
      <c r="B523" s="34"/>
      <c r="C523" s="34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>
      <c r="A524" s="34"/>
      <c r="B524" s="34"/>
      <c r="C524" s="34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>
      <c r="A525" s="34"/>
      <c r="B525" s="34"/>
      <c r="C525" s="34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>
      <c r="A526" s="34"/>
      <c r="B526" s="34"/>
      <c r="C526" s="34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>
      <c r="A527" s="34"/>
      <c r="B527" s="34"/>
      <c r="C527" s="34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>
      <c r="A528" s="34"/>
      <c r="B528" s="34"/>
      <c r="C528" s="34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>
      <c r="A529" s="34"/>
      <c r="B529" s="34"/>
      <c r="C529" s="34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>
      <c r="A530" s="34"/>
      <c r="B530" s="34"/>
      <c r="C530" s="34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>
      <c r="A531" s="34"/>
      <c r="B531" s="34"/>
      <c r="C531" s="34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>
      <c r="A532" s="34"/>
      <c r="B532" s="34"/>
      <c r="C532" s="34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>
      <c r="A533" s="34"/>
      <c r="B533" s="34"/>
      <c r="C533" s="34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>
      <c r="A534" s="34"/>
      <c r="B534" s="34"/>
      <c r="C534" s="34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>
      <c r="A535" s="34"/>
      <c r="B535" s="34"/>
      <c r="C535" s="34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>
      <c r="A536" s="34"/>
      <c r="B536" s="34"/>
      <c r="C536" s="34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>
      <c r="A537" s="34"/>
      <c r="B537" s="34"/>
      <c r="C537" s="34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>
      <c r="A538" s="34"/>
      <c r="B538" s="34"/>
      <c r="C538" s="34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>
      <c r="A539" s="34"/>
      <c r="B539" s="34"/>
      <c r="C539" s="34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>
      <c r="A540" s="34"/>
      <c r="B540" s="34"/>
      <c r="C540" s="34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>
      <c r="A541" s="34"/>
      <c r="B541" s="34"/>
      <c r="C541" s="34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>
      <c r="A542" s="34"/>
      <c r="B542" s="34"/>
      <c r="C542" s="34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>
      <c r="A543" s="34"/>
      <c r="B543" s="34"/>
      <c r="C543" s="34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>
      <c r="A544" s="34"/>
      <c r="B544" s="34"/>
      <c r="C544" s="34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>
      <c r="A545" s="34"/>
      <c r="B545" s="34"/>
      <c r="C545" s="34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>
      <c r="A546" s="34"/>
      <c r="B546" s="34"/>
      <c r="C546" s="34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>
      <c r="A547" s="34"/>
      <c r="B547" s="34"/>
      <c r="C547" s="34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>
      <c r="A548" s="34"/>
      <c r="B548" s="34"/>
      <c r="C548" s="34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>
      <c r="A549" s="34"/>
      <c r="B549" s="34"/>
      <c r="C549" s="34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>
      <c r="A550" s="34"/>
      <c r="B550" s="34"/>
      <c r="C550" s="34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>
      <c r="A551" s="34"/>
      <c r="B551" s="34"/>
      <c r="C551" s="34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>
      <c r="A552" s="34"/>
      <c r="B552" s="34"/>
      <c r="C552" s="34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>
      <c r="A553" s="34"/>
      <c r="B553" s="34"/>
      <c r="C553" s="34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>
      <c r="A554" s="34"/>
      <c r="B554" s="34"/>
      <c r="C554" s="34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>
      <c r="A555" s="34"/>
      <c r="B555" s="34"/>
      <c r="C555" s="34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>
      <c r="A556" s="34"/>
      <c r="B556" s="34"/>
      <c r="C556" s="34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>
      <c r="A557" s="34"/>
      <c r="B557" s="34"/>
      <c r="C557" s="34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>
      <c r="A558" s="34"/>
      <c r="B558" s="34"/>
      <c r="C558" s="34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>
      <c r="A559" s="34"/>
      <c r="B559" s="34"/>
      <c r="C559" s="34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>
      <c r="A560" s="34"/>
      <c r="B560" s="34"/>
      <c r="C560" s="34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>
      <c r="A561" s="34"/>
      <c r="B561" s="34"/>
      <c r="C561" s="34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>
      <c r="A562" s="34"/>
      <c r="B562" s="34"/>
      <c r="C562" s="34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>
      <c r="A563" s="34"/>
      <c r="B563" s="34"/>
      <c r="C563" s="34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>
      <c r="A564" s="34"/>
      <c r="B564" s="34"/>
      <c r="C564" s="34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>
      <c r="A565" s="34"/>
      <c r="B565" s="34"/>
      <c r="C565" s="34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>
      <c r="A566" s="34"/>
      <c r="B566" s="34"/>
      <c r="C566" s="34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>
      <c r="A567" s="34"/>
      <c r="B567" s="34"/>
      <c r="C567" s="34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>
      <c r="A568" s="34"/>
      <c r="B568" s="34"/>
      <c r="C568" s="34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>
      <c r="A569" s="34"/>
      <c r="B569" s="34"/>
      <c r="C569" s="34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>
      <c r="A570" s="34"/>
      <c r="B570" s="34"/>
      <c r="C570" s="34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>
      <c r="A571" s="34"/>
      <c r="B571" s="34"/>
      <c r="C571" s="34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>
      <c r="A572" s="34"/>
      <c r="B572" s="34"/>
      <c r="C572" s="34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>
      <c r="A573" s="34"/>
      <c r="B573" s="34"/>
      <c r="C573" s="34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>
      <c r="A574" s="34"/>
      <c r="B574" s="34"/>
      <c r="C574" s="34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>
      <c r="A575" s="34"/>
      <c r="B575" s="34"/>
      <c r="C575" s="34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>
      <c r="A576" s="34"/>
      <c r="B576" s="34"/>
      <c r="C576" s="34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>
      <c r="A577" s="34"/>
      <c r="B577" s="34"/>
      <c r="C577" s="34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>
      <c r="A578" s="34"/>
      <c r="B578" s="34"/>
      <c r="C578" s="34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>
      <c r="A579" s="34"/>
      <c r="B579" s="34"/>
      <c r="C579" s="34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>
      <c r="A580" s="34"/>
      <c r="B580" s="34"/>
      <c r="C580" s="34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>
      <c r="A581" s="34"/>
      <c r="B581" s="34"/>
      <c r="C581" s="34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>
      <c r="A582" s="34"/>
      <c r="B582" s="34"/>
      <c r="C582" s="34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>
      <c r="A583" s="34"/>
      <c r="B583" s="34"/>
      <c r="C583" s="34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>
      <c r="A584" s="34"/>
      <c r="B584" s="34"/>
      <c r="C584" s="34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>
      <c r="A585" s="34"/>
      <c r="B585" s="34"/>
      <c r="C585" s="34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>
      <c r="A586" s="34"/>
      <c r="B586" s="34"/>
      <c r="C586" s="34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>
      <c r="A587" s="34"/>
      <c r="B587" s="34"/>
      <c r="C587" s="34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>
      <c r="A588" s="34"/>
      <c r="B588" s="34"/>
      <c r="C588" s="34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>
      <c r="A589" s="34"/>
      <c r="B589" s="34"/>
      <c r="C589" s="34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>
      <c r="A590" s="34"/>
      <c r="B590" s="34"/>
      <c r="C590" s="34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>
      <c r="A591" s="34"/>
      <c r="B591" s="34"/>
      <c r="C591" s="34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>
      <c r="A592" s="34"/>
      <c r="B592" s="34"/>
      <c r="C592" s="34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>
      <c r="A593" s="34"/>
      <c r="B593" s="34"/>
      <c r="C593" s="34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>
      <c r="A594" s="34"/>
      <c r="B594" s="34"/>
      <c r="C594" s="34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>
      <c r="A595" s="34"/>
      <c r="B595" s="34"/>
      <c r="C595" s="34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>
      <c r="A596" s="34"/>
      <c r="B596" s="34"/>
      <c r="C596" s="34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>
      <c r="A597" s="34"/>
      <c r="B597" s="34"/>
      <c r="C597" s="34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>
      <c r="A598" s="34"/>
      <c r="B598" s="34"/>
      <c r="C598" s="34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>
      <c r="A599" s="34"/>
      <c r="B599" s="34"/>
      <c r="C599" s="34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>
      <c r="A600" s="34"/>
      <c r="B600" s="34"/>
      <c r="C600" s="34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>
      <c r="A601" s="34"/>
      <c r="B601" s="34"/>
      <c r="C601" s="34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>
      <c r="A602" s="34"/>
      <c r="B602" s="34"/>
      <c r="C602" s="34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>
      <c r="A603" s="34"/>
      <c r="B603" s="34"/>
      <c r="C603" s="34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>
      <c r="A604" s="34"/>
      <c r="B604" s="34"/>
      <c r="C604" s="34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>
      <c r="A605" s="34"/>
      <c r="B605" s="34"/>
      <c r="C605" s="34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>
      <c r="A606" s="34"/>
      <c r="B606" s="34"/>
      <c r="C606" s="34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>
      <c r="A607" s="34"/>
      <c r="B607" s="34"/>
      <c r="C607" s="34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>
      <c r="A608" s="34"/>
      <c r="B608" s="34"/>
      <c r="C608" s="34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>
      <c r="A609" s="34"/>
      <c r="B609" s="34"/>
      <c r="C609" s="34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>
      <c r="A610" s="34"/>
      <c r="B610" s="34"/>
      <c r="C610" s="34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>
      <c r="A611" s="34"/>
      <c r="B611" s="34"/>
      <c r="C611" s="34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>
      <c r="A612" s="34"/>
      <c r="B612" s="34"/>
      <c r="C612" s="34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>
      <c r="A613" s="34"/>
      <c r="B613" s="34"/>
      <c r="C613" s="34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>
      <c r="A614" s="34"/>
      <c r="B614" s="34"/>
      <c r="C614" s="34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>
      <c r="A615" s="34"/>
      <c r="B615" s="34"/>
      <c r="C615" s="34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>
      <c r="A616" s="34"/>
      <c r="B616" s="34"/>
      <c r="C616" s="34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>
      <c r="A617" s="34"/>
      <c r="B617" s="34"/>
      <c r="C617" s="34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>
      <c r="A618" s="34"/>
      <c r="B618" s="34"/>
      <c r="C618" s="34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>
      <c r="A619" s="34"/>
      <c r="B619" s="34"/>
      <c r="C619" s="34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>
      <c r="A620" s="34"/>
      <c r="B620" s="34"/>
      <c r="C620" s="34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>
      <c r="A621" s="34"/>
      <c r="B621" s="34"/>
      <c r="C621" s="34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>
      <c r="A622" s="34"/>
      <c r="B622" s="34"/>
      <c r="C622" s="34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>
      <c r="A623" s="34"/>
      <c r="B623" s="34"/>
      <c r="C623" s="34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>
      <c r="A624" s="34"/>
      <c r="B624" s="34"/>
      <c r="C624" s="34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>
      <c r="A625" s="34"/>
      <c r="B625" s="34"/>
      <c r="C625" s="34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>
      <c r="A626" s="34"/>
      <c r="B626" s="34"/>
      <c r="C626" s="34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>
      <c r="A627" s="34"/>
      <c r="B627" s="34"/>
      <c r="C627" s="34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>
      <c r="A628" s="34"/>
      <c r="B628" s="34"/>
      <c r="C628" s="34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>
      <c r="A629" s="34"/>
      <c r="B629" s="34"/>
      <c r="C629" s="34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>
      <c r="A630" s="34"/>
      <c r="B630" s="34"/>
      <c r="C630" s="34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>
      <c r="A631" s="34"/>
      <c r="B631" s="34"/>
      <c r="C631" s="34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>
      <c r="A632" s="34"/>
      <c r="B632" s="34"/>
      <c r="C632" s="34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>
      <c r="A633" s="34"/>
      <c r="B633" s="34"/>
      <c r="C633" s="34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>
      <c r="A634" s="34"/>
      <c r="B634" s="34"/>
      <c r="C634" s="34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>
      <c r="A635" s="34"/>
      <c r="B635" s="34"/>
      <c r="C635" s="34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>
      <c r="A636" s="34"/>
      <c r="B636" s="34"/>
      <c r="C636" s="34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>
      <c r="A637" s="34"/>
      <c r="B637" s="34"/>
      <c r="C637" s="34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>
      <c r="A638" s="34"/>
      <c r="B638" s="34"/>
      <c r="C638" s="34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>
      <c r="A639" s="34"/>
      <c r="B639" s="34"/>
      <c r="C639" s="34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>
      <c r="A640" s="34"/>
      <c r="B640" s="34"/>
      <c r="C640" s="34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>
      <c r="A641" s="34"/>
      <c r="B641" s="34"/>
      <c r="C641" s="34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>
      <c r="A642" s="34"/>
      <c r="B642" s="34"/>
      <c r="C642" s="34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>
      <c r="A643" s="34"/>
      <c r="B643" s="34"/>
      <c r="C643" s="34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>
      <c r="A644" s="34"/>
      <c r="B644" s="34"/>
      <c r="C644" s="34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>
      <c r="A645" s="34"/>
      <c r="B645" s="34"/>
      <c r="C645" s="34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>
      <c r="A646" s="34"/>
      <c r="B646" s="34"/>
      <c r="C646" s="34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>
      <c r="A647" s="34"/>
      <c r="B647" s="34"/>
      <c r="C647" s="34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>
      <c r="A648" s="34"/>
      <c r="B648" s="34"/>
      <c r="C648" s="34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>
      <c r="A649" s="34"/>
      <c r="B649" s="34"/>
      <c r="C649" s="34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>
      <c r="A650" s="34"/>
      <c r="B650" s="34"/>
      <c r="C650" s="34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>
      <c r="A651" s="34"/>
      <c r="B651" s="34"/>
      <c r="C651" s="34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>
      <c r="A652" s="34"/>
      <c r="B652" s="34"/>
      <c r="C652" s="34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>
      <c r="A653" s="34"/>
      <c r="B653" s="34"/>
      <c r="C653" s="34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>
      <c r="A654" s="34"/>
      <c r="B654" s="34"/>
      <c r="C654" s="34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>
      <c r="A655" s="34"/>
      <c r="B655" s="34"/>
      <c r="C655" s="34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>
      <c r="A656" s="34"/>
      <c r="B656" s="34"/>
      <c r="C656" s="34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>
      <c r="A657" s="34"/>
      <c r="B657" s="34"/>
      <c r="C657" s="34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>
      <c r="A658" s="34"/>
      <c r="B658" s="34"/>
      <c r="C658" s="34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>
      <c r="A659" s="34"/>
      <c r="B659" s="34"/>
      <c r="C659" s="34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>
      <c r="A660" s="34"/>
      <c r="B660" s="34"/>
      <c r="C660" s="34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>
      <c r="A661" s="34"/>
      <c r="B661" s="34"/>
      <c r="C661" s="34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>
      <c r="A662" s="34"/>
      <c r="B662" s="34"/>
      <c r="C662" s="34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>
      <c r="A663" s="34"/>
      <c r="B663" s="34"/>
      <c r="C663" s="34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>
      <c r="A664" s="34"/>
      <c r="B664" s="34"/>
      <c r="C664" s="34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>
      <c r="A665" s="34"/>
      <c r="B665" s="34"/>
      <c r="C665" s="34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>
      <c r="A666" s="34"/>
      <c r="B666" s="34"/>
      <c r="C666" s="34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>
      <c r="A667" s="34"/>
      <c r="B667" s="34"/>
      <c r="C667" s="34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>
      <c r="A668" s="34"/>
      <c r="B668" s="34"/>
      <c r="C668" s="34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>
      <c r="A669" s="34"/>
      <c r="B669" s="34"/>
      <c r="C669" s="34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>
      <c r="A670" s="34"/>
      <c r="B670" s="34"/>
      <c r="C670" s="34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>
      <c r="A671" s="34"/>
      <c r="B671" s="34"/>
      <c r="C671" s="34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>
      <c r="A672" s="34"/>
      <c r="B672" s="34"/>
      <c r="C672" s="34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>
      <c r="A673" s="34"/>
      <c r="B673" s="34"/>
      <c r="C673" s="34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>
      <c r="A674" s="34"/>
      <c r="B674" s="34"/>
      <c r="C674" s="34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>
      <c r="A675" s="34"/>
      <c r="B675" s="34"/>
      <c r="C675" s="34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>
      <c r="A676" s="34"/>
      <c r="B676" s="34"/>
      <c r="C676" s="34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>
      <c r="A677" s="34"/>
      <c r="B677" s="34"/>
      <c r="C677" s="34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>
      <c r="A678" s="34"/>
      <c r="B678" s="34"/>
      <c r="C678" s="34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>
      <c r="A679" s="34"/>
      <c r="B679" s="34"/>
      <c r="C679" s="34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>
      <c r="A680" s="34"/>
      <c r="B680" s="34"/>
      <c r="C680" s="34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>
      <c r="A681" s="34"/>
      <c r="B681" s="34"/>
      <c r="C681" s="34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>
      <c r="A682" s="34"/>
      <c r="B682" s="34"/>
      <c r="C682" s="34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>
      <c r="A683" s="34"/>
      <c r="B683" s="34"/>
      <c r="C683" s="34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>
      <c r="A684" s="34"/>
      <c r="B684" s="34"/>
      <c r="C684" s="34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>
      <c r="A685" s="34"/>
      <c r="B685" s="34"/>
      <c r="C685" s="34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>
      <c r="A686" s="34"/>
      <c r="B686" s="34"/>
      <c r="C686" s="34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>
      <c r="A687" s="34"/>
      <c r="B687" s="34"/>
      <c r="C687" s="34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>
      <c r="A688" s="34"/>
      <c r="B688" s="34"/>
      <c r="C688" s="34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>
      <c r="A689" s="34"/>
      <c r="B689" s="34"/>
      <c r="C689" s="34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>
      <c r="A690" s="34"/>
      <c r="B690" s="34"/>
      <c r="C690" s="34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>
      <c r="A691" s="34"/>
      <c r="B691" s="34"/>
      <c r="C691" s="34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>
      <c r="A692" s="34"/>
      <c r="B692" s="34"/>
      <c r="C692" s="34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>
      <c r="A693" s="34"/>
      <c r="B693" s="34"/>
      <c r="C693" s="34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>
      <c r="A694" s="34"/>
      <c r="B694" s="34"/>
      <c r="C694" s="34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>
      <c r="A695" s="34"/>
      <c r="B695" s="34"/>
      <c r="C695" s="34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>
      <c r="A696" s="34"/>
      <c r="B696" s="34"/>
      <c r="C696" s="34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>
      <c r="A697" s="34"/>
      <c r="B697" s="34"/>
      <c r="C697" s="34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>
      <c r="A698" s="34"/>
      <c r="B698" s="34"/>
      <c r="C698" s="34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>
      <c r="A699" s="34"/>
      <c r="B699" s="34"/>
      <c r="C699" s="34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>
      <c r="A700" s="34"/>
      <c r="B700" s="34"/>
      <c r="C700" s="34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>
      <c r="A701" s="34"/>
      <c r="B701" s="34"/>
      <c r="C701" s="34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>
      <c r="A702" s="34"/>
      <c r="B702" s="34"/>
      <c r="C702" s="34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>
      <c r="A703" s="34"/>
      <c r="B703" s="34"/>
      <c r="C703" s="34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>
      <c r="A704" s="34"/>
      <c r="B704" s="34"/>
      <c r="C704" s="34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>
      <c r="A705" s="34"/>
      <c r="B705" s="34"/>
      <c r="C705" s="34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>
      <c r="A706" s="34"/>
      <c r="B706" s="34"/>
      <c r="C706" s="34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>
      <c r="A707" s="34"/>
      <c r="B707" s="34"/>
      <c r="C707" s="34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>
      <c r="A708" s="34"/>
      <c r="B708" s="34"/>
      <c r="C708" s="34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>
      <c r="A709" s="34"/>
      <c r="B709" s="34"/>
      <c r="C709" s="34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>
      <c r="A710" s="34"/>
      <c r="B710" s="34"/>
      <c r="C710" s="34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>
      <c r="A711" s="34"/>
      <c r="B711" s="34"/>
      <c r="C711" s="34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>
      <c r="A712" s="34"/>
      <c r="B712" s="34"/>
      <c r="C712" s="34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>
      <c r="A713" s="34"/>
      <c r="B713" s="34"/>
      <c r="C713" s="34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>
      <c r="A714" s="34"/>
      <c r="B714" s="34"/>
      <c r="C714" s="34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>
      <c r="A715" s="34"/>
      <c r="B715" s="34"/>
      <c r="C715" s="34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>
      <c r="A716" s="34"/>
      <c r="B716" s="34"/>
      <c r="C716" s="34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>
      <c r="A717" s="34"/>
      <c r="B717" s="34"/>
      <c r="C717" s="34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>
      <c r="A718" s="34"/>
      <c r="B718" s="34"/>
      <c r="C718" s="34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>
      <c r="A719" s="34"/>
      <c r="B719" s="34"/>
      <c r="C719" s="34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>
      <c r="A720" s="34"/>
      <c r="B720" s="34"/>
      <c r="C720" s="34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>
      <c r="A721" s="34"/>
      <c r="B721" s="34"/>
      <c r="C721" s="34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>
      <c r="A722" s="34"/>
      <c r="B722" s="34"/>
      <c r="C722" s="34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>
      <c r="A723" s="34"/>
      <c r="B723" s="34"/>
      <c r="C723" s="34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>
      <c r="A724" s="34"/>
      <c r="B724" s="34"/>
      <c r="C724" s="34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>
      <c r="A725" s="34"/>
      <c r="B725" s="34"/>
      <c r="C725" s="34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>
      <c r="A726" s="34"/>
      <c r="B726" s="34"/>
      <c r="C726" s="34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>
      <c r="A727" s="34"/>
      <c r="B727" s="34"/>
      <c r="C727" s="34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>
      <c r="A728" s="34"/>
      <c r="B728" s="34"/>
      <c r="C728" s="34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>
      <c r="A729" s="34"/>
      <c r="B729" s="34"/>
      <c r="C729" s="34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>
      <c r="A730" s="34"/>
      <c r="B730" s="34"/>
      <c r="C730" s="34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>
      <c r="A731" s="34"/>
      <c r="B731" s="34"/>
      <c r="C731" s="34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>
      <c r="A732" s="34"/>
      <c r="B732" s="34"/>
      <c r="C732" s="34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>
      <c r="A733" s="34"/>
      <c r="B733" s="34"/>
      <c r="C733" s="34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>
      <c r="A734" s="34"/>
      <c r="B734" s="34"/>
      <c r="C734" s="34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>
      <c r="A735" s="34"/>
      <c r="B735" s="34"/>
      <c r="C735" s="34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>
      <c r="A736" s="34"/>
      <c r="B736" s="34"/>
      <c r="C736" s="34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>
      <c r="A737" s="34"/>
      <c r="B737" s="34"/>
      <c r="C737" s="34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>
      <c r="A738" s="34"/>
      <c r="B738" s="34"/>
      <c r="C738" s="34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>
      <c r="A739" s="34"/>
      <c r="B739" s="34"/>
      <c r="C739" s="34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>
      <c r="A740" s="34"/>
      <c r="B740" s="34"/>
      <c r="C740" s="34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>
      <c r="A741" s="34"/>
      <c r="B741" s="34"/>
      <c r="C741" s="34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>
      <c r="A742" s="34"/>
      <c r="B742" s="34"/>
      <c r="C742" s="34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>
      <c r="A743" s="34"/>
      <c r="B743" s="34"/>
      <c r="C743" s="34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>
      <c r="A744" s="34"/>
      <c r="B744" s="34"/>
      <c r="C744" s="34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>
      <c r="A745" s="34"/>
      <c r="B745" s="34"/>
      <c r="C745" s="34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>
      <c r="A746" s="34"/>
      <c r="B746" s="34"/>
      <c r="C746" s="34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>
      <c r="A747" s="34"/>
      <c r="B747" s="34"/>
      <c r="C747" s="34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>
      <c r="A748" s="34"/>
      <c r="B748" s="34"/>
      <c r="C748" s="34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>
      <c r="A749" s="34"/>
      <c r="B749" s="34"/>
      <c r="C749" s="34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>
      <c r="A750" s="34"/>
      <c r="B750" s="34"/>
      <c r="C750" s="34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>
      <c r="A751" s="34"/>
      <c r="B751" s="34"/>
      <c r="C751" s="34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>
      <c r="A752" s="34"/>
      <c r="B752" s="34"/>
      <c r="C752" s="34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>
      <c r="A753" s="34"/>
      <c r="B753" s="34"/>
      <c r="C753" s="34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>
      <c r="A754" s="34"/>
      <c r="B754" s="34"/>
      <c r="C754" s="34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>
      <c r="A755" s="34"/>
      <c r="B755" s="34"/>
      <c r="C755" s="34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>
      <c r="A756" s="34"/>
      <c r="B756" s="34"/>
      <c r="C756" s="34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>
      <c r="A757" s="34"/>
      <c r="B757" s="34"/>
      <c r="C757" s="34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>
      <c r="A758" s="34"/>
      <c r="B758" s="34"/>
      <c r="C758" s="34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>
      <c r="A759" s="34"/>
      <c r="B759" s="34"/>
      <c r="C759" s="34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>
      <c r="A760" s="34"/>
      <c r="B760" s="34"/>
      <c r="C760" s="34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>
      <c r="A761" s="34"/>
      <c r="B761" s="34"/>
      <c r="C761" s="34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>
      <c r="A762" s="34"/>
      <c r="B762" s="34"/>
      <c r="C762" s="34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>
      <c r="A763" s="34"/>
      <c r="B763" s="34"/>
      <c r="C763" s="34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>
      <c r="A764" s="34"/>
      <c r="B764" s="34"/>
      <c r="C764" s="34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>
      <c r="A765" s="34"/>
      <c r="B765" s="34"/>
      <c r="C765" s="34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>
      <c r="A766" s="34"/>
      <c r="B766" s="34"/>
      <c r="C766" s="34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>
      <c r="A767" s="34"/>
      <c r="B767" s="34"/>
      <c r="C767" s="34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>
      <c r="A768" s="34"/>
      <c r="B768" s="34"/>
      <c r="C768" s="34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>
      <c r="A769" s="34"/>
      <c r="B769" s="34"/>
      <c r="C769" s="34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>
      <c r="A770" s="34"/>
      <c r="B770" s="34"/>
      <c r="C770" s="34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>
      <c r="A771" s="34"/>
      <c r="B771" s="34"/>
      <c r="C771" s="34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>
      <c r="A772" s="34"/>
      <c r="B772" s="34"/>
      <c r="C772" s="34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>
      <c r="A773" s="34"/>
      <c r="B773" s="34"/>
      <c r="C773" s="34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>
      <c r="A774" s="34"/>
      <c r="B774" s="34"/>
      <c r="C774" s="34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>
      <c r="A775" s="34"/>
      <c r="B775" s="34"/>
      <c r="C775" s="34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>
      <c r="A776" s="34"/>
      <c r="B776" s="34"/>
      <c r="C776" s="34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>
      <c r="A777" s="34"/>
      <c r="B777" s="34"/>
      <c r="C777" s="34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>
      <c r="A778" s="34"/>
      <c r="B778" s="34"/>
      <c r="C778" s="34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>
      <c r="A779" s="34"/>
      <c r="B779" s="34"/>
      <c r="C779" s="34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>
      <c r="A780" s="34"/>
      <c r="B780" s="34"/>
      <c r="C780" s="34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>
      <c r="A781" s="34"/>
      <c r="B781" s="34"/>
      <c r="C781" s="34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>
      <c r="A782" s="34"/>
      <c r="B782" s="34"/>
      <c r="C782" s="34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>
      <c r="A783" s="34"/>
      <c r="B783" s="34"/>
      <c r="C783" s="34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>
      <c r="A784" s="34"/>
      <c r="B784" s="34"/>
      <c r="C784" s="34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>
      <c r="A785" s="34"/>
      <c r="B785" s="34"/>
      <c r="C785" s="34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>
      <c r="A786" s="34"/>
      <c r="B786" s="34"/>
      <c r="C786" s="34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>
      <c r="A787" s="34"/>
      <c r="B787" s="34"/>
      <c r="C787" s="34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>
      <c r="A788" s="34"/>
      <c r="B788" s="34"/>
      <c r="C788" s="34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>
      <c r="A789" s="34"/>
      <c r="B789" s="34"/>
      <c r="C789" s="34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>
      <c r="A790" s="34"/>
      <c r="B790" s="34"/>
      <c r="C790" s="34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>
      <c r="A791" s="34"/>
      <c r="B791" s="34"/>
      <c r="C791" s="34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>
      <c r="A792" s="34"/>
      <c r="B792" s="34"/>
      <c r="C792" s="34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>
      <c r="A793" s="34"/>
      <c r="B793" s="34"/>
      <c r="C793" s="34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>
      <c r="A794" s="34"/>
      <c r="B794" s="34"/>
      <c r="C794" s="34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>
      <c r="A795" s="34"/>
      <c r="B795" s="34"/>
      <c r="C795" s="34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>
      <c r="A796" s="34"/>
      <c r="B796" s="34"/>
      <c r="C796" s="34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>
      <c r="A797" s="34"/>
      <c r="B797" s="34"/>
      <c r="C797" s="34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>
      <c r="A798" s="34"/>
      <c r="B798" s="34"/>
      <c r="C798" s="34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>
      <c r="A799" s="34"/>
      <c r="B799" s="34"/>
      <c r="C799" s="34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>
      <c r="A800" s="34"/>
      <c r="B800" s="34"/>
      <c r="C800" s="34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>
      <c r="A801" s="34"/>
      <c r="B801" s="34"/>
      <c r="C801" s="34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>
      <c r="A802" s="34"/>
      <c r="B802" s="34"/>
      <c r="C802" s="34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>
      <c r="A803" s="34"/>
      <c r="B803" s="34"/>
      <c r="C803" s="34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>
      <c r="A804" s="34"/>
      <c r="B804" s="34"/>
      <c r="C804" s="34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>
      <c r="A805" s="34"/>
      <c r="B805" s="34"/>
      <c r="C805" s="34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>
      <c r="A806" s="34"/>
      <c r="B806" s="34"/>
      <c r="C806" s="34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>
      <c r="A807" s="34"/>
      <c r="B807" s="34"/>
      <c r="C807" s="34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>
      <c r="A808" s="34"/>
      <c r="B808" s="34"/>
      <c r="C808" s="34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>
      <c r="A809" s="34"/>
      <c r="B809" s="34"/>
      <c r="C809" s="34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>
      <c r="A810" s="34"/>
      <c r="B810" s="34"/>
      <c r="C810" s="34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>
      <c r="A811" s="34"/>
      <c r="B811" s="34"/>
      <c r="C811" s="34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>
      <c r="A812" s="34"/>
      <c r="B812" s="34"/>
      <c r="C812" s="34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>
      <c r="A813" s="34"/>
      <c r="B813" s="34"/>
      <c r="C813" s="34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>
      <c r="A814" s="34"/>
      <c r="B814" s="34"/>
      <c r="C814" s="34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>
      <c r="A815" s="34"/>
      <c r="B815" s="34"/>
      <c r="C815" s="34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>
      <c r="A816" s="34"/>
      <c r="B816" s="34"/>
      <c r="C816" s="34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>
      <c r="A817" s="34"/>
      <c r="B817" s="34"/>
      <c r="C817" s="34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>
      <c r="A818" s="34"/>
      <c r="B818" s="34"/>
      <c r="C818" s="34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>
      <c r="A819" s="34"/>
      <c r="B819" s="34"/>
      <c r="C819" s="34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>
      <c r="A820" s="34"/>
      <c r="B820" s="34"/>
      <c r="C820" s="34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>
      <c r="A821" s="34"/>
      <c r="B821" s="34"/>
      <c r="C821" s="34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>
      <c r="A822" s="34"/>
      <c r="B822" s="34"/>
      <c r="C822" s="34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>
      <c r="A823" s="34"/>
      <c r="B823" s="34"/>
      <c r="C823" s="34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>
      <c r="A824" s="34"/>
      <c r="B824" s="34"/>
      <c r="C824" s="34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>
      <c r="A825" s="34"/>
      <c r="B825" s="34"/>
      <c r="C825" s="34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>
      <c r="A826" s="34"/>
      <c r="B826" s="34"/>
      <c r="C826" s="34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>
      <c r="A827" s="34"/>
      <c r="B827" s="34"/>
      <c r="C827" s="34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>
      <c r="A828" s="34"/>
      <c r="B828" s="34"/>
      <c r="C828" s="34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>
      <c r="A829" s="34"/>
      <c r="B829" s="34"/>
      <c r="C829" s="34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>
      <c r="A830" s="34"/>
      <c r="B830" s="34"/>
      <c r="C830" s="34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>
      <c r="A831" s="34"/>
      <c r="B831" s="34"/>
      <c r="C831" s="34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>
      <c r="A832" s="34"/>
      <c r="B832" s="34"/>
      <c r="C832" s="34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>
      <c r="A833" s="34"/>
      <c r="B833" s="34"/>
      <c r="C833" s="34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>
      <c r="A834" s="34"/>
      <c r="B834" s="34"/>
      <c r="C834" s="34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>
      <c r="A835" s="34"/>
      <c r="B835" s="34"/>
      <c r="C835" s="34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>
      <c r="A836" s="34"/>
      <c r="B836" s="34"/>
      <c r="C836" s="34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>
      <c r="A837" s="34"/>
      <c r="B837" s="34"/>
      <c r="C837" s="34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>
      <c r="A838" s="34"/>
      <c r="B838" s="34"/>
      <c r="C838" s="34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>
      <c r="A839" s="34"/>
      <c r="B839" s="34"/>
      <c r="C839" s="34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>
      <c r="A840" s="34"/>
      <c r="B840" s="34"/>
      <c r="C840" s="34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>
      <c r="A841" s="34"/>
      <c r="B841" s="34"/>
      <c r="C841" s="34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>
      <c r="A842" s="34"/>
      <c r="B842" s="34"/>
      <c r="C842" s="34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>
      <c r="A843" s="34"/>
      <c r="B843" s="34"/>
      <c r="C843" s="34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>
      <c r="A844" s="34"/>
      <c r="B844" s="34"/>
      <c r="C844" s="34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>
      <c r="A845" s="34"/>
      <c r="B845" s="34"/>
      <c r="C845" s="34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>
      <c r="A846" s="34"/>
      <c r="B846" s="34"/>
      <c r="C846" s="34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>
      <c r="A847" s="34"/>
      <c r="B847" s="34"/>
      <c r="C847" s="34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>
      <c r="A848" s="34"/>
      <c r="B848" s="34"/>
      <c r="C848" s="34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>
      <c r="A849" s="34"/>
      <c r="B849" s="34"/>
      <c r="C849" s="34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>
      <c r="A850" s="34"/>
      <c r="B850" s="34"/>
      <c r="C850" s="34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>
      <c r="A851" s="34"/>
      <c r="B851" s="34"/>
      <c r="C851" s="34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>
      <c r="A852" s="34"/>
      <c r="B852" s="34"/>
      <c r="C852" s="34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>
      <c r="A853" s="34"/>
      <c r="B853" s="34"/>
      <c r="C853" s="34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>
      <c r="A854" s="34"/>
      <c r="B854" s="34"/>
      <c r="C854" s="34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>
      <c r="A855" s="34"/>
      <c r="B855" s="34"/>
      <c r="C855" s="34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>
      <c r="A856" s="34"/>
      <c r="B856" s="34"/>
      <c r="C856" s="34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>
      <c r="A857" s="34"/>
      <c r="B857" s="34"/>
      <c r="C857" s="34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>
      <c r="A858" s="34"/>
      <c r="B858" s="34"/>
      <c r="C858" s="34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>
      <c r="A859" s="34"/>
      <c r="B859" s="34"/>
      <c r="C859" s="34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>
      <c r="A860" s="34"/>
      <c r="B860" s="34"/>
      <c r="C860" s="34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>
      <c r="A861" s="34"/>
      <c r="B861" s="34"/>
      <c r="C861" s="34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>
      <c r="A862" s="34"/>
      <c r="B862" s="34"/>
      <c r="C862" s="34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>
      <c r="A863" s="34"/>
      <c r="B863" s="34"/>
      <c r="C863" s="34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>
      <c r="A864" s="34"/>
      <c r="B864" s="34"/>
      <c r="C864" s="34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>
      <c r="A865" s="34"/>
      <c r="B865" s="34"/>
      <c r="C865" s="34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>
      <c r="A866" s="34"/>
      <c r="B866" s="34"/>
      <c r="C866" s="34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>
      <c r="A867" s="34"/>
      <c r="B867" s="34"/>
      <c r="C867" s="34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>
      <c r="A868" s="34"/>
      <c r="B868" s="34"/>
      <c r="C868" s="34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>
      <c r="A869" s="34"/>
      <c r="B869" s="34"/>
      <c r="C869" s="34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>
      <c r="A870" s="34"/>
      <c r="B870" s="34"/>
      <c r="C870" s="34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>
      <c r="A871" s="34"/>
      <c r="B871" s="34"/>
      <c r="C871" s="34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>
      <c r="A872" s="34"/>
      <c r="B872" s="34"/>
      <c r="C872" s="34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>
      <c r="A873" s="34"/>
      <c r="B873" s="34"/>
      <c r="C873" s="34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>
      <c r="A874" s="34"/>
      <c r="B874" s="34"/>
      <c r="C874" s="34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>
      <c r="A875" s="34"/>
      <c r="B875" s="34"/>
      <c r="C875" s="34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>
      <c r="A876" s="34"/>
      <c r="B876" s="34"/>
      <c r="C876" s="34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>
      <c r="A877" s="34"/>
      <c r="B877" s="34"/>
      <c r="C877" s="34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>
      <c r="A878" s="34"/>
      <c r="B878" s="34"/>
      <c r="C878" s="34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>
      <c r="A879" s="34"/>
      <c r="B879" s="34"/>
      <c r="C879" s="34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>
      <c r="A880" s="34"/>
      <c r="B880" s="34"/>
      <c r="C880" s="34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>
      <c r="A881" s="34"/>
      <c r="B881" s="34"/>
      <c r="C881" s="34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>
      <c r="A882" s="34"/>
      <c r="B882" s="34"/>
      <c r="C882" s="34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>
      <c r="A883" s="34"/>
      <c r="B883" s="34"/>
      <c r="C883" s="34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>
      <c r="A884" s="34"/>
      <c r="B884" s="34"/>
      <c r="C884" s="34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>
      <c r="A885" s="34"/>
      <c r="B885" s="34"/>
      <c r="C885" s="34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>
      <c r="A886" s="34"/>
      <c r="B886" s="34"/>
      <c r="C886" s="34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>
      <c r="A887" s="34"/>
      <c r="B887" s="34"/>
      <c r="C887" s="34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>
      <c r="A888" s="34"/>
      <c r="B888" s="34"/>
      <c r="C888" s="34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>
      <c r="A889" s="34"/>
      <c r="B889" s="34"/>
      <c r="C889" s="34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>
      <c r="A890" s="34"/>
      <c r="B890" s="34"/>
      <c r="C890" s="34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>
      <c r="A891" s="34"/>
      <c r="B891" s="34"/>
      <c r="C891" s="34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>
      <c r="A892" s="34"/>
      <c r="B892" s="34"/>
      <c r="C892" s="34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>
      <c r="A893" s="34"/>
      <c r="B893" s="34"/>
      <c r="C893" s="34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>
      <c r="A894" s="34"/>
      <c r="B894" s="34"/>
      <c r="C894" s="34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>
      <c r="A895" s="34"/>
      <c r="B895" s="34"/>
      <c r="C895" s="34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>
      <c r="A896" s="34"/>
      <c r="B896" s="34"/>
      <c r="C896" s="34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>
      <c r="A897" s="34"/>
      <c r="B897" s="34"/>
      <c r="C897" s="34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>
      <c r="A898" s="34"/>
      <c r="B898" s="34"/>
      <c r="C898" s="34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>
      <c r="A899" s="34"/>
      <c r="B899" s="34"/>
      <c r="C899" s="34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>
      <c r="A900" s="34"/>
      <c r="B900" s="34"/>
      <c r="C900" s="34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>
      <c r="A901" s="34"/>
      <c r="B901" s="34"/>
      <c r="C901" s="34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>
      <c r="A902" s="34"/>
      <c r="B902" s="34"/>
      <c r="C902" s="34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>
      <c r="A903" s="34"/>
      <c r="B903" s="34"/>
      <c r="C903" s="34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>
      <c r="A904" s="34"/>
      <c r="B904" s="34"/>
      <c r="C904" s="34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>
      <c r="A905" s="34"/>
      <c r="B905" s="34"/>
      <c r="C905" s="34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>
      <c r="A906" s="34"/>
      <c r="B906" s="34"/>
      <c r="C906" s="34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>
      <c r="A907" s="34"/>
      <c r="B907" s="34"/>
      <c r="C907" s="34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>
      <c r="A908" s="34"/>
      <c r="B908" s="34"/>
      <c r="C908" s="34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>
      <c r="A909" s="34"/>
      <c r="B909" s="34"/>
      <c r="C909" s="34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>
      <c r="A910" s="34"/>
      <c r="B910" s="34"/>
      <c r="C910" s="34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>
      <c r="A911" s="34"/>
      <c r="B911" s="34"/>
      <c r="C911" s="34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>
      <c r="A912" s="34"/>
      <c r="B912" s="34"/>
      <c r="C912" s="34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>
      <c r="A913" s="34"/>
      <c r="B913" s="34"/>
      <c r="C913" s="34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>
      <c r="A914" s="34"/>
      <c r="B914" s="34"/>
      <c r="C914" s="34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>
      <c r="A915" s="34"/>
      <c r="B915" s="34"/>
      <c r="C915" s="34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>
      <c r="A916" s="34"/>
      <c r="B916" s="34"/>
      <c r="C916" s="34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>
      <c r="A917" s="34"/>
      <c r="B917" s="34"/>
      <c r="C917" s="34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>
      <c r="A918" s="34"/>
      <c r="B918" s="34"/>
      <c r="C918" s="34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>
      <c r="A919" s="34"/>
      <c r="B919" s="34"/>
      <c r="C919" s="34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>
      <c r="A920" s="34"/>
      <c r="B920" s="34"/>
      <c r="C920" s="34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>
      <c r="A921" s="34"/>
      <c r="B921" s="34"/>
      <c r="C921" s="34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>
      <c r="A922" s="34"/>
      <c r="B922" s="34"/>
      <c r="C922" s="34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>
      <c r="A923" s="34"/>
      <c r="B923" s="34"/>
      <c r="C923" s="34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>
      <c r="A924" s="34"/>
      <c r="B924" s="34"/>
      <c r="C924" s="34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>
      <c r="A925" s="34"/>
      <c r="B925" s="34"/>
      <c r="C925" s="34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>
      <c r="A926" s="34"/>
      <c r="B926" s="34"/>
      <c r="C926" s="34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>
      <c r="A927" s="34"/>
      <c r="B927" s="34"/>
      <c r="C927" s="34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>
      <c r="A928" s="34"/>
      <c r="B928" s="34"/>
      <c r="C928" s="34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>
      <c r="A929" s="34"/>
      <c r="B929" s="34"/>
      <c r="C929" s="34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>
      <c r="A930" s="34"/>
      <c r="B930" s="34"/>
      <c r="C930" s="34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>
      <c r="A931" s="34"/>
      <c r="B931" s="34"/>
      <c r="C931" s="34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>
      <c r="A932" s="34"/>
      <c r="B932" s="34"/>
      <c r="C932" s="34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>
      <c r="A933" s="34"/>
      <c r="B933" s="34"/>
      <c r="C933" s="34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>
      <c r="A934" s="34"/>
      <c r="B934" s="34"/>
      <c r="C934" s="34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>
      <c r="A935" s="34"/>
      <c r="B935" s="34"/>
      <c r="C935" s="34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>
      <c r="A936" s="34"/>
      <c r="B936" s="34"/>
      <c r="C936" s="34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>
      <c r="A937" s="34"/>
      <c r="B937" s="34"/>
      <c r="C937" s="34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>
      <c r="A938" s="34"/>
      <c r="B938" s="34"/>
      <c r="C938" s="34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>
      <c r="A939" s="34"/>
      <c r="B939" s="34"/>
      <c r="C939" s="34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>
      <c r="A940" s="34"/>
      <c r="B940" s="34"/>
      <c r="C940" s="34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>
      <c r="A941" s="34"/>
      <c r="B941" s="34"/>
      <c r="C941" s="34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>
      <c r="A942" s="34"/>
      <c r="B942" s="34"/>
      <c r="C942" s="34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>
      <c r="A943" s="34"/>
      <c r="B943" s="34"/>
      <c r="C943" s="34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>
      <c r="A944" s="34"/>
      <c r="B944" s="34"/>
      <c r="C944" s="34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>
      <c r="A945" s="34"/>
      <c r="B945" s="34"/>
      <c r="C945" s="34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>
      <c r="A946" s="34"/>
      <c r="B946" s="34"/>
      <c r="C946" s="34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>
      <c r="A947" s="34"/>
      <c r="B947" s="34"/>
      <c r="C947" s="34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>
      <c r="A948" s="34"/>
      <c r="B948" s="34"/>
      <c r="C948" s="34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>
      <c r="A949" s="34"/>
      <c r="B949" s="34"/>
      <c r="C949" s="34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>
      <c r="A950" s="34"/>
      <c r="B950" s="34"/>
      <c r="C950" s="34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>
      <c r="A951" s="34"/>
      <c r="B951" s="34"/>
      <c r="C951" s="34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>
      <c r="A952" s="34"/>
      <c r="B952" s="34"/>
      <c r="C952" s="34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>
      <c r="A953" s="34"/>
      <c r="B953" s="34"/>
      <c r="C953" s="34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>
      <c r="A954" s="34"/>
      <c r="B954" s="34"/>
      <c r="C954" s="34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>
      <c r="A955" s="34"/>
      <c r="B955" s="34"/>
      <c r="C955" s="34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>
      <c r="A956" s="34"/>
      <c r="B956" s="34"/>
      <c r="C956" s="34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>
      <c r="A957" s="34"/>
      <c r="B957" s="34"/>
      <c r="C957" s="34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>
      <c r="A958" s="34"/>
      <c r="B958" s="34"/>
      <c r="C958" s="34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>
      <c r="A959" s="34"/>
      <c r="B959" s="34"/>
      <c r="C959" s="34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>
      <c r="A960" s="34"/>
      <c r="B960" s="34"/>
      <c r="C960" s="34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>
      <c r="A961" s="34"/>
      <c r="B961" s="34"/>
      <c r="C961" s="34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>
      <c r="A962" s="34"/>
      <c r="B962" s="34"/>
      <c r="C962" s="34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>
      <c r="A963" s="34"/>
      <c r="B963" s="34"/>
      <c r="C963" s="34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>
      <c r="A964" s="34"/>
      <c r="B964" s="34"/>
      <c r="C964" s="34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>
      <c r="A965" s="34"/>
      <c r="B965" s="34"/>
      <c r="C965" s="34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>
      <c r="A966" s="34"/>
      <c r="B966" s="34"/>
      <c r="C966" s="34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>
      <c r="A967" s="34"/>
      <c r="B967" s="34"/>
      <c r="C967" s="34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>
      <c r="A968" s="34"/>
      <c r="B968" s="34"/>
      <c r="C968" s="34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>
      <c r="A969" s="34"/>
      <c r="B969" s="34"/>
      <c r="C969" s="34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>
      <c r="A970" s="34"/>
      <c r="B970" s="34"/>
      <c r="C970" s="34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>
      <c r="A971" s="34"/>
      <c r="B971" s="34"/>
      <c r="C971" s="34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>
      <c r="A972" s="34"/>
      <c r="B972" s="34"/>
      <c r="C972" s="34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>
      <c r="A973" s="34"/>
      <c r="B973" s="34"/>
      <c r="C973" s="34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>
      <c r="A974" s="34"/>
      <c r="B974" s="34"/>
      <c r="C974" s="34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>
      <c r="A975" s="34"/>
      <c r="B975" s="34"/>
      <c r="C975" s="34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>
      <c r="A976" s="34"/>
      <c r="B976" s="34"/>
      <c r="C976" s="34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>
      <c r="A977" s="34"/>
      <c r="B977" s="34"/>
      <c r="C977" s="34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>
      <c r="A978" s="34"/>
      <c r="B978" s="34"/>
      <c r="C978" s="34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>
      <c r="A979" s="34"/>
      <c r="B979" s="34"/>
      <c r="C979" s="34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>
      <c r="A980" s="34"/>
      <c r="B980" s="34"/>
      <c r="C980" s="34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>
      <c r="A981" s="34"/>
      <c r="B981" s="34"/>
      <c r="C981" s="34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>
      <c r="A982" s="34"/>
      <c r="B982" s="34"/>
      <c r="C982" s="34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>
      <c r="A983" s="34"/>
      <c r="B983" s="34"/>
      <c r="C983" s="34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>
      <c r="A984" s="34"/>
      <c r="B984" s="34"/>
      <c r="C984" s="34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>
      <c r="A985" s="34"/>
      <c r="B985" s="34"/>
      <c r="C985" s="34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>
      <c r="A986" s="34"/>
      <c r="B986" s="34"/>
      <c r="C986" s="34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>
      <c r="A987" s="34"/>
      <c r="B987" s="34"/>
      <c r="C987" s="34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>
      <c r="A988" s="34"/>
      <c r="B988" s="34"/>
      <c r="C988" s="34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>
      <c r="A989" s="34"/>
      <c r="B989" s="34"/>
      <c r="C989" s="34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>
      <c r="A990" s="34"/>
      <c r="B990" s="34"/>
      <c r="C990" s="34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>
      <c r="A991" s="34"/>
      <c r="B991" s="34"/>
      <c r="C991" s="34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>
      <c r="A992" s="34"/>
      <c r="B992" s="34"/>
      <c r="C992" s="34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>
      <c r="A993" s="34"/>
      <c r="B993" s="34"/>
      <c r="C993" s="34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>
      <c r="A994" s="34"/>
      <c r="B994" s="34"/>
      <c r="C994" s="34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>
      <c r="A995" s="34"/>
      <c r="B995" s="34"/>
      <c r="C995" s="34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>
      <c r="A996" s="34"/>
      <c r="B996" s="34"/>
      <c r="C996" s="34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358</v>
      </c>
      <c r="B1" s="24" t="s">
        <v>359</v>
      </c>
      <c r="C1" s="24" t="s">
        <v>170</v>
      </c>
      <c r="D1" s="24" t="s">
        <v>175</v>
      </c>
      <c r="E1" s="24" t="s">
        <v>176</v>
      </c>
      <c r="F1" s="24" t="s">
        <v>177</v>
      </c>
      <c r="G1" s="24" t="s">
        <v>178</v>
      </c>
      <c r="H1" s="24" t="s">
        <v>360</v>
      </c>
      <c r="I1" s="24" t="s">
        <v>361</v>
      </c>
      <c r="J1" s="24" t="s">
        <v>362</v>
      </c>
      <c r="K1" s="24" t="s">
        <v>363</v>
      </c>
      <c r="L1" s="24" t="s">
        <v>179</v>
      </c>
    </row>
    <row r="2">
      <c r="A2" s="24" t="s">
        <v>364</v>
      </c>
      <c r="B2" s="27">
        <v>2.0</v>
      </c>
      <c r="C2" s="24" t="s">
        <v>365</v>
      </c>
      <c r="D2" s="27">
        <v>1308.0</v>
      </c>
      <c r="E2" s="27">
        <v>22.0</v>
      </c>
      <c r="F2" s="24" t="s">
        <v>366</v>
      </c>
      <c r="G2" s="24" t="s">
        <v>367</v>
      </c>
      <c r="H2" s="27">
        <v>690.0</v>
      </c>
      <c r="I2" s="27">
        <v>372.0</v>
      </c>
      <c r="J2" s="27">
        <v>760.0</v>
      </c>
      <c r="K2" s="24" t="s">
        <v>368</v>
      </c>
      <c r="L2" s="27">
        <v>900.0</v>
      </c>
    </row>
    <row r="3">
      <c r="A3" s="24" t="s">
        <v>364</v>
      </c>
      <c r="B3" s="27">
        <v>2.0</v>
      </c>
      <c r="C3" s="24" t="s">
        <v>369</v>
      </c>
      <c r="D3" s="27">
        <v>1270.0</v>
      </c>
      <c r="E3" s="27">
        <v>22.0</v>
      </c>
      <c r="F3" s="24" t="s">
        <v>370</v>
      </c>
      <c r="G3" s="24" t="s">
        <v>371</v>
      </c>
      <c r="H3" s="27">
        <v>599.8</v>
      </c>
      <c r="I3" s="27">
        <v>360.0</v>
      </c>
      <c r="J3" s="27">
        <v>690.2</v>
      </c>
      <c r="K3" s="24" t="s">
        <v>368</v>
      </c>
      <c r="L3" s="27">
        <v>855.0</v>
      </c>
    </row>
    <row r="4">
      <c r="A4" s="24" t="s">
        <v>364</v>
      </c>
      <c r="B4" s="27">
        <v>2.0</v>
      </c>
      <c r="C4" s="24" t="s">
        <v>372</v>
      </c>
      <c r="D4" s="27">
        <v>1551.0</v>
      </c>
      <c r="E4" s="27">
        <v>24.0</v>
      </c>
      <c r="F4" s="24" t="s">
        <v>373</v>
      </c>
      <c r="G4" s="24" t="s">
        <v>374</v>
      </c>
      <c r="H4" s="27">
        <v>564.0</v>
      </c>
      <c r="I4" s="27">
        <v>294.0</v>
      </c>
      <c r="J4" s="27">
        <v>588.0</v>
      </c>
      <c r="K4" s="24" t="s">
        <v>368</v>
      </c>
      <c r="L4" s="27">
        <v>975.0</v>
      </c>
    </row>
    <row r="5">
      <c r="A5" s="24" t="s">
        <v>364</v>
      </c>
      <c r="B5" s="27">
        <v>2.0</v>
      </c>
      <c r="C5" s="24" t="s">
        <v>375</v>
      </c>
      <c r="D5" s="27">
        <v>767.0</v>
      </c>
      <c r="E5" s="27">
        <v>17.0</v>
      </c>
      <c r="F5" s="24" t="s">
        <v>376</v>
      </c>
      <c r="G5" s="24" t="s">
        <v>367</v>
      </c>
      <c r="H5" s="27">
        <v>430.6</v>
      </c>
      <c r="I5" s="27">
        <v>249.0</v>
      </c>
      <c r="J5" s="27">
        <v>533.4</v>
      </c>
      <c r="K5" s="24" t="s">
        <v>368</v>
      </c>
      <c r="L5" s="27">
        <v>990.0</v>
      </c>
    </row>
    <row r="6">
      <c r="A6" s="24" t="s">
        <v>364</v>
      </c>
      <c r="B6" s="27">
        <v>2.0</v>
      </c>
      <c r="C6" s="24" t="s">
        <v>377</v>
      </c>
      <c r="D6" s="27">
        <v>1261.0</v>
      </c>
      <c r="E6" s="27">
        <v>22.0</v>
      </c>
      <c r="F6" s="24" t="s">
        <v>378</v>
      </c>
      <c r="G6" s="24" t="s">
        <v>379</v>
      </c>
      <c r="H6" s="27">
        <v>305.0</v>
      </c>
      <c r="I6" s="27">
        <v>262.0</v>
      </c>
      <c r="J6" s="27">
        <v>523.0</v>
      </c>
      <c r="K6" s="24" t="s">
        <v>368</v>
      </c>
      <c r="L6" s="27">
        <v>930.0</v>
      </c>
    </row>
    <row r="7">
      <c r="A7" s="24" t="s">
        <v>364</v>
      </c>
      <c r="B7" s="27">
        <v>2.0</v>
      </c>
      <c r="C7" s="24" t="s">
        <v>380</v>
      </c>
      <c r="D7" s="27">
        <v>1798.0</v>
      </c>
      <c r="E7" s="27">
        <v>32.0</v>
      </c>
      <c r="F7" s="24" t="s">
        <v>381</v>
      </c>
      <c r="G7" s="24" t="s">
        <v>382</v>
      </c>
      <c r="H7" s="27">
        <v>260.8</v>
      </c>
      <c r="I7" s="27">
        <v>202.0</v>
      </c>
      <c r="J7" s="27">
        <v>405.2</v>
      </c>
      <c r="K7" s="24" t="s">
        <v>368</v>
      </c>
      <c r="L7" s="27">
        <v>1140.0</v>
      </c>
    </row>
    <row r="8">
      <c r="A8" s="24" t="s">
        <v>364</v>
      </c>
      <c r="B8" s="27">
        <v>2.0</v>
      </c>
      <c r="C8" s="24" t="s">
        <v>383</v>
      </c>
      <c r="D8" s="27">
        <v>1256.0</v>
      </c>
      <c r="E8" s="27">
        <v>22.0</v>
      </c>
      <c r="F8" s="24" t="s">
        <v>384</v>
      </c>
      <c r="G8" s="24" t="s">
        <v>385</v>
      </c>
      <c r="H8" s="27">
        <v>245.0</v>
      </c>
      <c r="I8" s="27">
        <v>172.0</v>
      </c>
      <c r="J8" s="27">
        <v>395.0</v>
      </c>
      <c r="K8" s="24" t="s">
        <v>368</v>
      </c>
      <c r="L8" s="27">
        <v>1140.0</v>
      </c>
    </row>
    <row r="9">
      <c r="A9" s="24" t="s">
        <v>364</v>
      </c>
      <c r="B9" s="27">
        <v>1.0</v>
      </c>
      <c r="C9" s="24" t="s">
        <v>386</v>
      </c>
      <c r="D9" s="27">
        <v>1158.0</v>
      </c>
      <c r="E9" s="27">
        <v>20.0</v>
      </c>
      <c r="F9" s="24" t="s">
        <v>387</v>
      </c>
      <c r="G9" s="24">
        <v>1980.0</v>
      </c>
      <c r="H9" s="27">
        <v>0.0</v>
      </c>
      <c r="I9" s="27">
        <v>212.0</v>
      </c>
      <c r="J9" s="27">
        <v>424.0</v>
      </c>
      <c r="K9" s="24" t="s">
        <v>368</v>
      </c>
      <c r="L9" s="27">
        <v>1425.0</v>
      </c>
    </row>
    <row r="10">
      <c r="A10" s="24" t="s">
        <v>364</v>
      </c>
      <c r="B10" s="27">
        <v>1.0</v>
      </c>
      <c r="C10" s="24" t="s">
        <v>388</v>
      </c>
      <c r="D10" s="27">
        <v>1607.0</v>
      </c>
      <c r="E10" s="27">
        <v>24.0</v>
      </c>
      <c r="F10" s="24" t="s">
        <v>389</v>
      </c>
      <c r="G10" s="24">
        <v>1980.0</v>
      </c>
      <c r="H10" s="27">
        <v>0.0</v>
      </c>
      <c r="I10" s="27">
        <v>220.0</v>
      </c>
      <c r="J10" s="27">
        <v>440.0</v>
      </c>
      <c r="K10" s="24" t="s">
        <v>368</v>
      </c>
      <c r="L10" s="27">
        <v>1365.0</v>
      </c>
    </row>
    <row r="11">
      <c r="A11" s="24" t="s">
        <v>364</v>
      </c>
      <c r="B11" s="27">
        <v>1.0</v>
      </c>
      <c r="C11" s="24" t="s">
        <v>390</v>
      </c>
      <c r="D11" s="27">
        <v>489.0</v>
      </c>
      <c r="E11" s="27">
        <v>10.0</v>
      </c>
      <c r="F11" s="24" t="s">
        <v>391</v>
      </c>
      <c r="G11" s="24">
        <v>1980.0</v>
      </c>
      <c r="H11" s="27">
        <v>0.0</v>
      </c>
      <c r="I11" s="27">
        <v>228.0</v>
      </c>
      <c r="J11" s="27">
        <v>456.0</v>
      </c>
      <c r="K11" s="24" t="s">
        <v>368</v>
      </c>
      <c r="L11" s="27">
        <v>1320.0</v>
      </c>
    </row>
    <row r="12">
      <c r="A12" s="24" t="s">
        <v>364</v>
      </c>
      <c r="B12" s="27">
        <v>1.0</v>
      </c>
      <c r="C12" s="24" t="s">
        <v>392</v>
      </c>
      <c r="D12" s="27">
        <v>1233.0</v>
      </c>
      <c r="E12" s="27">
        <v>22.0</v>
      </c>
      <c r="F12" s="24" t="s">
        <v>393</v>
      </c>
      <c r="G12" s="24">
        <v>1980.0</v>
      </c>
      <c r="H12" s="27">
        <v>0.0</v>
      </c>
      <c r="I12" s="27">
        <v>264.0</v>
      </c>
      <c r="J12" s="27">
        <v>528.0</v>
      </c>
      <c r="K12" s="24" t="s">
        <v>368</v>
      </c>
      <c r="L12" s="27">
        <v>1350.0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394</v>
      </c>
      <c r="B1" s="49" t="s">
        <v>395</v>
      </c>
      <c r="C1" s="49" t="s">
        <v>396</v>
      </c>
      <c r="D1" s="49" t="s">
        <v>397</v>
      </c>
      <c r="E1" s="49" t="s">
        <v>398</v>
      </c>
      <c r="F1" s="49" t="s">
        <v>399</v>
      </c>
      <c r="G1" s="50" t="s">
        <v>400</v>
      </c>
      <c r="H1" s="49" t="s">
        <v>401</v>
      </c>
      <c r="I1" s="49" t="s">
        <v>402</v>
      </c>
      <c r="J1" s="49" t="s">
        <v>403</v>
      </c>
      <c r="K1" s="49" t="s">
        <v>404</v>
      </c>
      <c r="L1" s="49" t="s">
        <v>405</v>
      </c>
      <c r="M1" s="49" t="s">
        <v>406</v>
      </c>
      <c r="N1" s="49" t="s">
        <v>407</v>
      </c>
      <c r="O1" s="49" t="s">
        <v>408</v>
      </c>
      <c r="P1" s="49" t="s">
        <v>409</v>
      </c>
      <c r="Q1" s="49" t="s">
        <v>410</v>
      </c>
      <c r="R1" s="49" t="s">
        <v>411</v>
      </c>
      <c r="S1" s="49" t="s">
        <v>412</v>
      </c>
      <c r="T1" s="49" t="s">
        <v>413</v>
      </c>
      <c r="U1" s="49" t="s">
        <v>414</v>
      </c>
      <c r="V1" s="49" t="s">
        <v>415</v>
      </c>
      <c r="W1" s="49" t="s">
        <v>416</v>
      </c>
      <c r="X1" s="49" t="s">
        <v>417</v>
      </c>
      <c r="Y1" s="49" t="s">
        <v>418</v>
      </c>
      <c r="Z1" s="49" t="s">
        <v>419</v>
      </c>
      <c r="AA1" s="49" t="s">
        <v>420</v>
      </c>
      <c r="AB1" s="49" t="s">
        <v>421</v>
      </c>
      <c r="AC1" s="49" t="s">
        <v>422</v>
      </c>
      <c r="AD1" s="49" t="s">
        <v>423</v>
      </c>
      <c r="AE1" s="49" t="s">
        <v>424</v>
      </c>
      <c r="AF1" s="49" t="s">
        <v>425</v>
      </c>
      <c r="AG1" s="49" t="s">
        <v>426</v>
      </c>
      <c r="AH1" s="49" t="s">
        <v>427</v>
      </c>
      <c r="AI1" s="51" t="s">
        <v>428</v>
      </c>
      <c r="AJ1" s="52" t="s">
        <v>429</v>
      </c>
      <c r="AK1" s="52" t="s">
        <v>430</v>
      </c>
      <c r="AL1" s="53" t="s">
        <v>431</v>
      </c>
      <c r="AM1" s="53" t="s">
        <v>432</v>
      </c>
      <c r="AN1" s="49" t="s">
        <v>433</v>
      </c>
      <c r="AO1" s="49" t="s">
        <v>434</v>
      </c>
      <c r="AP1" s="49" t="s">
        <v>435</v>
      </c>
      <c r="AQ1" s="49" t="s">
        <v>436</v>
      </c>
      <c r="AR1" s="54" t="s">
        <v>437</v>
      </c>
      <c r="AS1" s="50" t="s">
        <v>438</v>
      </c>
      <c r="AT1" s="50" t="s">
        <v>439</v>
      </c>
      <c r="AU1" s="50" t="s">
        <v>440</v>
      </c>
      <c r="AV1" s="50" t="s">
        <v>441</v>
      </c>
      <c r="AW1" s="55" t="s">
        <v>442</v>
      </c>
      <c r="AX1" s="55" t="s">
        <v>443</v>
      </c>
      <c r="AY1" s="55" t="s">
        <v>444</v>
      </c>
      <c r="AZ1" s="55" t="s">
        <v>445</v>
      </c>
      <c r="BA1" s="55" t="s">
        <v>446</v>
      </c>
      <c r="BB1" s="56" t="s">
        <v>447</v>
      </c>
      <c r="BC1" s="57"/>
      <c r="BD1" s="57"/>
      <c r="BE1" s="57"/>
      <c r="BF1" s="58" t="s">
        <v>425</v>
      </c>
      <c r="BG1" s="56" t="s">
        <v>448</v>
      </c>
      <c r="BH1" s="56" t="s">
        <v>449</v>
      </c>
      <c r="BI1" s="56" t="s">
        <v>450</v>
      </c>
      <c r="BJ1" s="57"/>
      <c r="BK1" s="57"/>
      <c r="BL1" s="57"/>
      <c r="BM1" s="57"/>
      <c r="BN1" s="57"/>
      <c r="BO1" s="57"/>
      <c r="BP1" s="57"/>
      <c r="BQ1" s="57"/>
      <c r="BR1" s="57"/>
    </row>
    <row r="2">
      <c r="A2" s="59">
        <v>45809.0</v>
      </c>
      <c r="B2" s="60" t="s">
        <v>451</v>
      </c>
      <c r="C2" s="61">
        <v>45809.0</v>
      </c>
      <c r="D2" s="61">
        <v>45809.0</v>
      </c>
      <c r="E2" s="60" t="s">
        <v>452</v>
      </c>
      <c r="F2" s="62" t="s">
        <v>453</v>
      </c>
      <c r="G2" s="63"/>
      <c r="H2" s="64" t="s">
        <v>454</v>
      </c>
      <c r="I2" s="64" t="s">
        <v>455</v>
      </c>
      <c r="J2" s="64" t="s">
        <v>456</v>
      </c>
      <c r="K2" s="64" t="s">
        <v>456</v>
      </c>
      <c r="L2" s="64">
        <v>22.0</v>
      </c>
      <c r="M2" s="64">
        <v>22.0</v>
      </c>
      <c r="N2" s="64" t="s">
        <v>457</v>
      </c>
      <c r="O2" s="64">
        <v>24.0</v>
      </c>
      <c r="P2" s="64" t="s">
        <v>458</v>
      </c>
      <c r="Q2" s="64" t="s">
        <v>459</v>
      </c>
      <c r="R2" s="64" t="s">
        <v>459</v>
      </c>
      <c r="S2" s="64">
        <v>259.0</v>
      </c>
      <c r="T2" s="64">
        <v>2849.0</v>
      </c>
      <c r="U2" s="64">
        <v>259.0</v>
      </c>
      <c r="V2" s="64">
        <v>2849.0</v>
      </c>
      <c r="W2" s="64">
        <v>2849.0</v>
      </c>
      <c r="X2" s="65" t="s">
        <v>460</v>
      </c>
      <c r="Y2" s="64" t="s">
        <v>461</v>
      </c>
      <c r="Z2" s="64" t="s">
        <v>462</v>
      </c>
      <c r="AA2" s="64" t="s">
        <v>463</v>
      </c>
      <c r="AB2" s="60" t="s">
        <v>464</v>
      </c>
      <c r="AC2" s="60" t="s">
        <v>451</v>
      </c>
      <c r="AD2" s="64" t="s">
        <v>465</v>
      </c>
      <c r="AE2" s="64" t="s">
        <v>466</v>
      </c>
      <c r="AF2" s="64" t="s">
        <v>466</v>
      </c>
      <c r="AG2" s="64" t="s">
        <v>467</v>
      </c>
      <c r="AH2" s="64" t="s">
        <v>467</v>
      </c>
      <c r="AI2" s="66">
        <v>735.0</v>
      </c>
      <c r="AJ2" s="66">
        <v>21.5</v>
      </c>
      <c r="AK2" s="67">
        <v>15802.5</v>
      </c>
      <c r="AL2" s="63"/>
      <c r="AM2" s="63"/>
      <c r="AN2" s="64">
        <v>21.5</v>
      </c>
      <c r="AO2" s="60" t="s">
        <v>468</v>
      </c>
      <c r="AP2" s="63"/>
      <c r="AQ2" s="63"/>
      <c r="AR2" s="63"/>
      <c r="AS2" s="63"/>
      <c r="AT2" s="63"/>
      <c r="AU2" s="63"/>
      <c r="AV2" s="68"/>
      <c r="AW2" s="58" t="s">
        <v>443</v>
      </c>
      <c r="AX2" s="69">
        <v>15802.5</v>
      </c>
      <c r="AY2" s="70"/>
      <c r="AZ2" s="70"/>
      <c r="BA2" s="70"/>
      <c r="BB2" s="70"/>
      <c r="BC2" s="58" t="s">
        <v>469</v>
      </c>
      <c r="BD2" s="58"/>
      <c r="BE2" s="58"/>
      <c r="BF2" s="58" t="s">
        <v>470</v>
      </c>
      <c r="BG2" s="58" t="s">
        <v>469</v>
      </c>
      <c r="BH2" s="69">
        <v>19.0</v>
      </c>
      <c r="BI2" s="69">
        <v>160550.0</v>
      </c>
      <c r="BJ2" s="58"/>
      <c r="BK2" s="58"/>
      <c r="BL2" s="58"/>
      <c r="BM2" s="58"/>
      <c r="BN2" s="58"/>
      <c r="BO2" s="58"/>
      <c r="BP2" s="58"/>
      <c r="BQ2" s="58"/>
      <c r="BR2" s="58"/>
    </row>
    <row r="3">
      <c r="A3" s="59">
        <v>45809.0</v>
      </c>
      <c r="B3" s="60" t="s">
        <v>451</v>
      </c>
      <c r="C3" s="61">
        <v>45809.0</v>
      </c>
      <c r="D3" s="61">
        <v>45809.0</v>
      </c>
      <c r="E3" s="60" t="s">
        <v>452</v>
      </c>
      <c r="F3" s="62" t="s">
        <v>471</v>
      </c>
      <c r="G3" s="63"/>
      <c r="H3" s="64" t="s">
        <v>472</v>
      </c>
      <c r="I3" s="64" t="s">
        <v>473</v>
      </c>
      <c r="J3" s="66" t="s">
        <v>456</v>
      </c>
      <c r="K3" s="66" t="s">
        <v>456</v>
      </c>
      <c r="L3" s="66">
        <v>22.0</v>
      </c>
      <c r="M3" s="66">
        <v>22.0</v>
      </c>
      <c r="N3" s="66" t="s">
        <v>457</v>
      </c>
      <c r="O3" s="66">
        <v>24.0</v>
      </c>
      <c r="P3" s="64" t="s">
        <v>474</v>
      </c>
      <c r="Q3" s="64" t="s">
        <v>459</v>
      </c>
      <c r="R3" s="64" t="s">
        <v>459</v>
      </c>
      <c r="S3" s="64">
        <v>201.0</v>
      </c>
      <c r="T3" s="64">
        <v>2211.0</v>
      </c>
      <c r="U3" s="64">
        <v>201.0</v>
      </c>
      <c r="V3" s="64">
        <v>2211.0</v>
      </c>
      <c r="W3" s="64">
        <v>2211.0</v>
      </c>
      <c r="X3" s="65" t="s">
        <v>460</v>
      </c>
      <c r="Y3" s="64" t="s">
        <v>461</v>
      </c>
      <c r="Z3" s="64" t="s">
        <v>462</v>
      </c>
      <c r="AA3" s="64" t="s">
        <v>463</v>
      </c>
      <c r="AB3" s="60" t="s">
        <v>464</v>
      </c>
      <c r="AC3" s="60" t="s">
        <v>451</v>
      </c>
      <c r="AD3" s="60" t="s">
        <v>475</v>
      </c>
      <c r="AE3" s="64" t="s">
        <v>476</v>
      </c>
      <c r="AF3" s="64" t="s">
        <v>476</v>
      </c>
      <c r="AG3" s="64" t="s">
        <v>467</v>
      </c>
      <c r="AH3" s="64" t="s">
        <v>467</v>
      </c>
      <c r="AI3" s="64">
        <v>650.0</v>
      </c>
      <c r="AJ3" s="66">
        <v>21.5</v>
      </c>
      <c r="AK3" s="67">
        <v>13975.0</v>
      </c>
      <c r="AL3" s="63"/>
      <c r="AM3" s="63"/>
      <c r="AN3" s="64">
        <v>21.5</v>
      </c>
      <c r="AO3" s="64" t="s">
        <v>468</v>
      </c>
      <c r="AP3" s="63"/>
      <c r="AQ3" s="63"/>
      <c r="AR3" s="63"/>
      <c r="AS3" s="63"/>
      <c r="AT3" s="63"/>
      <c r="AU3" s="63"/>
      <c r="AV3" s="63"/>
      <c r="AW3" s="58" t="s">
        <v>443</v>
      </c>
      <c r="AX3" s="69">
        <v>13975.0</v>
      </c>
      <c r="AY3" s="70"/>
      <c r="AZ3" s="70"/>
      <c r="BA3" s="70"/>
      <c r="BB3" s="70"/>
      <c r="BC3" s="58" t="s">
        <v>469</v>
      </c>
      <c r="BD3" s="58"/>
      <c r="BE3" s="58"/>
      <c r="BF3" s="58" t="s">
        <v>477</v>
      </c>
      <c r="BG3" s="58" t="s">
        <v>469</v>
      </c>
      <c r="BH3" s="69">
        <v>1.0</v>
      </c>
      <c r="BI3" s="69">
        <v>8400.0</v>
      </c>
      <c r="BJ3" s="58"/>
      <c r="BK3" s="58"/>
      <c r="BL3" s="58"/>
      <c r="BM3" s="58"/>
      <c r="BN3" s="58"/>
      <c r="BO3" s="58"/>
      <c r="BP3" s="58"/>
      <c r="BQ3" s="58"/>
      <c r="BR3" s="58"/>
    </row>
    <row r="4">
      <c r="A4" s="59">
        <v>45809.0</v>
      </c>
      <c r="B4" s="60" t="s">
        <v>451</v>
      </c>
      <c r="C4" s="61">
        <v>45809.0</v>
      </c>
      <c r="D4" s="61">
        <v>45809.0</v>
      </c>
      <c r="E4" s="60" t="s">
        <v>452</v>
      </c>
      <c r="F4" s="71" t="s">
        <v>478</v>
      </c>
      <c r="G4" s="63"/>
      <c r="H4" s="64" t="s">
        <v>472</v>
      </c>
      <c r="I4" s="64" t="s">
        <v>479</v>
      </c>
      <c r="J4" s="64" t="s">
        <v>456</v>
      </c>
      <c r="K4" s="64" t="s">
        <v>456</v>
      </c>
      <c r="L4" s="64">
        <v>22.0</v>
      </c>
      <c r="M4" s="64">
        <v>22.0</v>
      </c>
      <c r="N4" s="64" t="s">
        <v>457</v>
      </c>
      <c r="O4" s="64">
        <v>24.0</v>
      </c>
      <c r="P4" s="64" t="s">
        <v>480</v>
      </c>
      <c r="Q4" s="64" t="s">
        <v>459</v>
      </c>
      <c r="R4" s="64" t="s">
        <v>459</v>
      </c>
      <c r="S4" s="64">
        <v>221.0</v>
      </c>
      <c r="T4" s="64">
        <v>2431.0</v>
      </c>
      <c r="U4" s="64">
        <v>221.0</v>
      </c>
      <c r="V4" s="64">
        <v>2431.0</v>
      </c>
      <c r="W4" s="64">
        <v>2431.0</v>
      </c>
      <c r="X4" s="65" t="s">
        <v>460</v>
      </c>
      <c r="Y4" s="64" t="s">
        <v>461</v>
      </c>
      <c r="Z4" s="64" t="s">
        <v>462</v>
      </c>
      <c r="AA4" s="64" t="s">
        <v>463</v>
      </c>
      <c r="AB4" s="60" t="s">
        <v>464</v>
      </c>
      <c r="AC4" s="60" t="s">
        <v>451</v>
      </c>
      <c r="AD4" s="64" t="s">
        <v>481</v>
      </c>
      <c r="AE4" s="66" t="s">
        <v>482</v>
      </c>
      <c r="AF4" s="66" t="s">
        <v>482</v>
      </c>
      <c r="AG4" s="64" t="s">
        <v>467</v>
      </c>
      <c r="AH4" s="64" t="s">
        <v>467</v>
      </c>
      <c r="AI4" s="64">
        <v>655.0</v>
      </c>
      <c r="AJ4" s="64">
        <v>21.5</v>
      </c>
      <c r="AK4" s="67">
        <v>14082.5</v>
      </c>
      <c r="AL4" s="63"/>
      <c r="AM4" s="63"/>
      <c r="AN4" s="64">
        <v>21.5</v>
      </c>
      <c r="AO4" s="64" t="s">
        <v>468</v>
      </c>
      <c r="AP4" s="63"/>
      <c r="AQ4" s="63"/>
      <c r="AR4" s="63"/>
      <c r="AS4" s="63"/>
      <c r="AT4" s="63"/>
      <c r="AU4" s="63"/>
      <c r="AV4" s="68"/>
      <c r="AW4" s="58" t="s">
        <v>443</v>
      </c>
      <c r="AX4" s="69">
        <v>14082.5</v>
      </c>
      <c r="AY4" s="70"/>
      <c r="AZ4" s="70"/>
      <c r="BA4" s="70"/>
      <c r="BB4" s="70"/>
      <c r="BC4" s="58" t="s">
        <v>469</v>
      </c>
      <c r="BD4" s="58"/>
      <c r="BE4" s="58"/>
      <c r="BF4" s="58" t="s">
        <v>483</v>
      </c>
      <c r="BG4" s="58" t="s">
        <v>469</v>
      </c>
      <c r="BH4" s="69">
        <v>24.0</v>
      </c>
      <c r="BI4" s="69">
        <v>309600.0</v>
      </c>
      <c r="BJ4" s="58"/>
      <c r="BK4" s="58"/>
      <c r="BL4" s="58"/>
      <c r="BM4" s="58"/>
      <c r="BN4" s="58"/>
      <c r="BO4" s="58"/>
      <c r="BP4" s="58"/>
      <c r="BQ4" s="58"/>
      <c r="BR4" s="58"/>
    </row>
    <row r="5">
      <c r="A5" s="59">
        <v>45809.0</v>
      </c>
      <c r="B5" s="60" t="s">
        <v>451</v>
      </c>
      <c r="C5" s="61">
        <v>45809.0</v>
      </c>
      <c r="D5" s="61">
        <v>45809.0</v>
      </c>
      <c r="E5" s="60" t="s">
        <v>452</v>
      </c>
      <c r="F5" s="72" t="s">
        <v>484</v>
      </c>
      <c r="G5" s="63"/>
      <c r="H5" s="64" t="s">
        <v>454</v>
      </c>
      <c r="I5" s="64" t="s">
        <v>485</v>
      </c>
      <c r="J5" s="66" t="s">
        <v>486</v>
      </c>
      <c r="K5" s="66" t="s">
        <v>486</v>
      </c>
      <c r="L5" s="66">
        <v>22.0</v>
      </c>
      <c r="M5" s="66">
        <v>22.0</v>
      </c>
      <c r="N5" s="66" t="s">
        <v>457</v>
      </c>
      <c r="O5" s="66">
        <v>24.0</v>
      </c>
      <c r="P5" s="64" t="s">
        <v>487</v>
      </c>
      <c r="Q5" s="64" t="s">
        <v>459</v>
      </c>
      <c r="R5" s="64" t="s">
        <v>459</v>
      </c>
      <c r="S5" s="64">
        <v>140.0</v>
      </c>
      <c r="T5" s="64">
        <v>1540.0</v>
      </c>
      <c r="U5" s="64">
        <v>140.0</v>
      </c>
      <c r="V5" s="64">
        <v>1540.0</v>
      </c>
      <c r="W5" s="64">
        <v>1540.0</v>
      </c>
      <c r="X5" s="65" t="s">
        <v>460</v>
      </c>
      <c r="Y5" s="64" t="s">
        <v>461</v>
      </c>
      <c r="Z5" s="64" t="s">
        <v>462</v>
      </c>
      <c r="AA5" s="64" t="s">
        <v>463</v>
      </c>
      <c r="AB5" s="60" t="s">
        <v>464</v>
      </c>
      <c r="AC5" s="60" t="s">
        <v>451</v>
      </c>
      <c r="AD5" s="64" t="s">
        <v>488</v>
      </c>
      <c r="AE5" s="64" t="s">
        <v>489</v>
      </c>
      <c r="AF5" s="64" t="s">
        <v>489</v>
      </c>
      <c r="AG5" s="64" t="s">
        <v>467</v>
      </c>
      <c r="AH5" s="64" t="s">
        <v>467</v>
      </c>
      <c r="AI5" s="64">
        <v>760.0</v>
      </c>
      <c r="AJ5" s="64">
        <v>23.5</v>
      </c>
      <c r="AK5" s="67">
        <v>17860.0</v>
      </c>
      <c r="AL5" s="63"/>
      <c r="AM5" s="63"/>
      <c r="AN5" s="64">
        <v>23.5</v>
      </c>
      <c r="AO5" s="60" t="s">
        <v>468</v>
      </c>
      <c r="AP5" s="63"/>
      <c r="AQ5" s="63"/>
      <c r="AR5" s="63"/>
      <c r="AS5" s="63"/>
      <c r="AT5" s="63"/>
      <c r="AU5" s="63"/>
      <c r="AV5" s="63"/>
      <c r="AW5" s="58" t="s">
        <v>443</v>
      </c>
      <c r="AX5" s="69">
        <v>17860.0</v>
      </c>
      <c r="AY5" s="70"/>
      <c r="AZ5" s="70"/>
      <c r="BA5" s="70"/>
      <c r="BB5" s="70"/>
      <c r="BC5" s="58" t="s">
        <v>469</v>
      </c>
      <c r="BD5" s="58"/>
      <c r="BE5" s="58"/>
      <c r="BF5" s="58" t="s">
        <v>490</v>
      </c>
      <c r="BG5" s="58" t="s">
        <v>469</v>
      </c>
      <c r="BH5" s="69">
        <v>23.0</v>
      </c>
      <c r="BI5" s="69">
        <v>211916.3</v>
      </c>
      <c r="BJ5" s="58"/>
      <c r="BK5" s="58"/>
      <c r="BL5" s="58"/>
      <c r="BM5" s="58"/>
      <c r="BN5" s="58"/>
      <c r="BO5" s="58"/>
      <c r="BP5" s="58"/>
      <c r="BQ5" s="58"/>
      <c r="BR5" s="58"/>
    </row>
    <row r="6">
      <c r="A6" s="59">
        <v>45809.0</v>
      </c>
      <c r="B6" s="60" t="s">
        <v>451</v>
      </c>
      <c r="C6" s="61">
        <v>45809.0</v>
      </c>
      <c r="D6" s="61">
        <v>45809.0</v>
      </c>
      <c r="E6" s="60" t="s">
        <v>452</v>
      </c>
      <c r="F6" s="71" t="s">
        <v>491</v>
      </c>
      <c r="G6" s="63"/>
      <c r="H6" s="64" t="s">
        <v>492</v>
      </c>
      <c r="I6" s="64" t="s">
        <v>493</v>
      </c>
      <c r="J6" s="64" t="s">
        <v>456</v>
      </c>
      <c r="K6" s="64" t="s">
        <v>456</v>
      </c>
      <c r="L6" s="64">
        <v>28.0</v>
      </c>
      <c r="M6" s="64">
        <v>28.0</v>
      </c>
      <c r="N6" s="64" t="s">
        <v>457</v>
      </c>
      <c r="O6" s="64">
        <v>24.0</v>
      </c>
      <c r="P6" s="64" t="s">
        <v>494</v>
      </c>
      <c r="Q6" s="64" t="s">
        <v>459</v>
      </c>
      <c r="R6" s="64" t="s">
        <v>459</v>
      </c>
      <c r="S6" s="64">
        <v>663.0</v>
      </c>
      <c r="T6" s="64">
        <v>7293.0</v>
      </c>
      <c r="U6" s="64">
        <v>663.0</v>
      </c>
      <c r="V6" s="64">
        <v>7293.0</v>
      </c>
      <c r="W6" s="64">
        <v>7293.0</v>
      </c>
      <c r="X6" s="65" t="s">
        <v>460</v>
      </c>
      <c r="Y6" s="64" t="s">
        <v>461</v>
      </c>
      <c r="Z6" s="64" t="s">
        <v>462</v>
      </c>
      <c r="AA6" s="64" t="s">
        <v>463</v>
      </c>
      <c r="AB6" s="60" t="s">
        <v>464</v>
      </c>
      <c r="AC6" s="60" t="s">
        <v>451</v>
      </c>
      <c r="AD6" s="64" t="s">
        <v>495</v>
      </c>
      <c r="AE6" s="64" t="s">
        <v>496</v>
      </c>
      <c r="AF6" s="64" t="s">
        <v>496</v>
      </c>
      <c r="AG6" s="64" t="s">
        <v>467</v>
      </c>
      <c r="AH6" s="64" t="s">
        <v>467</v>
      </c>
      <c r="AI6" s="64">
        <v>570.0</v>
      </c>
      <c r="AJ6" s="60">
        <v>23.5</v>
      </c>
      <c r="AK6" s="67">
        <v>13395.0</v>
      </c>
      <c r="AL6" s="63"/>
      <c r="AM6" s="63"/>
      <c r="AN6" s="64">
        <v>23.5</v>
      </c>
      <c r="AO6" s="64" t="s">
        <v>468</v>
      </c>
      <c r="AP6" s="63"/>
      <c r="AQ6" s="63"/>
      <c r="AR6" s="63"/>
      <c r="AS6" s="63"/>
      <c r="AT6" s="63"/>
      <c r="AU6" s="63"/>
      <c r="AV6" s="63"/>
      <c r="AW6" s="58" t="s">
        <v>443</v>
      </c>
      <c r="AX6" s="69">
        <v>13395.0</v>
      </c>
      <c r="AY6" s="70"/>
      <c r="AZ6" s="70"/>
      <c r="BA6" s="70"/>
      <c r="BB6" s="70"/>
      <c r="BC6" s="58" t="s">
        <v>469</v>
      </c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</row>
    <row r="7">
      <c r="A7" s="59">
        <v>45809.0</v>
      </c>
      <c r="B7" s="60" t="s">
        <v>451</v>
      </c>
      <c r="C7" s="61">
        <v>45809.0</v>
      </c>
      <c r="D7" s="61">
        <v>45809.0</v>
      </c>
      <c r="E7" s="60" t="s">
        <v>452</v>
      </c>
      <c r="F7" s="71" t="s">
        <v>497</v>
      </c>
      <c r="G7" s="63"/>
      <c r="H7" s="64" t="s">
        <v>498</v>
      </c>
      <c r="I7" s="64" t="s">
        <v>499</v>
      </c>
      <c r="J7" s="66" t="s">
        <v>456</v>
      </c>
      <c r="K7" s="66" t="s">
        <v>456</v>
      </c>
      <c r="L7" s="66">
        <v>22.0</v>
      </c>
      <c r="M7" s="66">
        <v>22.0</v>
      </c>
      <c r="N7" s="66" t="s">
        <v>457</v>
      </c>
      <c r="O7" s="66">
        <v>24.0</v>
      </c>
      <c r="P7" s="64" t="s">
        <v>500</v>
      </c>
      <c r="Q7" s="64" t="s">
        <v>459</v>
      </c>
      <c r="R7" s="64" t="s">
        <v>459</v>
      </c>
      <c r="S7" s="64">
        <v>207.0</v>
      </c>
      <c r="T7" s="64">
        <v>2277.0</v>
      </c>
      <c r="U7" s="64">
        <v>207.0</v>
      </c>
      <c r="V7" s="64">
        <v>2277.0</v>
      </c>
      <c r="W7" s="64">
        <v>2277.0</v>
      </c>
      <c r="X7" s="65" t="s">
        <v>460</v>
      </c>
      <c r="Y7" s="64" t="s">
        <v>461</v>
      </c>
      <c r="Z7" s="64" t="s">
        <v>462</v>
      </c>
      <c r="AA7" s="64" t="s">
        <v>463</v>
      </c>
      <c r="AB7" s="60" t="s">
        <v>464</v>
      </c>
      <c r="AC7" s="60" t="s">
        <v>451</v>
      </c>
      <c r="AD7" s="64" t="s">
        <v>501</v>
      </c>
      <c r="AE7" s="64" t="s">
        <v>470</v>
      </c>
      <c r="AF7" s="64" t="s">
        <v>470</v>
      </c>
      <c r="AG7" s="64" t="s">
        <v>467</v>
      </c>
      <c r="AH7" s="64" t="s">
        <v>467</v>
      </c>
      <c r="AI7" s="64">
        <v>380.0</v>
      </c>
      <c r="AJ7" s="64">
        <v>21.5</v>
      </c>
      <c r="AK7" s="67">
        <v>8170.0</v>
      </c>
      <c r="AL7" s="63"/>
      <c r="AM7" s="63"/>
      <c r="AN7" s="64">
        <v>21.5</v>
      </c>
      <c r="AO7" s="64" t="s">
        <v>468</v>
      </c>
      <c r="AP7" s="63"/>
      <c r="AQ7" s="63"/>
      <c r="AR7" s="63"/>
      <c r="AS7" s="63"/>
      <c r="AT7" s="63"/>
      <c r="AU7" s="63"/>
      <c r="AV7" s="68"/>
      <c r="AW7" s="58" t="s">
        <v>443</v>
      </c>
      <c r="AX7" s="69">
        <v>8170.0</v>
      </c>
      <c r="AY7" s="70"/>
      <c r="AZ7" s="70"/>
      <c r="BA7" s="70"/>
      <c r="BB7" s="70"/>
      <c r="BC7" s="58" t="s">
        <v>469</v>
      </c>
      <c r="BD7" s="58"/>
      <c r="BE7" s="58"/>
      <c r="BF7" s="58" t="s">
        <v>502</v>
      </c>
      <c r="BG7" s="58" t="s">
        <v>469</v>
      </c>
      <c r="BH7" s="69">
        <v>6.0</v>
      </c>
      <c r="BI7" s="69">
        <v>49020.0</v>
      </c>
      <c r="BJ7" s="58"/>
      <c r="BK7" s="58"/>
      <c r="BL7" s="58"/>
      <c r="BM7" s="58"/>
      <c r="BN7" s="58"/>
      <c r="BO7" s="58"/>
      <c r="BP7" s="58"/>
      <c r="BQ7" s="58"/>
      <c r="BR7" s="58"/>
    </row>
    <row r="8">
      <c r="A8" s="59">
        <v>45809.0</v>
      </c>
      <c r="B8" s="60" t="s">
        <v>451</v>
      </c>
      <c r="C8" s="61">
        <v>45809.0</v>
      </c>
      <c r="D8" s="61">
        <v>45809.0</v>
      </c>
      <c r="E8" s="60" t="s">
        <v>452</v>
      </c>
      <c r="F8" s="71" t="s">
        <v>503</v>
      </c>
      <c r="G8" s="63"/>
      <c r="H8" s="64" t="s">
        <v>504</v>
      </c>
      <c r="I8" s="64" t="s">
        <v>505</v>
      </c>
      <c r="J8" s="64" t="s">
        <v>456</v>
      </c>
      <c r="K8" s="64" t="s">
        <v>456</v>
      </c>
      <c r="L8" s="64">
        <v>22.0</v>
      </c>
      <c r="M8" s="64">
        <v>22.0</v>
      </c>
      <c r="N8" s="64" t="s">
        <v>457</v>
      </c>
      <c r="O8" s="64">
        <v>24.0</v>
      </c>
      <c r="P8" s="64" t="s">
        <v>506</v>
      </c>
      <c r="Q8" s="64" t="s">
        <v>459</v>
      </c>
      <c r="R8" s="64" t="s">
        <v>459</v>
      </c>
      <c r="S8" s="64">
        <v>162.0</v>
      </c>
      <c r="T8" s="64">
        <v>1782.0</v>
      </c>
      <c r="U8" s="64">
        <v>162.0</v>
      </c>
      <c r="V8" s="64">
        <v>1782.0</v>
      </c>
      <c r="W8" s="64">
        <v>1782.0</v>
      </c>
      <c r="X8" s="65" t="s">
        <v>460</v>
      </c>
      <c r="Y8" s="64" t="s">
        <v>461</v>
      </c>
      <c r="Z8" s="64" t="s">
        <v>462</v>
      </c>
      <c r="AA8" s="64" t="s">
        <v>463</v>
      </c>
      <c r="AB8" s="60" t="s">
        <v>464</v>
      </c>
      <c r="AC8" s="60" t="s">
        <v>451</v>
      </c>
      <c r="AD8" s="66" t="s">
        <v>507</v>
      </c>
      <c r="AE8" s="64" t="s">
        <v>508</v>
      </c>
      <c r="AF8" s="64" t="s">
        <v>509</v>
      </c>
      <c r="AG8" s="64" t="s">
        <v>467</v>
      </c>
      <c r="AH8" s="64" t="s">
        <v>467</v>
      </c>
      <c r="AI8" s="66">
        <v>790.0</v>
      </c>
      <c r="AJ8" s="66">
        <v>21.5</v>
      </c>
      <c r="AK8" s="67">
        <v>16985.0</v>
      </c>
      <c r="AL8" s="63"/>
      <c r="AM8" s="63"/>
      <c r="AN8" s="64">
        <v>21.5</v>
      </c>
      <c r="AO8" s="64" t="s">
        <v>468</v>
      </c>
      <c r="AP8" s="63"/>
      <c r="AQ8" s="63"/>
      <c r="AR8" s="63"/>
      <c r="AS8" s="73">
        <v>0.5</v>
      </c>
      <c r="AT8" s="64">
        <v>8492.5</v>
      </c>
      <c r="AU8" s="60" t="s">
        <v>510</v>
      </c>
      <c r="AV8" s="74" t="s">
        <v>511</v>
      </c>
      <c r="AW8" s="58" t="s">
        <v>512</v>
      </c>
      <c r="AX8" s="69">
        <v>8492.5</v>
      </c>
      <c r="AY8" s="70"/>
      <c r="AZ8" s="70"/>
      <c r="BA8" s="69">
        <v>8492.5</v>
      </c>
      <c r="BB8" s="70"/>
      <c r="BC8" s="58" t="s">
        <v>469</v>
      </c>
      <c r="BD8" s="58"/>
      <c r="BE8" s="58"/>
      <c r="BF8" s="58" t="s">
        <v>513</v>
      </c>
      <c r="BG8" s="58" t="s">
        <v>469</v>
      </c>
      <c r="BH8" s="69">
        <v>4.0</v>
      </c>
      <c r="BI8" s="69">
        <v>73320.0</v>
      </c>
      <c r="BJ8" s="58"/>
      <c r="BK8" s="58"/>
      <c r="BL8" s="58"/>
      <c r="BM8" s="58"/>
      <c r="BN8" s="58"/>
      <c r="BO8" s="58"/>
      <c r="BP8" s="58"/>
      <c r="BQ8" s="58"/>
      <c r="BR8" s="58"/>
    </row>
    <row r="9">
      <c r="A9" s="59">
        <v>45809.0</v>
      </c>
      <c r="B9" s="60" t="s">
        <v>451</v>
      </c>
      <c r="C9" s="61">
        <v>45809.0</v>
      </c>
      <c r="D9" s="61">
        <v>45809.0</v>
      </c>
      <c r="E9" s="60" t="s">
        <v>452</v>
      </c>
      <c r="F9" s="72" t="s">
        <v>514</v>
      </c>
      <c r="G9" s="63"/>
      <c r="H9" s="64" t="s">
        <v>504</v>
      </c>
      <c r="I9" s="64" t="s">
        <v>515</v>
      </c>
      <c r="J9" s="66" t="s">
        <v>456</v>
      </c>
      <c r="K9" s="66" t="s">
        <v>456</v>
      </c>
      <c r="L9" s="66">
        <v>22.0</v>
      </c>
      <c r="M9" s="66">
        <v>22.0</v>
      </c>
      <c r="N9" s="66" t="s">
        <v>457</v>
      </c>
      <c r="O9" s="66">
        <v>24.0</v>
      </c>
      <c r="P9" s="64" t="s">
        <v>516</v>
      </c>
      <c r="Q9" s="64" t="s">
        <v>459</v>
      </c>
      <c r="R9" s="64" t="s">
        <v>459</v>
      </c>
      <c r="S9" s="64">
        <v>178.0</v>
      </c>
      <c r="T9" s="64">
        <v>1958.0</v>
      </c>
      <c r="U9" s="64">
        <v>178.0</v>
      </c>
      <c r="V9" s="64">
        <v>1958.0</v>
      </c>
      <c r="W9" s="64">
        <v>1958.0</v>
      </c>
      <c r="X9" s="65" t="s">
        <v>460</v>
      </c>
      <c r="Y9" s="64" t="s">
        <v>461</v>
      </c>
      <c r="Z9" s="64" t="s">
        <v>462</v>
      </c>
      <c r="AA9" s="64" t="s">
        <v>463</v>
      </c>
      <c r="AB9" s="60" t="s">
        <v>464</v>
      </c>
      <c r="AC9" s="60" t="s">
        <v>451</v>
      </c>
      <c r="AD9" s="64" t="s">
        <v>517</v>
      </c>
      <c r="AE9" s="64" t="s">
        <v>518</v>
      </c>
      <c r="AF9" s="64" t="s">
        <v>518</v>
      </c>
      <c r="AG9" s="64" t="s">
        <v>467</v>
      </c>
      <c r="AH9" s="64" t="s">
        <v>467</v>
      </c>
      <c r="AI9" s="64">
        <v>815.0</v>
      </c>
      <c r="AJ9" s="64">
        <v>21.5</v>
      </c>
      <c r="AK9" s="67">
        <v>17522.5</v>
      </c>
      <c r="AL9" s="63"/>
      <c r="AM9" s="63"/>
      <c r="AN9" s="64">
        <v>21.5</v>
      </c>
      <c r="AO9" s="64" t="s">
        <v>468</v>
      </c>
      <c r="AP9" s="63"/>
      <c r="AQ9" s="63"/>
      <c r="AR9" s="63"/>
      <c r="AS9" s="63"/>
      <c r="AT9" s="63"/>
      <c r="AU9" s="63"/>
      <c r="AV9" s="68"/>
      <c r="AW9" s="58" t="s">
        <v>512</v>
      </c>
      <c r="AX9" s="69">
        <v>17522.5</v>
      </c>
      <c r="AY9" s="70"/>
      <c r="AZ9" s="70"/>
      <c r="BA9" s="70"/>
      <c r="BB9" s="70"/>
      <c r="BC9" s="58" t="s">
        <v>469</v>
      </c>
      <c r="BD9" s="58"/>
      <c r="BE9" s="58"/>
      <c r="BF9" s="58" t="s">
        <v>519</v>
      </c>
      <c r="BG9" s="58" t="s">
        <v>469</v>
      </c>
      <c r="BH9" s="69">
        <v>1.0</v>
      </c>
      <c r="BI9" s="69">
        <v>18330.0</v>
      </c>
      <c r="BJ9" s="58"/>
      <c r="BK9" s="58"/>
      <c r="BL9" s="58"/>
      <c r="BM9" s="58"/>
      <c r="BN9" s="58"/>
      <c r="BO9" s="58"/>
      <c r="BP9" s="58"/>
      <c r="BQ9" s="58"/>
      <c r="BR9" s="58"/>
    </row>
    <row r="10">
      <c r="A10" s="59">
        <v>45809.0</v>
      </c>
      <c r="B10" s="60" t="s">
        <v>451</v>
      </c>
      <c r="C10" s="61">
        <v>45809.0</v>
      </c>
      <c r="D10" s="61">
        <v>45809.0</v>
      </c>
      <c r="E10" s="60" t="s">
        <v>452</v>
      </c>
      <c r="F10" s="71" t="s">
        <v>520</v>
      </c>
      <c r="G10" s="63"/>
      <c r="H10" s="64" t="s">
        <v>521</v>
      </c>
      <c r="I10" s="64" t="s">
        <v>522</v>
      </c>
      <c r="J10" s="64" t="s">
        <v>456</v>
      </c>
      <c r="K10" s="64" t="s">
        <v>456</v>
      </c>
      <c r="L10" s="64">
        <v>22.0</v>
      </c>
      <c r="M10" s="64">
        <v>22.0</v>
      </c>
      <c r="N10" s="64" t="s">
        <v>457</v>
      </c>
      <c r="O10" s="64">
        <v>24.0</v>
      </c>
      <c r="P10" s="64" t="s">
        <v>523</v>
      </c>
      <c r="Q10" s="64" t="s">
        <v>459</v>
      </c>
      <c r="R10" s="64" t="s">
        <v>459</v>
      </c>
      <c r="S10" s="64">
        <v>140.0</v>
      </c>
      <c r="T10" s="64">
        <v>1540.0</v>
      </c>
      <c r="U10" s="64">
        <v>140.0</v>
      </c>
      <c r="V10" s="64">
        <v>1540.0</v>
      </c>
      <c r="W10" s="64">
        <v>1540.0</v>
      </c>
      <c r="X10" s="65" t="s">
        <v>460</v>
      </c>
      <c r="Y10" s="64" t="s">
        <v>461</v>
      </c>
      <c r="Z10" s="64" t="s">
        <v>462</v>
      </c>
      <c r="AA10" s="64" t="s">
        <v>463</v>
      </c>
      <c r="AB10" s="60" t="s">
        <v>464</v>
      </c>
      <c r="AC10" s="60" t="s">
        <v>451</v>
      </c>
      <c r="AD10" s="66" t="s">
        <v>524</v>
      </c>
      <c r="AE10" s="66" t="s">
        <v>483</v>
      </c>
      <c r="AF10" s="66" t="s">
        <v>483</v>
      </c>
      <c r="AG10" s="64" t="s">
        <v>467</v>
      </c>
      <c r="AH10" s="64" t="s">
        <v>467</v>
      </c>
      <c r="AI10" s="66">
        <v>600.0</v>
      </c>
      <c r="AJ10" s="66">
        <v>21.5</v>
      </c>
      <c r="AK10" s="67">
        <v>12900.0</v>
      </c>
      <c r="AL10" s="63"/>
      <c r="AM10" s="63"/>
      <c r="AN10" s="64">
        <v>21.5</v>
      </c>
      <c r="AO10" s="64" t="s">
        <v>468</v>
      </c>
      <c r="AP10" s="63"/>
      <c r="AQ10" s="63"/>
      <c r="AR10" s="63"/>
      <c r="AS10" s="63"/>
      <c r="AT10" s="63"/>
      <c r="AU10" s="63"/>
      <c r="AV10" s="68"/>
      <c r="AW10" s="58" t="s">
        <v>512</v>
      </c>
      <c r="AX10" s="69">
        <v>12900.0</v>
      </c>
      <c r="AY10" s="70"/>
      <c r="AZ10" s="70"/>
      <c r="BA10" s="70"/>
      <c r="BB10" s="70"/>
      <c r="BC10" s="58" t="s">
        <v>469</v>
      </c>
      <c r="BD10" s="58"/>
      <c r="BE10" s="58"/>
      <c r="BF10" s="58" t="s">
        <v>525</v>
      </c>
      <c r="BG10" s="58" t="s">
        <v>469</v>
      </c>
      <c r="BH10" s="69">
        <v>22.0</v>
      </c>
      <c r="BI10" s="69">
        <v>380000.0</v>
      </c>
      <c r="BJ10" s="58"/>
      <c r="BK10" s="58"/>
      <c r="BL10" s="58"/>
      <c r="BM10" s="58"/>
      <c r="BN10" s="58"/>
      <c r="BO10" s="58"/>
      <c r="BP10" s="58"/>
      <c r="BQ10" s="58"/>
      <c r="BR10" s="58"/>
    </row>
    <row r="11">
      <c r="A11" s="59">
        <v>45809.0</v>
      </c>
      <c r="B11" s="60" t="s">
        <v>451</v>
      </c>
      <c r="C11" s="61">
        <v>45809.0</v>
      </c>
      <c r="D11" s="61">
        <v>45809.0</v>
      </c>
      <c r="E11" s="60" t="s">
        <v>452</v>
      </c>
      <c r="F11" s="72" t="s">
        <v>526</v>
      </c>
      <c r="G11" s="63"/>
      <c r="H11" s="64" t="s">
        <v>492</v>
      </c>
      <c r="I11" s="64" t="s">
        <v>527</v>
      </c>
      <c r="J11" s="66" t="s">
        <v>456</v>
      </c>
      <c r="K11" s="66" t="s">
        <v>456</v>
      </c>
      <c r="L11" s="66">
        <v>22.0</v>
      </c>
      <c r="M11" s="66">
        <v>22.0</v>
      </c>
      <c r="N11" s="66" t="s">
        <v>457</v>
      </c>
      <c r="O11" s="66">
        <v>24.0</v>
      </c>
      <c r="P11" s="64" t="s">
        <v>528</v>
      </c>
      <c r="Q11" s="64" t="s">
        <v>459</v>
      </c>
      <c r="R11" s="64" t="s">
        <v>459</v>
      </c>
      <c r="S11" s="64">
        <v>48.0</v>
      </c>
      <c r="T11" s="64">
        <v>528.0</v>
      </c>
      <c r="U11" s="64">
        <v>48.0</v>
      </c>
      <c r="V11" s="64">
        <v>528.0</v>
      </c>
      <c r="W11" s="64">
        <v>528.0</v>
      </c>
      <c r="X11" s="65" t="s">
        <v>460</v>
      </c>
      <c r="Y11" s="64" t="s">
        <v>461</v>
      </c>
      <c r="Z11" s="64" t="s">
        <v>462</v>
      </c>
      <c r="AA11" s="64" t="s">
        <v>463</v>
      </c>
      <c r="AB11" s="60" t="s">
        <v>464</v>
      </c>
      <c r="AC11" s="60" t="s">
        <v>451</v>
      </c>
      <c r="AD11" s="60" t="s">
        <v>529</v>
      </c>
      <c r="AE11" s="64" t="s">
        <v>530</v>
      </c>
      <c r="AF11" s="64" t="s">
        <v>530</v>
      </c>
      <c r="AG11" s="64" t="s">
        <v>467</v>
      </c>
      <c r="AH11" s="64" t="s">
        <v>467</v>
      </c>
      <c r="AI11" s="66">
        <v>510.0</v>
      </c>
      <c r="AJ11" s="66">
        <v>21.5</v>
      </c>
      <c r="AK11" s="67">
        <v>10965.0</v>
      </c>
      <c r="AL11" s="63"/>
      <c r="AM11" s="63"/>
      <c r="AN11" s="64">
        <v>21.5</v>
      </c>
      <c r="AO11" s="64" t="s">
        <v>468</v>
      </c>
      <c r="AP11" s="63"/>
      <c r="AQ11" s="63"/>
      <c r="AR11" s="63"/>
      <c r="AS11" s="63"/>
      <c r="AT11" s="63"/>
      <c r="AU11" s="63"/>
      <c r="AV11" s="68"/>
      <c r="AW11" s="58" t="s">
        <v>512</v>
      </c>
      <c r="AX11" s="69">
        <v>10965.0</v>
      </c>
      <c r="AY11" s="70"/>
      <c r="AZ11" s="70"/>
      <c r="BA11" s="70"/>
      <c r="BB11" s="70"/>
      <c r="BC11" s="58" t="s">
        <v>469</v>
      </c>
      <c r="BD11" s="58"/>
      <c r="BE11" s="58"/>
      <c r="BF11" s="58" t="s">
        <v>531</v>
      </c>
      <c r="BG11" s="58" t="s">
        <v>469</v>
      </c>
      <c r="BH11" s="69">
        <v>14.0</v>
      </c>
      <c r="BI11" s="69">
        <v>153510.0</v>
      </c>
      <c r="BJ11" s="58"/>
      <c r="BK11" s="58"/>
      <c r="BL11" s="58"/>
      <c r="BM11" s="58"/>
      <c r="BN11" s="58"/>
      <c r="BO11" s="58"/>
      <c r="BP11" s="58"/>
      <c r="BQ11" s="58"/>
      <c r="BR11" s="58"/>
    </row>
    <row r="12">
      <c r="A12" s="59">
        <v>45809.0</v>
      </c>
      <c r="B12" s="60" t="s">
        <v>451</v>
      </c>
      <c r="C12" s="61">
        <v>45809.0</v>
      </c>
      <c r="D12" s="61">
        <v>45809.0</v>
      </c>
      <c r="E12" s="60" t="s">
        <v>452</v>
      </c>
      <c r="F12" s="71" t="s">
        <v>532</v>
      </c>
      <c r="G12" s="63"/>
      <c r="H12" s="64" t="s">
        <v>492</v>
      </c>
      <c r="I12" s="64" t="s">
        <v>533</v>
      </c>
      <c r="J12" s="64" t="s">
        <v>486</v>
      </c>
      <c r="K12" s="64" t="s">
        <v>486</v>
      </c>
      <c r="L12" s="64">
        <v>22.0</v>
      </c>
      <c r="M12" s="64">
        <v>22.0</v>
      </c>
      <c r="N12" s="64" t="s">
        <v>457</v>
      </c>
      <c r="O12" s="64">
        <v>24.0</v>
      </c>
      <c r="P12" s="64" t="s">
        <v>534</v>
      </c>
      <c r="Q12" s="64" t="s">
        <v>459</v>
      </c>
      <c r="R12" s="64" t="s">
        <v>459</v>
      </c>
      <c r="S12" s="64">
        <v>205.0</v>
      </c>
      <c r="T12" s="64">
        <v>2255.0</v>
      </c>
      <c r="U12" s="64">
        <v>205.0</v>
      </c>
      <c r="V12" s="64">
        <v>2255.0</v>
      </c>
      <c r="W12" s="64">
        <v>2255.0</v>
      </c>
      <c r="X12" s="65" t="s">
        <v>460</v>
      </c>
      <c r="Y12" s="64" t="s">
        <v>461</v>
      </c>
      <c r="Z12" s="64" t="s">
        <v>462</v>
      </c>
      <c r="AA12" s="64" t="s">
        <v>463</v>
      </c>
      <c r="AB12" s="60" t="s">
        <v>464</v>
      </c>
      <c r="AC12" s="60" t="s">
        <v>451</v>
      </c>
      <c r="AD12" s="60" t="s">
        <v>529</v>
      </c>
      <c r="AE12" s="64" t="s">
        <v>535</v>
      </c>
      <c r="AF12" s="64" t="s">
        <v>535</v>
      </c>
      <c r="AG12" s="64" t="s">
        <v>467</v>
      </c>
      <c r="AH12" s="64" t="s">
        <v>467</v>
      </c>
      <c r="AI12" s="66">
        <v>510.0</v>
      </c>
      <c r="AJ12" s="66">
        <v>23.5</v>
      </c>
      <c r="AK12" s="67">
        <v>11985.0</v>
      </c>
      <c r="AL12" s="63"/>
      <c r="AM12" s="63"/>
      <c r="AN12" s="64">
        <v>23.5</v>
      </c>
      <c r="AO12" s="64" t="s">
        <v>468</v>
      </c>
      <c r="AP12" s="63"/>
      <c r="AQ12" s="63"/>
      <c r="AR12" s="63"/>
      <c r="AS12" s="63"/>
      <c r="AT12" s="63"/>
      <c r="AU12" s="63"/>
      <c r="AV12" s="68"/>
      <c r="AW12" s="58" t="s">
        <v>512</v>
      </c>
      <c r="AX12" s="69">
        <v>11985.0</v>
      </c>
      <c r="AY12" s="70"/>
      <c r="AZ12" s="70"/>
      <c r="BA12" s="70"/>
      <c r="BB12" s="70"/>
      <c r="BC12" s="58" t="s">
        <v>469</v>
      </c>
      <c r="BD12" s="58"/>
      <c r="BE12" s="58"/>
      <c r="BF12" s="58" t="s">
        <v>536</v>
      </c>
      <c r="BG12" s="58" t="s">
        <v>469</v>
      </c>
      <c r="BH12" s="69">
        <v>1.0</v>
      </c>
      <c r="BI12" s="69">
        <v>10965.0</v>
      </c>
      <c r="BJ12" s="58"/>
      <c r="BK12" s="58"/>
      <c r="BL12" s="58"/>
      <c r="BM12" s="58"/>
      <c r="BN12" s="58"/>
      <c r="BO12" s="58"/>
      <c r="BP12" s="58"/>
      <c r="BQ12" s="58"/>
      <c r="BR12" s="58"/>
    </row>
    <row r="13">
      <c r="A13" s="59">
        <v>45809.0</v>
      </c>
      <c r="B13" s="60" t="s">
        <v>451</v>
      </c>
      <c r="C13" s="61">
        <v>45809.0</v>
      </c>
      <c r="D13" s="61">
        <v>45809.0</v>
      </c>
      <c r="E13" s="60" t="s">
        <v>452</v>
      </c>
      <c r="F13" s="72" t="s">
        <v>537</v>
      </c>
      <c r="G13" s="63"/>
      <c r="H13" s="64" t="s">
        <v>538</v>
      </c>
      <c r="I13" s="64" t="s">
        <v>539</v>
      </c>
      <c r="J13" s="66" t="s">
        <v>456</v>
      </c>
      <c r="K13" s="66" t="s">
        <v>456</v>
      </c>
      <c r="L13" s="66">
        <v>32.0</v>
      </c>
      <c r="M13" s="66">
        <v>32.0</v>
      </c>
      <c r="N13" s="66" t="s">
        <v>540</v>
      </c>
      <c r="O13" s="66">
        <v>24.0</v>
      </c>
      <c r="P13" s="75">
        <v>2.41E8</v>
      </c>
      <c r="Q13" s="64" t="s">
        <v>459</v>
      </c>
      <c r="R13" s="64" t="s">
        <v>459</v>
      </c>
      <c r="S13" s="64">
        <v>148.0</v>
      </c>
      <c r="T13" s="64">
        <v>1628.0</v>
      </c>
      <c r="U13" s="64">
        <v>148.0</v>
      </c>
      <c r="V13" s="64">
        <v>1628.0</v>
      </c>
      <c r="W13" s="64">
        <v>1628.0</v>
      </c>
      <c r="X13" s="65" t="s">
        <v>460</v>
      </c>
      <c r="Y13" s="64" t="s">
        <v>461</v>
      </c>
      <c r="Z13" s="64" t="s">
        <v>462</v>
      </c>
      <c r="AA13" s="64" t="s">
        <v>463</v>
      </c>
      <c r="AB13" s="60" t="s">
        <v>464</v>
      </c>
      <c r="AC13" s="60" t="s">
        <v>451</v>
      </c>
      <c r="AD13" s="66" t="s">
        <v>541</v>
      </c>
      <c r="AE13" s="66" t="s">
        <v>490</v>
      </c>
      <c r="AF13" s="66" t="s">
        <v>490</v>
      </c>
      <c r="AG13" s="64" t="s">
        <v>467</v>
      </c>
      <c r="AH13" s="64" t="s">
        <v>467</v>
      </c>
      <c r="AI13" s="66">
        <v>325.0</v>
      </c>
      <c r="AJ13" s="66">
        <v>28.4</v>
      </c>
      <c r="AK13" s="67">
        <v>9213.75</v>
      </c>
      <c r="AL13" s="63"/>
      <c r="AM13" s="63"/>
      <c r="AN13" s="64">
        <v>28.35</v>
      </c>
      <c r="AO13" s="64" t="s">
        <v>468</v>
      </c>
      <c r="AP13" s="63"/>
      <c r="AQ13" s="63"/>
      <c r="AR13" s="63"/>
      <c r="AS13" s="63"/>
      <c r="AT13" s="63"/>
      <c r="AU13" s="63"/>
      <c r="AV13" s="68"/>
      <c r="AW13" s="58" t="s">
        <v>512</v>
      </c>
      <c r="AX13" s="69">
        <v>9213.75</v>
      </c>
      <c r="AY13" s="70"/>
      <c r="AZ13" s="70"/>
      <c r="BA13" s="70"/>
      <c r="BB13" s="70"/>
      <c r="BC13" s="58" t="s">
        <v>469</v>
      </c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</row>
    <row r="14">
      <c r="A14" s="59">
        <v>45809.0</v>
      </c>
      <c r="B14" s="60" t="s">
        <v>451</v>
      </c>
      <c r="C14" s="61">
        <v>45809.0</v>
      </c>
      <c r="D14" s="61">
        <v>45809.0</v>
      </c>
      <c r="E14" s="60" t="s">
        <v>452</v>
      </c>
      <c r="F14" s="71" t="s">
        <v>542</v>
      </c>
      <c r="G14" s="63"/>
      <c r="H14" s="64" t="s">
        <v>521</v>
      </c>
      <c r="I14" s="64" t="s">
        <v>543</v>
      </c>
      <c r="J14" s="64" t="s">
        <v>456</v>
      </c>
      <c r="K14" s="64" t="s">
        <v>456</v>
      </c>
      <c r="L14" s="64">
        <v>22.0</v>
      </c>
      <c r="M14" s="64">
        <v>22.0</v>
      </c>
      <c r="N14" s="64" t="s">
        <v>457</v>
      </c>
      <c r="O14" s="64">
        <v>24.0</v>
      </c>
      <c r="P14" s="75">
        <v>2.41E8</v>
      </c>
      <c r="Q14" s="64" t="s">
        <v>459</v>
      </c>
      <c r="R14" s="64" t="s">
        <v>459</v>
      </c>
      <c r="S14" s="64">
        <v>195.0</v>
      </c>
      <c r="T14" s="64">
        <v>2145.0</v>
      </c>
      <c r="U14" s="64">
        <v>195.0</v>
      </c>
      <c r="V14" s="64">
        <v>2145.0</v>
      </c>
      <c r="W14" s="64">
        <v>2145.0</v>
      </c>
      <c r="X14" s="65" t="s">
        <v>460</v>
      </c>
      <c r="Y14" s="64" t="s">
        <v>461</v>
      </c>
      <c r="Z14" s="64" t="s">
        <v>462</v>
      </c>
      <c r="AA14" s="64" t="s">
        <v>463</v>
      </c>
      <c r="AB14" s="60" t="s">
        <v>464</v>
      </c>
      <c r="AC14" s="60" t="s">
        <v>451</v>
      </c>
      <c r="AD14" s="60" t="s">
        <v>544</v>
      </c>
      <c r="AE14" s="64" t="s">
        <v>545</v>
      </c>
      <c r="AF14" s="64" t="s">
        <v>546</v>
      </c>
      <c r="AG14" s="64" t="s">
        <v>467</v>
      </c>
      <c r="AH14" s="64" t="s">
        <v>467</v>
      </c>
      <c r="AI14" s="64">
        <v>440.0</v>
      </c>
      <c r="AJ14" s="64">
        <v>21.5</v>
      </c>
      <c r="AK14" s="67">
        <v>9460.0</v>
      </c>
      <c r="AL14" s="63"/>
      <c r="AM14" s="63"/>
      <c r="AN14" s="64">
        <v>21.5</v>
      </c>
      <c r="AO14" s="60" t="s">
        <v>468</v>
      </c>
      <c r="AP14" s="63"/>
      <c r="AQ14" s="63"/>
      <c r="AR14" s="63"/>
      <c r="AS14" s="63"/>
      <c r="AT14" s="63"/>
      <c r="AU14" s="63"/>
      <c r="AV14" s="63"/>
      <c r="AW14" s="58" t="s">
        <v>512</v>
      </c>
      <c r="AX14" s="69">
        <v>9460.0</v>
      </c>
      <c r="AY14" s="70"/>
      <c r="AZ14" s="70"/>
      <c r="BA14" s="70"/>
      <c r="BB14" s="70"/>
      <c r="BC14" s="58" t="s">
        <v>469</v>
      </c>
      <c r="BD14" s="58"/>
      <c r="BE14" s="58"/>
      <c r="BF14" s="58" t="s">
        <v>547</v>
      </c>
      <c r="BG14" s="58" t="s">
        <v>469</v>
      </c>
      <c r="BH14" s="69">
        <v>8.0</v>
      </c>
      <c r="BI14" s="69">
        <v>133980.0</v>
      </c>
      <c r="BJ14" s="58"/>
      <c r="BK14" s="58"/>
      <c r="BL14" s="58"/>
      <c r="BM14" s="58"/>
      <c r="BN14" s="58"/>
      <c r="BO14" s="58"/>
      <c r="BP14" s="58"/>
      <c r="BQ14" s="58"/>
      <c r="BR14" s="58"/>
    </row>
    <row r="15">
      <c r="A15" s="59">
        <v>45809.0</v>
      </c>
      <c r="B15" s="60" t="s">
        <v>451</v>
      </c>
      <c r="C15" s="61">
        <v>45809.0</v>
      </c>
      <c r="D15" s="61">
        <v>45809.0</v>
      </c>
      <c r="E15" s="60" t="s">
        <v>452</v>
      </c>
      <c r="F15" s="72" t="s">
        <v>548</v>
      </c>
      <c r="G15" s="63"/>
      <c r="H15" s="64" t="s">
        <v>498</v>
      </c>
      <c r="I15" s="64" t="s">
        <v>549</v>
      </c>
      <c r="J15" s="66" t="s">
        <v>456</v>
      </c>
      <c r="K15" s="66" t="s">
        <v>456</v>
      </c>
      <c r="L15" s="66">
        <v>22.0</v>
      </c>
      <c r="M15" s="66">
        <v>22.0</v>
      </c>
      <c r="N15" s="66" t="s">
        <v>457</v>
      </c>
      <c r="O15" s="66">
        <v>24.0</v>
      </c>
      <c r="P15" s="64" t="s">
        <v>550</v>
      </c>
      <c r="Q15" s="64" t="s">
        <v>459</v>
      </c>
      <c r="R15" s="64" t="s">
        <v>459</v>
      </c>
      <c r="S15" s="64">
        <v>231.0</v>
      </c>
      <c r="T15" s="64">
        <v>2541.0</v>
      </c>
      <c r="U15" s="64">
        <v>231.0</v>
      </c>
      <c r="V15" s="64">
        <v>2541.0</v>
      </c>
      <c r="W15" s="64">
        <v>2541.0</v>
      </c>
      <c r="X15" s="65" t="s">
        <v>460</v>
      </c>
      <c r="Y15" s="64" t="s">
        <v>461</v>
      </c>
      <c r="Z15" s="64" t="s">
        <v>462</v>
      </c>
      <c r="AA15" s="64" t="s">
        <v>463</v>
      </c>
      <c r="AB15" s="60" t="s">
        <v>464</v>
      </c>
      <c r="AC15" s="60" t="s">
        <v>451</v>
      </c>
      <c r="AD15" s="66" t="s">
        <v>551</v>
      </c>
      <c r="AE15" s="66" t="s">
        <v>552</v>
      </c>
      <c r="AF15" s="66" t="s">
        <v>552</v>
      </c>
      <c r="AG15" s="64" t="s">
        <v>467</v>
      </c>
      <c r="AH15" s="64" t="s">
        <v>467</v>
      </c>
      <c r="AI15" s="64">
        <v>440.0</v>
      </c>
      <c r="AJ15" s="64">
        <v>21.5</v>
      </c>
      <c r="AK15" s="67">
        <v>9460.0</v>
      </c>
      <c r="AL15" s="63"/>
      <c r="AM15" s="63"/>
      <c r="AN15" s="64">
        <v>21.5</v>
      </c>
      <c r="AO15" s="64" t="s">
        <v>468</v>
      </c>
      <c r="AP15" s="63"/>
      <c r="AQ15" s="63"/>
      <c r="AR15" s="63"/>
      <c r="AS15" s="63"/>
      <c r="AT15" s="63"/>
      <c r="AU15" s="63"/>
      <c r="AV15" s="68"/>
      <c r="AW15" s="58" t="s">
        <v>512</v>
      </c>
      <c r="AX15" s="69">
        <v>9460.0</v>
      </c>
      <c r="AY15" s="70"/>
      <c r="AZ15" s="70"/>
      <c r="BA15" s="70"/>
      <c r="BB15" s="70"/>
      <c r="BC15" s="58" t="s">
        <v>469</v>
      </c>
      <c r="BD15" s="58"/>
      <c r="BE15" s="58"/>
      <c r="BF15" s="58" t="s">
        <v>553</v>
      </c>
      <c r="BG15" s="58" t="s">
        <v>469</v>
      </c>
      <c r="BH15" s="69">
        <v>3.0</v>
      </c>
      <c r="BI15" s="69">
        <v>49665.0</v>
      </c>
      <c r="BJ15" s="58"/>
      <c r="BK15" s="58"/>
      <c r="BL15" s="58"/>
      <c r="BM15" s="58"/>
      <c r="BN15" s="58"/>
      <c r="BO15" s="58"/>
      <c r="BP15" s="58"/>
      <c r="BQ15" s="58"/>
      <c r="BR15" s="58"/>
    </row>
    <row r="16">
      <c r="A16" s="59">
        <v>45809.0</v>
      </c>
      <c r="B16" s="60" t="s">
        <v>451</v>
      </c>
      <c r="C16" s="61">
        <v>45809.0</v>
      </c>
      <c r="D16" s="61">
        <v>45809.0</v>
      </c>
      <c r="E16" s="60" t="s">
        <v>452</v>
      </c>
      <c r="F16" s="71" t="s">
        <v>554</v>
      </c>
      <c r="G16" s="63"/>
      <c r="H16" s="64" t="s">
        <v>521</v>
      </c>
      <c r="I16" s="64" t="s">
        <v>555</v>
      </c>
      <c r="J16" s="64" t="s">
        <v>456</v>
      </c>
      <c r="K16" s="64" t="s">
        <v>456</v>
      </c>
      <c r="L16" s="64">
        <v>22.0</v>
      </c>
      <c r="M16" s="64">
        <v>22.0</v>
      </c>
      <c r="N16" s="64" t="s">
        <v>457</v>
      </c>
      <c r="O16" s="64">
        <v>24.0</v>
      </c>
      <c r="P16" s="64" t="s">
        <v>556</v>
      </c>
      <c r="Q16" s="64" t="s">
        <v>459</v>
      </c>
      <c r="R16" s="64" t="s">
        <v>459</v>
      </c>
      <c r="S16" s="64">
        <v>219.0</v>
      </c>
      <c r="T16" s="64">
        <v>2409.0</v>
      </c>
      <c r="U16" s="64">
        <v>219.0</v>
      </c>
      <c r="V16" s="64">
        <v>2409.0</v>
      </c>
      <c r="W16" s="64">
        <v>2409.0</v>
      </c>
      <c r="X16" s="76" t="s">
        <v>460</v>
      </c>
      <c r="Y16" s="64" t="s">
        <v>461</v>
      </c>
      <c r="Z16" s="64" t="s">
        <v>462</v>
      </c>
      <c r="AA16" s="64" t="s">
        <v>463</v>
      </c>
      <c r="AB16" s="60" t="s">
        <v>464</v>
      </c>
      <c r="AC16" s="60" t="s">
        <v>451</v>
      </c>
      <c r="AD16" s="66" t="s">
        <v>557</v>
      </c>
      <c r="AE16" s="64" t="s">
        <v>525</v>
      </c>
      <c r="AF16" s="64" t="s">
        <v>525</v>
      </c>
      <c r="AG16" s="64" t="s">
        <v>467</v>
      </c>
      <c r="AH16" s="64" t="s">
        <v>467</v>
      </c>
      <c r="AI16" s="66">
        <v>800.0</v>
      </c>
      <c r="AJ16" s="64">
        <v>21.5</v>
      </c>
      <c r="AK16" s="67">
        <v>17200.0</v>
      </c>
      <c r="AL16" s="63"/>
      <c r="AM16" s="63"/>
      <c r="AN16" s="64">
        <v>21.5</v>
      </c>
      <c r="AO16" s="66" t="s">
        <v>468</v>
      </c>
      <c r="AP16" s="77"/>
      <c r="AQ16" s="78"/>
      <c r="AR16" s="78"/>
      <c r="AS16" s="63"/>
      <c r="AT16" s="63"/>
      <c r="AU16" s="63"/>
      <c r="AV16" s="68"/>
      <c r="AW16" s="58" t="s">
        <v>512</v>
      </c>
      <c r="AX16" s="69">
        <v>17200.0</v>
      </c>
      <c r="AY16" s="70"/>
      <c r="AZ16" s="70"/>
      <c r="BA16" s="70"/>
      <c r="BB16" s="70"/>
      <c r="BC16" s="58" t="s">
        <v>469</v>
      </c>
      <c r="BD16" s="58"/>
      <c r="BE16" s="58"/>
      <c r="BF16" s="58" t="s">
        <v>546</v>
      </c>
      <c r="BG16" s="58" t="s">
        <v>469</v>
      </c>
      <c r="BH16" s="69">
        <v>9.0</v>
      </c>
      <c r="BI16" s="69">
        <v>85140.0</v>
      </c>
      <c r="BJ16" s="58"/>
      <c r="BK16" s="58"/>
      <c r="BL16" s="58"/>
      <c r="BM16" s="58"/>
      <c r="BN16" s="58"/>
      <c r="BO16" s="58"/>
      <c r="BP16" s="58"/>
      <c r="BQ16" s="58"/>
      <c r="BR16" s="58"/>
    </row>
    <row r="17">
      <c r="A17" s="59">
        <v>45809.0</v>
      </c>
      <c r="B17" s="60" t="s">
        <v>451</v>
      </c>
      <c r="C17" s="61">
        <v>45809.0</v>
      </c>
      <c r="D17" s="61">
        <v>45809.0</v>
      </c>
      <c r="E17" s="60" t="s">
        <v>452</v>
      </c>
      <c r="F17" s="72" t="s">
        <v>558</v>
      </c>
      <c r="G17" s="63"/>
      <c r="H17" s="64" t="s">
        <v>538</v>
      </c>
      <c r="I17" s="64" t="s">
        <v>559</v>
      </c>
      <c r="J17" s="66" t="s">
        <v>456</v>
      </c>
      <c r="K17" s="66" t="s">
        <v>456</v>
      </c>
      <c r="L17" s="66">
        <v>32.0</v>
      </c>
      <c r="M17" s="66">
        <v>32.0</v>
      </c>
      <c r="N17" s="66" t="s">
        <v>540</v>
      </c>
      <c r="O17" s="66">
        <v>24.0</v>
      </c>
      <c r="P17" s="64" t="s">
        <v>560</v>
      </c>
      <c r="Q17" s="64" t="s">
        <v>459</v>
      </c>
      <c r="R17" s="64" t="s">
        <v>459</v>
      </c>
      <c r="S17" s="64">
        <v>291.0</v>
      </c>
      <c r="T17" s="64">
        <v>3201.0</v>
      </c>
      <c r="U17" s="64">
        <v>291.0</v>
      </c>
      <c r="V17" s="64">
        <v>3201.0</v>
      </c>
      <c r="W17" s="64">
        <v>3201.0</v>
      </c>
      <c r="X17" s="76" t="s">
        <v>460</v>
      </c>
      <c r="Y17" s="64" t="s">
        <v>461</v>
      </c>
      <c r="Z17" s="64" t="s">
        <v>462</v>
      </c>
      <c r="AA17" s="64" t="s">
        <v>463</v>
      </c>
      <c r="AB17" s="60" t="s">
        <v>464</v>
      </c>
      <c r="AC17" s="60" t="s">
        <v>451</v>
      </c>
      <c r="AD17" s="66" t="s">
        <v>561</v>
      </c>
      <c r="AE17" s="66" t="s">
        <v>562</v>
      </c>
      <c r="AF17" s="66" t="s">
        <v>562</v>
      </c>
      <c r="AG17" s="64" t="s">
        <v>467</v>
      </c>
      <c r="AH17" s="64" t="s">
        <v>467</v>
      </c>
      <c r="AI17" s="60">
        <v>325.0</v>
      </c>
      <c r="AJ17" s="60">
        <v>28.4</v>
      </c>
      <c r="AK17" s="67">
        <v>9213.75</v>
      </c>
      <c r="AL17" s="63"/>
      <c r="AM17" s="63"/>
      <c r="AN17" s="64">
        <v>28.35</v>
      </c>
      <c r="AO17" s="64" t="s">
        <v>468</v>
      </c>
      <c r="AP17" s="63"/>
      <c r="AQ17" s="63"/>
      <c r="AR17" s="63"/>
      <c r="AS17" s="63"/>
      <c r="AT17" s="63"/>
      <c r="AU17" s="63"/>
      <c r="AV17" s="63"/>
      <c r="AW17" s="58" t="s">
        <v>512</v>
      </c>
      <c r="AX17" s="69">
        <v>9213.75</v>
      </c>
      <c r="AY17" s="70"/>
      <c r="AZ17" s="70"/>
      <c r="BA17" s="70"/>
      <c r="BB17" s="70"/>
      <c r="BC17" s="58" t="s">
        <v>469</v>
      </c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</row>
    <row r="18">
      <c r="A18" s="59">
        <v>45809.0</v>
      </c>
      <c r="B18" s="60" t="s">
        <v>451</v>
      </c>
      <c r="C18" s="61">
        <v>45809.0</v>
      </c>
      <c r="D18" s="61">
        <v>45809.0</v>
      </c>
      <c r="E18" s="60" t="s">
        <v>452</v>
      </c>
      <c r="F18" s="71" t="s">
        <v>563</v>
      </c>
      <c r="G18" s="63"/>
      <c r="H18" s="64" t="s">
        <v>538</v>
      </c>
      <c r="I18" s="64" t="s">
        <v>564</v>
      </c>
      <c r="J18" s="64" t="s">
        <v>456</v>
      </c>
      <c r="K18" s="64" t="s">
        <v>456</v>
      </c>
      <c r="L18" s="64">
        <v>32.0</v>
      </c>
      <c r="M18" s="64">
        <v>32.0</v>
      </c>
      <c r="N18" s="64" t="s">
        <v>540</v>
      </c>
      <c r="O18" s="64">
        <v>24.0</v>
      </c>
      <c r="P18" s="64" t="s">
        <v>565</v>
      </c>
      <c r="Q18" s="64" t="s">
        <v>459</v>
      </c>
      <c r="R18" s="64" t="s">
        <v>459</v>
      </c>
      <c r="S18" s="64">
        <v>203.0</v>
      </c>
      <c r="T18" s="64">
        <v>2233.0</v>
      </c>
      <c r="U18" s="64">
        <v>203.0</v>
      </c>
      <c r="V18" s="66">
        <v>2233.0</v>
      </c>
      <c r="W18" s="66">
        <v>2233.0</v>
      </c>
      <c r="X18" s="79" t="s">
        <v>460</v>
      </c>
      <c r="Y18" s="64" t="s">
        <v>461</v>
      </c>
      <c r="Z18" s="64" t="s">
        <v>462</v>
      </c>
      <c r="AA18" s="64" t="s">
        <v>463</v>
      </c>
      <c r="AB18" s="60" t="s">
        <v>464</v>
      </c>
      <c r="AC18" s="60" t="s">
        <v>451</v>
      </c>
      <c r="AD18" s="64" t="s">
        <v>566</v>
      </c>
      <c r="AE18" s="64" t="s">
        <v>567</v>
      </c>
      <c r="AF18" s="64" t="s">
        <v>567</v>
      </c>
      <c r="AG18" s="64" t="s">
        <v>467</v>
      </c>
      <c r="AH18" s="64" t="s">
        <v>467</v>
      </c>
      <c r="AI18" s="64">
        <v>475.0</v>
      </c>
      <c r="AJ18" s="64">
        <v>28.35</v>
      </c>
      <c r="AK18" s="67">
        <v>13466.25</v>
      </c>
      <c r="AL18" s="63"/>
      <c r="AM18" s="63"/>
      <c r="AN18" s="64">
        <v>28.35</v>
      </c>
      <c r="AO18" s="64" t="s">
        <v>468</v>
      </c>
      <c r="AP18" s="63"/>
      <c r="AQ18" s="63"/>
      <c r="AR18" s="63"/>
      <c r="AS18" s="63"/>
      <c r="AT18" s="63"/>
      <c r="AU18" s="63"/>
      <c r="AV18" s="63"/>
      <c r="AW18" s="58" t="s">
        <v>512</v>
      </c>
      <c r="AX18" s="69">
        <v>13466.25</v>
      </c>
      <c r="AY18" s="70"/>
      <c r="AZ18" s="70"/>
      <c r="BA18" s="70"/>
      <c r="BB18" s="70"/>
      <c r="BC18" s="58" t="s">
        <v>469</v>
      </c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</row>
    <row r="19">
      <c r="A19" s="59">
        <v>45809.0</v>
      </c>
      <c r="B19" s="60" t="s">
        <v>451</v>
      </c>
      <c r="C19" s="61">
        <v>45809.0</v>
      </c>
      <c r="D19" s="61">
        <v>45809.0</v>
      </c>
      <c r="E19" s="60" t="s">
        <v>452</v>
      </c>
      <c r="F19" s="72" t="s">
        <v>568</v>
      </c>
      <c r="G19" s="63"/>
      <c r="H19" s="64" t="s">
        <v>492</v>
      </c>
      <c r="I19" s="64" t="s">
        <v>569</v>
      </c>
      <c r="J19" s="66" t="s">
        <v>456</v>
      </c>
      <c r="K19" s="66" t="s">
        <v>456</v>
      </c>
      <c r="L19" s="66">
        <v>22.0</v>
      </c>
      <c r="M19" s="66">
        <v>22.0</v>
      </c>
      <c r="N19" s="66" t="s">
        <v>457</v>
      </c>
      <c r="O19" s="66">
        <v>24.0</v>
      </c>
      <c r="P19" s="64" t="s">
        <v>570</v>
      </c>
      <c r="Q19" s="64" t="s">
        <v>459</v>
      </c>
      <c r="R19" s="64" t="s">
        <v>459</v>
      </c>
      <c r="S19" s="64">
        <v>326.0</v>
      </c>
      <c r="T19" s="64">
        <v>3586.0</v>
      </c>
      <c r="U19" s="64">
        <v>326.0</v>
      </c>
      <c r="V19" s="64">
        <v>3586.0</v>
      </c>
      <c r="W19" s="64">
        <v>3586.0</v>
      </c>
      <c r="X19" s="76" t="s">
        <v>460</v>
      </c>
      <c r="Y19" s="64" t="s">
        <v>461</v>
      </c>
      <c r="Z19" s="64" t="s">
        <v>462</v>
      </c>
      <c r="AA19" s="64" t="s">
        <v>463</v>
      </c>
      <c r="AB19" s="60" t="s">
        <v>464</v>
      </c>
      <c r="AC19" s="60" t="s">
        <v>451</v>
      </c>
      <c r="AD19" s="66" t="s">
        <v>571</v>
      </c>
      <c r="AE19" s="66" t="s">
        <v>572</v>
      </c>
      <c r="AF19" s="66" t="s">
        <v>572</v>
      </c>
      <c r="AG19" s="64" t="s">
        <v>467</v>
      </c>
      <c r="AH19" s="64" t="s">
        <v>467</v>
      </c>
      <c r="AI19" s="66">
        <v>655.0</v>
      </c>
      <c r="AJ19" s="66">
        <v>21.5</v>
      </c>
      <c r="AK19" s="67">
        <v>14082.5</v>
      </c>
      <c r="AL19" s="63"/>
      <c r="AM19" s="63"/>
      <c r="AN19" s="64">
        <v>21.5</v>
      </c>
      <c r="AO19" s="60" t="s">
        <v>468</v>
      </c>
      <c r="AP19" s="63"/>
      <c r="AQ19" s="63"/>
      <c r="AR19" s="63"/>
      <c r="AS19" s="63"/>
      <c r="AT19" s="63"/>
      <c r="AU19" s="63"/>
      <c r="AV19" s="68"/>
      <c r="AW19" s="58" t="s">
        <v>512</v>
      </c>
      <c r="AX19" s="69">
        <v>14082.5</v>
      </c>
      <c r="AY19" s="70"/>
      <c r="AZ19" s="70"/>
      <c r="BA19" s="70"/>
      <c r="BB19" s="70"/>
      <c r="BC19" s="58" t="s">
        <v>469</v>
      </c>
      <c r="BD19" s="58"/>
      <c r="BE19" s="58"/>
      <c r="BF19" s="58" t="s">
        <v>573</v>
      </c>
      <c r="BG19" s="58" t="s">
        <v>469</v>
      </c>
      <c r="BH19" s="69">
        <v>3.0</v>
      </c>
      <c r="BI19" s="69">
        <v>28380.0</v>
      </c>
      <c r="BJ19" s="58"/>
      <c r="BK19" s="58"/>
      <c r="BL19" s="58"/>
      <c r="BM19" s="58"/>
      <c r="BN19" s="58"/>
      <c r="BO19" s="58"/>
      <c r="BP19" s="58"/>
      <c r="BQ19" s="58"/>
      <c r="BR19" s="58"/>
    </row>
    <row r="20">
      <c r="A20" s="59">
        <v>45809.0</v>
      </c>
      <c r="B20" s="60" t="s">
        <v>451</v>
      </c>
      <c r="C20" s="61">
        <v>45809.0</v>
      </c>
      <c r="D20" s="61">
        <v>45809.0</v>
      </c>
      <c r="E20" s="60" t="s">
        <v>452</v>
      </c>
      <c r="F20" s="71" t="s">
        <v>574</v>
      </c>
      <c r="G20" s="63"/>
      <c r="H20" s="64" t="s">
        <v>472</v>
      </c>
      <c r="I20" s="64" t="s">
        <v>575</v>
      </c>
      <c r="J20" s="64" t="s">
        <v>456</v>
      </c>
      <c r="K20" s="64" t="s">
        <v>456</v>
      </c>
      <c r="L20" s="64">
        <v>22.0</v>
      </c>
      <c r="M20" s="64">
        <v>22.0</v>
      </c>
      <c r="N20" s="64" t="s">
        <v>457</v>
      </c>
      <c r="O20" s="64">
        <v>24.0</v>
      </c>
      <c r="P20" s="64" t="s">
        <v>576</v>
      </c>
      <c r="Q20" s="64" t="s">
        <v>459</v>
      </c>
      <c r="R20" s="64" t="s">
        <v>459</v>
      </c>
      <c r="S20" s="64">
        <v>142.0</v>
      </c>
      <c r="T20" s="64">
        <v>1562.0</v>
      </c>
      <c r="U20" s="64">
        <v>142.0</v>
      </c>
      <c r="V20" s="66">
        <v>1562.0</v>
      </c>
      <c r="W20" s="66">
        <v>1562.0</v>
      </c>
      <c r="X20" s="79" t="s">
        <v>460</v>
      </c>
      <c r="Y20" s="64" t="s">
        <v>461</v>
      </c>
      <c r="Z20" s="64" t="s">
        <v>462</v>
      </c>
      <c r="AA20" s="64" t="s">
        <v>463</v>
      </c>
      <c r="AB20" s="60" t="s">
        <v>464</v>
      </c>
      <c r="AC20" s="60" t="s">
        <v>451</v>
      </c>
      <c r="AD20" s="64" t="s">
        <v>577</v>
      </c>
      <c r="AE20" s="64" t="s">
        <v>578</v>
      </c>
      <c r="AF20" s="64" t="s">
        <v>578</v>
      </c>
      <c r="AG20" s="64" t="s">
        <v>467</v>
      </c>
      <c r="AH20" s="64" t="s">
        <v>467</v>
      </c>
      <c r="AI20" s="66">
        <v>396.0</v>
      </c>
      <c r="AJ20" s="66">
        <v>21.5</v>
      </c>
      <c r="AK20" s="67">
        <v>8514.0</v>
      </c>
      <c r="AL20" s="63"/>
      <c r="AM20" s="63"/>
      <c r="AN20" s="64">
        <v>21.5</v>
      </c>
      <c r="AO20" s="64" t="s">
        <v>468</v>
      </c>
      <c r="AP20" s="63"/>
      <c r="AQ20" s="63"/>
      <c r="AR20" s="63"/>
      <c r="AS20" s="63"/>
      <c r="AT20" s="63"/>
      <c r="AU20" s="63"/>
      <c r="AV20" s="63"/>
      <c r="AW20" s="58" t="s">
        <v>512</v>
      </c>
      <c r="AX20" s="69">
        <v>8514.0</v>
      </c>
      <c r="AY20" s="70"/>
      <c r="AZ20" s="70"/>
      <c r="BA20" s="70"/>
      <c r="BB20" s="70"/>
      <c r="BC20" s="58" t="s">
        <v>469</v>
      </c>
      <c r="BD20" s="58"/>
      <c r="BE20" s="58"/>
      <c r="BF20" s="58" t="s">
        <v>579</v>
      </c>
      <c r="BG20" s="58" t="s">
        <v>469</v>
      </c>
      <c r="BH20" s="69">
        <v>6.0</v>
      </c>
      <c r="BI20" s="69">
        <v>94815.0</v>
      </c>
      <c r="BJ20" s="58"/>
      <c r="BK20" s="58"/>
      <c r="BL20" s="58"/>
      <c r="BM20" s="58"/>
      <c r="BN20" s="58"/>
      <c r="BO20" s="58"/>
      <c r="BP20" s="58"/>
      <c r="BQ20" s="58"/>
      <c r="BR20" s="58"/>
    </row>
    <row r="21">
      <c r="A21" s="59">
        <v>45809.0</v>
      </c>
      <c r="B21" s="60" t="s">
        <v>451</v>
      </c>
      <c r="C21" s="61">
        <v>45809.0</v>
      </c>
      <c r="D21" s="61">
        <v>45809.0</v>
      </c>
      <c r="E21" s="60" t="s">
        <v>452</v>
      </c>
      <c r="F21" s="71" t="s">
        <v>580</v>
      </c>
      <c r="G21" s="63"/>
      <c r="H21" s="64" t="s">
        <v>472</v>
      </c>
      <c r="I21" s="64" t="s">
        <v>581</v>
      </c>
      <c r="J21" s="66" t="s">
        <v>456</v>
      </c>
      <c r="K21" s="66" t="s">
        <v>456</v>
      </c>
      <c r="L21" s="66">
        <v>22.0</v>
      </c>
      <c r="M21" s="66">
        <v>22.0</v>
      </c>
      <c r="N21" s="66" t="s">
        <v>457</v>
      </c>
      <c r="O21" s="66">
        <v>24.0</v>
      </c>
      <c r="P21" s="64" t="s">
        <v>582</v>
      </c>
      <c r="Q21" s="64" t="s">
        <v>459</v>
      </c>
      <c r="R21" s="64" t="s">
        <v>459</v>
      </c>
      <c r="S21" s="64">
        <v>166.0</v>
      </c>
      <c r="T21" s="64">
        <v>1826.0</v>
      </c>
      <c r="U21" s="64">
        <v>166.0</v>
      </c>
      <c r="V21" s="64">
        <v>1826.0</v>
      </c>
      <c r="W21" s="64">
        <v>1826.0</v>
      </c>
      <c r="X21" s="76" t="s">
        <v>460</v>
      </c>
      <c r="Y21" s="64" t="s">
        <v>461</v>
      </c>
      <c r="Z21" s="64" t="s">
        <v>462</v>
      </c>
      <c r="AA21" s="64" t="s">
        <v>463</v>
      </c>
      <c r="AB21" s="60" t="s">
        <v>464</v>
      </c>
      <c r="AC21" s="60" t="s">
        <v>451</v>
      </c>
      <c r="AD21" s="64" t="s">
        <v>583</v>
      </c>
      <c r="AE21" s="64" t="s">
        <v>584</v>
      </c>
      <c r="AF21" s="64" t="s">
        <v>584</v>
      </c>
      <c r="AG21" s="64" t="s">
        <v>467</v>
      </c>
      <c r="AH21" s="64" t="s">
        <v>467</v>
      </c>
      <c r="AI21" s="66">
        <v>510.0</v>
      </c>
      <c r="AJ21" s="66">
        <v>21.5</v>
      </c>
      <c r="AK21" s="67">
        <v>10965.0</v>
      </c>
      <c r="AL21" s="63"/>
      <c r="AM21" s="63"/>
      <c r="AN21" s="64">
        <v>21.5</v>
      </c>
      <c r="AO21" s="64" t="s">
        <v>468</v>
      </c>
      <c r="AP21" s="63"/>
      <c r="AQ21" s="63"/>
      <c r="AR21" s="63"/>
      <c r="AS21" s="63"/>
      <c r="AT21" s="63"/>
      <c r="AU21" s="63"/>
      <c r="AV21" s="68"/>
      <c r="AW21" s="58" t="s">
        <v>512</v>
      </c>
      <c r="AX21" s="69">
        <v>10965.0</v>
      </c>
      <c r="AY21" s="70"/>
      <c r="AZ21" s="70"/>
      <c r="BA21" s="70"/>
      <c r="BB21" s="70"/>
      <c r="BC21" s="58" t="s">
        <v>469</v>
      </c>
      <c r="BD21" s="58"/>
      <c r="BE21" s="58"/>
      <c r="BF21" s="58" t="s">
        <v>466</v>
      </c>
      <c r="BG21" s="58" t="s">
        <v>469</v>
      </c>
      <c r="BH21" s="69">
        <v>17.0</v>
      </c>
      <c r="BI21" s="69">
        <v>268642.5</v>
      </c>
      <c r="BJ21" s="58"/>
      <c r="BK21" s="58"/>
      <c r="BL21" s="58"/>
      <c r="BM21" s="58"/>
      <c r="BN21" s="58"/>
      <c r="BO21" s="58"/>
      <c r="BP21" s="58"/>
      <c r="BQ21" s="58"/>
      <c r="BR21" s="58"/>
    </row>
    <row r="22">
      <c r="A22" s="59">
        <v>45810.0</v>
      </c>
      <c r="B22" s="60" t="s">
        <v>451</v>
      </c>
      <c r="C22" s="61">
        <v>45810.0</v>
      </c>
      <c r="D22" s="61">
        <v>45810.0</v>
      </c>
      <c r="E22" s="60" t="s">
        <v>452</v>
      </c>
      <c r="F22" s="62" t="s">
        <v>585</v>
      </c>
      <c r="G22" s="63"/>
      <c r="H22" s="66" t="s">
        <v>454</v>
      </c>
      <c r="I22" s="66" t="s">
        <v>586</v>
      </c>
      <c r="J22" s="66" t="s">
        <v>456</v>
      </c>
      <c r="K22" s="66" t="s">
        <v>456</v>
      </c>
      <c r="L22" s="66">
        <v>22.0</v>
      </c>
      <c r="M22" s="66">
        <v>22.0</v>
      </c>
      <c r="N22" s="66" t="s">
        <v>457</v>
      </c>
      <c r="O22" s="66">
        <v>24.0</v>
      </c>
      <c r="P22" s="66" t="s">
        <v>459</v>
      </c>
      <c r="Q22" s="64" t="s">
        <v>459</v>
      </c>
      <c r="R22" s="64" t="s">
        <v>459</v>
      </c>
      <c r="S22" s="64" t="s">
        <v>459</v>
      </c>
      <c r="T22" s="64">
        <v>3124.0</v>
      </c>
      <c r="U22" s="64">
        <v>284.0</v>
      </c>
      <c r="V22" s="66">
        <v>3124.0</v>
      </c>
      <c r="W22" s="66">
        <v>3124.0</v>
      </c>
      <c r="X22" s="66" t="s">
        <v>460</v>
      </c>
      <c r="Y22" s="60" t="s">
        <v>461</v>
      </c>
      <c r="Z22" s="64" t="s">
        <v>462</v>
      </c>
      <c r="AA22" s="64" t="s">
        <v>463</v>
      </c>
      <c r="AB22" s="64" t="s">
        <v>464</v>
      </c>
      <c r="AC22" s="60" t="s">
        <v>451</v>
      </c>
      <c r="AD22" s="64" t="s">
        <v>465</v>
      </c>
      <c r="AE22" s="60" t="s">
        <v>466</v>
      </c>
      <c r="AF22" s="60" t="s">
        <v>466</v>
      </c>
      <c r="AG22" s="64" t="s">
        <v>467</v>
      </c>
      <c r="AH22" s="64" t="s">
        <v>467</v>
      </c>
      <c r="AI22" s="66">
        <v>735.0</v>
      </c>
      <c r="AJ22" s="66">
        <v>21.5</v>
      </c>
      <c r="AK22" s="67">
        <v>15802.5</v>
      </c>
      <c r="AL22" s="63"/>
      <c r="AM22" s="63"/>
      <c r="AN22" s="64">
        <v>21.5</v>
      </c>
      <c r="AO22" s="60" t="s">
        <v>468</v>
      </c>
      <c r="AP22" s="63"/>
      <c r="AQ22" s="63"/>
      <c r="AR22" s="63"/>
      <c r="AS22" s="63"/>
      <c r="AT22" s="63"/>
      <c r="AU22" s="63"/>
      <c r="AV22" s="68"/>
      <c r="AW22" s="58" t="s">
        <v>512</v>
      </c>
      <c r="AX22" s="69">
        <v>15802.5</v>
      </c>
      <c r="AY22" s="70"/>
      <c r="AZ22" s="70"/>
      <c r="BA22" s="70"/>
      <c r="BB22" s="70"/>
      <c r="BC22" s="58" t="s">
        <v>469</v>
      </c>
      <c r="BD22" s="58"/>
      <c r="BE22" s="58"/>
      <c r="BF22" s="58" t="s">
        <v>535</v>
      </c>
      <c r="BG22" s="58" t="s">
        <v>469</v>
      </c>
      <c r="BH22" s="69">
        <v>18.0</v>
      </c>
      <c r="BI22" s="69">
        <v>210630.0</v>
      </c>
      <c r="BJ22" s="58"/>
      <c r="BK22" s="58"/>
      <c r="BL22" s="58"/>
      <c r="BM22" s="58"/>
      <c r="BN22" s="58"/>
      <c r="BO22" s="58"/>
      <c r="BP22" s="58"/>
      <c r="BQ22" s="58"/>
      <c r="BR22" s="58"/>
    </row>
    <row r="23">
      <c r="A23" s="59">
        <v>45810.0</v>
      </c>
      <c r="B23" s="60" t="s">
        <v>451</v>
      </c>
      <c r="C23" s="61">
        <v>45810.0</v>
      </c>
      <c r="D23" s="61">
        <v>45810.0</v>
      </c>
      <c r="E23" s="60" t="s">
        <v>452</v>
      </c>
      <c r="F23" s="62" t="s">
        <v>587</v>
      </c>
      <c r="G23" s="77"/>
      <c r="H23" s="64" t="s">
        <v>472</v>
      </c>
      <c r="I23" s="64" t="s">
        <v>588</v>
      </c>
      <c r="J23" s="64" t="s">
        <v>456</v>
      </c>
      <c r="K23" s="64" t="s">
        <v>456</v>
      </c>
      <c r="L23" s="64">
        <v>22.0</v>
      </c>
      <c r="M23" s="64">
        <v>22.0</v>
      </c>
      <c r="N23" s="64" t="s">
        <v>457</v>
      </c>
      <c r="O23" s="64">
        <v>24.0</v>
      </c>
      <c r="P23" s="64" t="s">
        <v>459</v>
      </c>
      <c r="Q23" s="66" t="s">
        <v>459</v>
      </c>
      <c r="R23" s="66" t="s">
        <v>459</v>
      </c>
      <c r="S23" s="66" t="s">
        <v>459</v>
      </c>
      <c r="T23" s="66">
        <v>2519.0</v>
      </c>
      <c r="U23" s="66">
        <v>229.0</v>
      </c>
      <c r="V23" s="64">
        <v>2519.0</v>
      </c>
      <c r="W23" s="64">
        <v>2519.0</v>
      </c>
      <c r="X23" s="64" t="s">
        <v>460</v>
      </c>
      <c r="Y23" s="60" t="s">
        <v>461</v>
      </c>
      <c r="Z23" s="64" t="s">
        <v>462</v>
      </c>
      <c r="AA23" s="64" t="s">
        <v>463</v>
      </c>
      <c r="AB23" s="64" t="s">
        <v>464</v>
      </c>
      <c r="AC23" s="60" t="s">
        <v>451</v>
      </c>
      <c r="AD23" s="60" t="s">
        <v>475</v>
      </c>
      <c r="AE23" s="60" t="s">
        <v>476</v>
      </c>
      <c r="AF23" s="60" t="s">
        <v>476</v>
      </c>
      <c r="AG23" s="64" t="s">
        <v>467</v>
      </c>
      <c r="AH23" s="64" t="s">
        <v>467</v>
      </c>
      <c r="AI23" s="64">
        <v>650.0</v>
      </c>
      <c r="AJ23" s="66">
        <v>21.5</v>
      </c>
      <c r="AK23" s="67">
        <v>13975.0</v>
      </c>
      <c r="AL23" s="63"/>
      <c r="AM23" s="63"/>
      <c r="AN23" s="64">
        <v>21.5</v>
      </c>
      <c r="AO23" s="64" t="s">
        <v>468</v>
      </c>
      <c r="AP23" s="63"/>
      <c r="AQ23" s="63"/>
      <c r="AR23" s="63"/>
      <c r="AS23" s="63"/>
      <c r="AT23" s="63"/>
      <c r="AU23" s="63"/>
      <c r="AV23" s="63"/>
      <c r="AW23" s="58" t="s">
        <v>512</v>
      </c>
      <c r="AX23" s="69">
        <v>13975.0</v>
      </c>
      <c r="AY23" s="70"/>
      <c r="AZ23" s="70"/>
      <c r="BA23" s="70"/>
      <c r="BB23" s="70"/>
      <c r="BC23" s="58" t="s">
        <v>469</v>
      </c>
      <c r="BD23" s="58"/>
      <c r="BE23" s="58"/>
      <c r="BF23" s="58" t="s">
        <v>530</v>
      </c>
      <c r="BG23" s="58" t="s">
        <v>469</v>
      </c>
      <c r="BH23" s="69">
        <v>19.0</v>
      </c>
      <c r="BI23" s="69">
        <v>209355.0</v>
      </c>
      <c r="BJ23" s="58"/>
      <c r="BK23" s="58"/>
      <c r="BL23" s="58"/>
      <c r="BM23" s="58"/>
      <c r="BN23" s="58"/>
      <c r="BO23" s="58"/>
      <c r="BP23" s="58"/>
      <c r="BQ23" s="58"/>
      <c r="BR23" s="58"/>
    </row>
    <row r="24">
      <c r="A24" s="59">
        <v>45810.0</v>
      </c>
      <c r="B24" s="60" t="s">
        <v>451</v>
      </c>
      <c r="C24" s="61">
        <v>45810.0</v>
      </c>
      <c r="D24" s="61">
        <v>45810.0</v>
      </c>
      <c r="E24" s="60" t="s">
        <v>452</v>
      </c>
      <c r="F24" s="71" t="s">
        <v>589</v>
      </c>
      <c r="G24" s="63"/>
      <c r="H24" s="66" t="s">
        <v>472</v>
      </c>
      <c r="I24" s="66" t="s">
        <v>590</v>
      </c>
      <c r="J24" s="66" t="s">
        <v>456</v>
      </c>
      <c r="K24" s="66" t="s">
        <v>456</v>
      </c>
      <c r="L24" s="66">
        <v>22.0</v>
      </c>
      <c r="M24" s="66">
        <v>22.0</v>
      </c>
      <c r="N24" s="66" t="s">
        <v>457</v>
      </c>
      <c r="O24" s="66">
        <v>24.0</v>
      </c>
      <c r="P24" s="66" t="s">
        <v>591</v>
      </c>
      <c r="Q24" s="64" t="s">
        <v>459</v>
      </c>
      <c r="R24" s="64" t="s">
        <v>459</v>
      </c>
      <c r="S24" s="64" t="s">
        <v>459</v>
      </c>
      <c r="T24" s="64">
        <v>2860.0</v>
      </c>
      <c r="U24" s="64">
        <v>260.0</v>
      </c>
      <c r="V24" s="66">
        <v>2860.0</v>
      </c>
      <c r="W24" s="66">
        <v>2860.0</v>
      </c>
      <c r="X24" s="66" t="s">
        <v>460</v>
      </c>
      <c r="Y24" s="60" t="s">
        <v>461</v>
      </c>
      <c r="Z24" s="64" t="s">
        <v>462</v>
      </c>
      <c r="AA24" s="64" t="s">
        <v>463</v>
      </c>
      <c r="AB24" s="64" t="s">
        <v>464</v>
      </c>
      <c r="AC24" s="60" t="s">
        <v>451</v>
      </c>
      <c r="AD24" s="66" t="s">
        <v>481</v>
      </c>
      <c r="AE24" s="66" t="s">
        <v>482</v>
      </c>
      <c r="AF24" s="66" t="s">
        <v>482</v>
      </c>
      <c r="AG24" s="64" t="s">
        <v>467</v>
      </c>
      <c r="AH24" s="64" t="s">
        <v>467</v>
      </c>
      <c r="AI24" s="64">
        <v>655.0</v>
      </c>
      <c r="AJ24" s="64">
        <v>21.5</v>
      </c>
      <c r="AK24" s="67">
        <v>14082.5</v>
      </c>
      <c r="AL24" s="63"/>
      <c r="AM24" s="63"/>
      <c r="AN24" s="64">
        <v>21.5</v>
      </c>
      <c r="AO24" s="64" t="s">
        <v>468</v>
      </c>
      <c r="AP24" s="63"/>
      <c r="AQ24" s="63"/>
      <c r="AR24" s="63"/>
      <c r="AS24" s="63"/>
      <c r="AT24" s="63"/>
      <c r="AU24" s="63"/>
      <c r="AV24" s="68"/>
      <c r="AW24" s="58" t="s">
        <v>512</v>
      </c>
      <c r="AX24" s="69">
        <v>14082.5</v>
      </c>
      <c r="AY24" s="70"/>
      <c r="AZ24" s="70"/>
      <c r="BA24" s="70"/>
      <c r="BB24" s="70"/>
      <c r="BC24" s="58" t="s">
        <v>469</v>
      </c>
      <c r="BD24" s="58"/>
      <c r="BE24" s="58"/>
      <c r="BF24" s="58" t="s">
        <v>518</v>
      </c>
      <c r="BG24" s="58" t="s">
        <v>469</v>
      </c>
      <c r="BH24" s="69">
        <v>23.0</v>
      </c>
      <c r="BI24" s="69">
        <v>403017.5</v>
      </c>
      <c r="BJ24" s="58"/>
      <c r="BK24" s="58"/>
      <c r="BL24" s="58"/>
      <c r="BM24" s="58"/>
      <c r="BN24" s="58"/>
      <c r="BO24" s="58"/>
      <c r="BP24" s="58"/>
      <c r="BQ24" s="58"/>
      <c r="BR24" s="58"/>
    </row>
    <row r="25">
      <c r="A25" s="59">
        <v>45810.0</v>
      </c>
      <c r="B25" s="60" t="s">
        <v>451</v>
      </c>
      <c r="C25" s="61">
        <v>45810.0</v>
      </c>
      <c r="D25" s="61">
        <v>45810.0</v>
      </c>
      <c r="E25" s="60" t="s">
        <v>452</v>
      </c>
      <c r="F25" s="71" t="s">
        <v>592</v>
      </c>
      <c r="G25" s="77"/>
      <c r="H25" s="64" t="s">
        <v>492</v>
      </c>
      <c r="I25" s="64" t="s">
        <v>593</v>
      </c>
      <c r="J25" s="64" t="s">
        <v>456</v>
      </c>
      <c r="K25" s="64" t="s">
        <v>456</v>
      </c>
      <c r="L25" s="64">
        <v>28.0</v>
      </c>
      <c r="M25" s="64">
        <v>28.0</v>
      </c>
      <c r="N25" s="64" t="s">
        <v>457</v>
      </c>
      <c r="O25" s="64">
        <v>24.0</v>
      </c>
      <c r="P25" s="64" t="s">
        <v>594</v>
      </c>
      <c r="Q25" s="66" t="s">
        <v>459</v>
      </c>
      <c r="R25" s="66" t="s">
        <v>459</v>
      </c>
      <c r="S25" s="66" t="s">
        <v>459</v>
      </c>
      <c r="T25" s="66">
        <v>4675.0</v>
      </c>
      <c r="U25" s="66">
        <v>425.0</v>
      </c>
      <c r="V25" s="64">
        <v>4675.0</v>
      </c>
      <c r="W25" s="64">
        <v>4675.0</v>
      </c>
      <c r="X25" s="64" t="s">
        <v>460</v>
      </c>
      <c r="Y25" s="60" t="s">
        <v>461</v>
      </c>
      <c r="Z25" s="64" t="s">
        <v>462</v>
      </c>
      <c r="AA25" s="64" t="s">
        <v>463</v>
      </c>
      <c r="AB25" s="64" t="s">
        <v>464</v>
      </c>
      <c r="AC25" s="60" t="s">
        <v>451</v>
      </c>
      <c r="AD25" s="64" t="s">
        <v>495</v>
      </c>
      <c r="AE25" s="64" t="s">
        <v>496</v>
      </c>
      <c r="AF25" s="64" t="s">
        <v>496</v>
      </c>
      <c r="AG25" s="64" t="s">
        <v>467</v>
      </c>
      <c r="AH25" s="64" t="s">
        <v>467</v>
      </c>
      <c r="AI25" s="64">
        <v>570.0</v>
      </c>
      <c r="AJ25" s="60">
        <v>23.5</v>
      </c>
      <c r="AK25" s="67">
        <v>13395.0</v>
      </c>
      <c r="AL25" s="63"/>
      <c r="AM25" s="63"/>
      <c r="AN25" s="64">
        <v>23.5</v>
      </c>
      <c r="AO25" s="64" t="s">
        <v>468</v>
      </c>
      <c r="AP25" s="63"/>
      <c r="AQ25" s="63"/>
      <c r="AR25" s="63"/>
      <c r="AS25" s="63"/>
      <c r="AT25" s="63"/>
      <c r="AU25" s="63"/>
      <c r="AV25" s="63"/>
      <c r="AW25" s="58" t="s">
        <v>512</v>
      </c>
      <c r="AX25" s="69">
        <v>13395.0</v>
      </c>
      <c r="AY25" s="70"/>
      <c r="AZ25" s="70"/>
      <c r="BA25" s="70"/>
      <c r="BB25" s="70"/>
      <c r="BC25" s="58" t="s">
        <v>469</v>
      </c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</row>
    <row r="26">
      <c r="A26" s="59">
        <v>45810.0</v>
      </c>
      <c r="B26" s="60" t="s">
        <v>451</v>
      </c>
      <c r="C26" s="61">
        <v>45810.0</v>
      </c>
      <c r="D26" s="61">
        <v>45810.0</v>
      </c>
      <c r="E26" s="60" t="s">
        <v>452</v>
      </c>
      <c r="F26" s="71" t="s">
        <v>595</v>
      </c>
      <c r="G26" s="63"/>
      <c r="H26" s="66" t="s">
        <v>498</v>
      </c>
      <c r="I26" s="66" t="s">
        <v>596</v>
      </c>
      <c r="J26" s="66" t="s">
        <v>456</v>
      </c>
      <c r="K26" s="66" t="s">
        <v>456</v>
      </c>
      <c r="L26" s="66">
        <v>22.0</v>
      </c>
      <c r="M26" s="66">
        <v>22.0</v>
      </c>
      <c r="N26" s="66" t="s">
        <v>457</v>
      </c>
      <c r="O26" s="66">
        <v>24.0</v>
      </c>
      <c r="P26" s="66" t="s">
        <v>597</v>
      </c>
      <c r="Q26" s="64" t="s">
        <v>459</v>
      </c>
      <c r="R26" s="64" t="s">
        <v>459</v>
      </c>
      <c r="S26" s="64" t="s">
        <v>459</v>
      </c>
      <c r="T26" s="64">
        <v>2112.0</v>
      </c>
      <c r="U26" s="64">
        <v>192.0</v>
      </c>
      <c r="V26" s="66">
        <v>2112.0</v>
      </c>
      <c r="W26" s="66">
        <v>2112.0</v>
      </c>
      <c r="X26" s="66" t="s">
        <v>460</v>
      </c>
      <c r="Y26" s="60" t="s">
        <v>461</v>
      </c>
      <c r="Z26" s="64" t="s">
        <v>462</v>
      </c>
      <c r="AA26" s="64" t="s">
        <v>463</v>
      </c>
      <c r="AB26" s="64" t="s">
        <v>464</v>
      </c>
      <c r="AC26" s="60" t="s">
        <v>451</v>
      </c>
      <c r="AD26" s="64" t="s">
        <v>501</v>
      </c>
      <c r="AE26" s="64" t="s">
        <v>470</v>
      </c>
      <c r="AF26" s="64" t="s">
        <v>470</v>
      </c>
      <c r="AG26" s="64" t="s">
        <v>467</v>
      </c>
      <c r="AH26" s="64" t="s">
        <v>467</v>
      </c>
      <c r="AI26" s="64">
        <v>380.0</v>
      </c>
      <c r="AJ26" s="64">
        <v>21.5</v>
      </c>
      <c r="AK26" s="67">
        <v>8170.0</v>
      </c>
      <c r="AL26" s="63"/>
      <c r="AM26" s="63"/>
      <c r="AN26" s="64">
        <v>21.5</v>
      </c>
      <c r="AO26" s="64" t="s">
        <v>468</v>
      </c>
      <c r="AP26" s="63"/>
      <c r="AQ26" s="63"/>
      <c r="AR26" s="63"/>
      <c r="AS26" s="63"/>
      <c r="AT26" s="63"/>
      <c r="AU26" s="63"/>
      <c r="AV26" s="68"/>
      <c r="AW26" s="58" t="s">
        <v>512</v>
      </c>
      <c r="AX26" s="69">
        <v>8170.0</v>
      </c>
      <c r="AY26" s="70"/>
      <c r="AZ26" s="70"/>
      <c r="BA26" s="70"/>
      <c r="BB26" s="70"/>
      <c r="BC26" s="58" t="s">
        <v>469</v>
      </c>
      <c r="BD26" s="58"/>
      <c r="BE26" s="58"/>
      <c r="BF26" s="58" t="s">
        <v>598</v>
      </c>
      <c r="BG26" s="58" t="s">
        <v>469</v>
      </c>
      <c r="BH26" s="69">
        <v>3.0</v>
      </c>
      <c r="BI26" s="69">
        <v>46177.5</v>
      </c>
      <c r="BJ26" s="58"/>
      <c r="BK26" s="58"/>
      <c r="BL26" s="58"/>
      <c r="BM26" s="58"/>
      <c r="BN26" s="58"/>
      <c r="BO26" s="58"/>
      <c r="BP26" s="58"/>
      <c r="BQ26" s="58"/>
      <c r="BR26" s="58"/>
    </row>
    <row r="27">
      <c r="A27" s="59">
        <v>45810.0</v>
      </c>
      <c r="B27" s="60" t="s">
        <v>451</v>
      </c>
      <c r="C27" s="61">
        <v>45810.0</v>
      </c>
      <c r="D27" s="61">
        <v>45810.0</v>
      </c>
      <c r="E27" s="60" t="s">
        <v>452</v>
      </c>
      <c r="F27" s="71" t="s">
        <v>599</v>
      </c>
      <c r="G27" s="77"/>
      <c r="H27" s="64" t="s">
        <v>492</v>
      </c>
      <c r="I27" s="64" t="s">
        <v>600</v>
      </c>
      <c r="J27" s="64" t="s">
        <v>456</v>
      </c>
      <c r="K27" s="64" t="s">
        <v>456</v>
      </c>
      <c r="L27" s="64">
        <v>22.0</v>
      </c>
      <c r="M27" s="64">
        <v>22.0</v>
      </c>
      <c r="N27" s="64" t="s">
        <v>457</v>
      </c>
      <c r="O27" s="64">
        <v>24.0</v>
      </c>
      <c r="P27" s="64" t="s">
        <v>459</v>
      </c>
      <c r="Q27" s="66" t="s">
        <v>459</v>
      </c>
      <c r="R27" s="66" t="s">
        <v>459</v>
      </c>
      <c r="S27" s="66" t="s">
        <v>459</v>
      </c>
      <c r="T27" s="66">
        <v>2387.0</v>
      </c>
      <c r="U27" s="66">
        <v>217.0</v>
      </c>
      <c r="V27" s="64">
        <v>2387.0</v>
      </c>
      <c r="W27" s="64">
        <v>2387.0</v>
      </c>
      <c r="X27" s="64" t="s">
        <v>460</v>
      </c>
      <c r="Y27" s="60" t="s">
        <v>461</v>
      </c>
      <c r="Z27" s="64" t="s">
        <v>462</v>
      </c>
      <c r="AA27" s="64" t="s">
        <v>463</v>
      </c>
      <c r="AB27" s="64" t="s">
        <v>464</v>
      </c>
      <c r="AC27" s="60" t="s">
        <v>451</v>
      </c>
      <c r="AD27" s="64" t="s">
        <v>601</v>
      </c>
      <c r="AE27" s="64" t="s">
        <v>547</v>
      </c>
      <c r="AF27" s="64" t="s">
        <v>553</v>
      </c>
      <c r="AG27" s="64" t="s">
        <v>467</v>
      </c>
      <c r="AH27" s="64" t="s">
        <v>467</v>
      </c>
      <c r="AI27" s="64">
        <v>770.0</v>
      </c>
      <c r="AJ27" s="64">
        <v>21.5</v>
      </c>
      <c r="AK27" s="67">
        <v>16555.0</v>
      </c>
      <c r="AL27" s="63"/>
      <c r="AM27" s="63"/>
      <c r="AN27" s="64">
        <v>21.5</v>
      </c>
      <c r="AO27" s="64" t="s">
        <v>468</v>
      </c>
      <c r="AP27" s="63"/>
      <c r="AQ27" s="63"/>
      <c r="AR27" s="63"/>
      <c r="AS27" s="63"/>
      <c r="AT27" s="63"/>
      <c r="AU27" s="63"/>
      <c r="AV27" s="63"/>
      <c r="AW27" s="58" t="s">
        <v>512</v>
      </c>
      <c r="AX27" s="69">
        <v>16555.0</v>
      </c>
      <c r="AY27" s="70"/>
      <c r="AZ27" s="70"/>
      <c r="BA27" s="70"/>
      <c r="BB27" s="70"/>
      <c r="BC27" s="58" t="s">
        <v>469</v>
      </c>
      <c r="BD27" s="58"/>
      <c r="BE27" s="58"/>
      <c r="BF27" s="58" t="s">
        <v>482</v>
      </c>
      <c r="BG27" s="58" t="s">
        <v>469</v>
      </c>
      <c r="BH27" s="69">
        <v>26.0</v>
      </c>
      <c r="BI27" s="69">
        <v>371385.0</v>
      </c>
      <c r="BJ27" s="58"/>
      <c r="BK27" s="58"/>
      <c r="BL27" s="58"/>
      <c r="BM27" s="58"/>
      <c r="BN27" s="58"/>
      <c r="BO27" s="58"/>
      <c r="BP27" s="58"/>
      <c r="BQ27" s="58"/>
      <c r="BR27" s="58"/>
    </row>
    <row r="28">
      <c r="A28" s="59">
        <v>45810.0</v>
      </c>
      <c r="B28" s="60" t="s">
        <v>451</v>
      </c>
      <c r="C28" s="61">
        <v>45810.0</v>
      </c>
      <c r="D28" s="61">
        <v>45810.0</v>
      </c>
      <c r="E28" s="60" t="s">
        <v>452</v>
      </c>
      <c r="F28" s="72" t="s">
        <v>602</v>
      </c>
      <c r="G28" s="63"/>
      <c r="H28" s="66" t="s">
        <v>504</v>
      </c>
      <c r="I28" s="66" t="s">
        <v>603</v>
      </c>
      <c r="J28" s="66" t="s">
        <v>456</v>
      </c>
      <c r="K28" s="66" t="s">
        <v>456</v>
      </c>
      <c r="L28" s="66">
        <v>22.0</v>
      </c>
      <c r="M28" s="66">
        <v>22.0</v>
      </c>
      <c r="N28" s="66" t="s">
        <v>457</v>
      </c>
      <c r="O28" s="66">
        <v>24.0</v>
      </c>
      <c r="P28" s="66" t="s">
        <v>604</v>
      </c>
      <c r="Q28" s="64" t="s">
        <v>459</v>
      </c>
      <c r="R28" s="64" t="s">
        <v>459</v>
      </c>
      <c r="S28" s="64" t="s">
        <v>459</v>
      </c>
      <c r="T28" s="64">
        <v>1914.0</v>
      </c>
      <c r="U28" s="64">
        <v>174.0</v>
      </c>
      <c r="V28" s="66">
        <v>1914.0</v>
      </c>
      <c r="W28" s="66">
        <v>1914.0</v>
      </c>
      <c r="X28" s="66" t="s">
        <v>460</v>
      </c>
      <c r="Y28" s="60" t="s">
        <v>461</v>
      </c>
      <c r="Z28" s="64" t="s">
        <v>462</v>
      </c>
      <c r="AA28" s="64" t="s">
        <v>463</v>
      </c>
      <c r="AB28" s="60" t="s">
        <v>464</v>
      </c>
      <c r="AC28" s="60" t="s">
        <v>451</v>
      </c>
      <c r="AD28" s="66" t="s">
        <v>507</v>
      </c>
      <c r="AE28" s="66" t="s">
        <v>508</v>
      </c>
      <c r="AF28" s="66" t="s">
        <v>509</v>
      </c>
      <c r="AG28" s="64" t="s">
        <v>467</v>
      </c>
      <c r="AH28" s="64" t="s">
        <v>467</v>
      </c>
      <c r="AI28" s="66">
        <v>790.0</v>
      </c>
      <c r="AJ28" s="66">
        <v>21.5</v>
      </c>
      <c r="AK28" s="67">
        <v>16985.0</v>
      </c>
      <c r="AL28" s="63"/>
      <c r="AM28" s="63"/>
      <c r="AN28" s="64">
        <v>21.5</v>
      </c>
      <c r="AO28" s="64" t="s">
        <v>468</v>
      </c>
      <c r="AP28" s="63"/>
      <c r="AQ28" s="63"/>
      <c r="AR28" s="63"/>
      <c r="AS28" s="73">
        <v>0.5</v>
      </c>
      <c r="AT28" s="64">
        <v>8492.5</v>
      </c>
      <c r="AU28" s="60" t="s">
        <v>510</v>
      </c>
      <c r="AV28" s="74" t="s">
        <v>511</v>
      </c>
      <c r="AW28" s="58" t="s">
        <v>512</v>
      </c>
      <c r="AX28" s="69">
        <v>8492.5</v>
      </c>
      <c r="AY28" s="70"/>
      <c r="AZ28" s="70"/>
      <c r="BA28" s="69">
        <v>8492.5</v>
      </c>
      <c r="BB28" s="70"/>
      <c r="BC28" s="58" t="s">
        <v>469</v>
      </c>
      <c r="BD28" s="58"/>
      <c r="BE28" s="58"/>
      <c r="BF28" s="58" t="s">
        <v>489</v>
      </c>
      <c r="BG28" s="58" t="s">
        <v>469</v>
      </c>
      <c r="BH28" s="69">
        <v>7.0</v>
      </c>
      <c r="BI28" s="69">
        <v>125020.0</v>
      </c>
      <c r="BJ28" s="58"/>
      <c r="BK28" s="58"/>
      <c r="BL28" s="58"/>
      <c r="BM28" s="58"/>
      <c r="BN28" s="58"/>
      <c r="BO28" s="58"/>
      <c r="BP28" s="58"/>
      <c r="BQ28" s="58"/>
      <c r="BR28" s="58"/>
    </row>
    <row r="29">
      <c r="A29" s="59">
        <v>45810.0</v>
      </c>
      <c r="B29" s="60" t="s">
        <v>451</v>
      </c>
      <c r="C29" s="61">
        <v>45810.0</v>
      </c>
      <c r="D29" s="61">
        <v>45810.0</v>
      </c>
      <c r="E29" s="60" t="s">
        <v>452</v>
      </c>
      <c r="F29" s="71" t="s">
        <v>605</v>
      </c>
      <c r="G29" s="77"/>
      <c r="H29" s="64" t="s">
        <v>504</v>
      </c>
      <c r="I29" s="64" t="s">
        <v>606</v>
      </c>
      <c r="J29" s="64" t="s">
        <v>456</v>
      </c>
      <c r="K29" s="64" t="s">
        <v>456</v>
      </c>
      <c r="L29" s="64">
        <v>22.0</v>
      </c>
      <c r="M29" s="64">
        <v>22.0</v>
      </c>
      <c r="N29" s="64" t="s">
        <v>457</v>
      </c>
      <c r="O29" s="64">
        <v>24.0</v>
      </c>
      <c r="P29" s="64" t="s">
        <v>459</v>
      </c>
      <c r="Q29" s="66" t="s">
        <v>459</v>
      </c>
      <c r="R29" s="66" t="s">
        <v>459</v>
      </c>
      <c r="S29" s="66" t="s">
        <v>459</v>
      </c>
      <c r="T29" s="66">
        <v>1859.0</v>
      </c>
      <c r="U29" s="66">
        <v>169.0</v>
      </c>
      <c r="V29" s="64">
        <v>1859.0</v>
      </c>
      <c r="W29" s="64">
        <v>1859.0</v>
      </c>
      <c r="X29" s="64" t="s">
        <v>460</v>
      </c>
      <c r="Y29" s="60" t="s">
        <v>461</v>
      </c>
      <c r="Z29" s="64" t="s">
        <v>462</v>
      </c>
      <c r="AA29" s="64" t="s">
        <v>463</v>
      </c>
      <c r="AB29" s="60" t="s">
        <v>464</v>
      </c>
      <c r="AC29" s="60" t="s">
        <v>451</v>
      </c>
      <c r="AD29" s="64" t="s">
        <v>517</v>
      </c>
      <c r="AE29" s="64" t="s">
        <v>518</v>
      </c>
      <c r="AF29" s="64" t="s">
        <v>518</v>
      </c>
      <c r="AG29" s="64" t="s">
        <v>467</v>
      </c>
      <c r="AH29" s="64" t="s">
        <v>467</v>
      </c>
      <c r="AI29" s="64">
        <v>815.0</v>
      </c>
      <c r="AJ29" s="64">
        <v>21.5</v>
      </c>
      <c r="AK29" s="67">
        <v>17522.5</v>
      </c>
      <c r="AL29" s="63"/>
      <c r="AM29" s="63"/>
      <c r="AN29" s="64">
        <v>21.5</v>
      </c>
      <c r="AO29" s="64" t="s">
        <v>468</v>
      </c>
      <c r="AP29" s="63"/>
      <c r="AQ29" s="63"/>
      <c r="AR29" s="63"/>
      <c r="AS29" s="63"/>
      <c r="AT29" s="63"/>
      <c r="AU29" s="63"/>
      <c r="AV29" s="68"/>
      <c r="AW29" s="58" t="s">
        <v>512</v>
      </c>
      <c r="AX29" s="69">
        <v>17522.5</v>
      </c>
      <c r="AY29" s="70"/>
      <c r="AZ29" s="70"/>
      <c r="BA29" s="70"/>
      <c r="BB29" s="70"/>
      <c r="BC29" s="58" t="s">
        <v>469</v>
      </c>
      <c r="BD29" s="58"/>
      <c r="BE29" s="58"/>
      <c r="BF29" s="58" t="s">
        <v>476</v>
      </c>
      <c r="BG29" s="58" t="s">
        <v>469</v>
      </c>
      <c r="BH29" s="69">
        <v>23.0</v>
      </c>
      <c r="BI29" s="69">
        <v>321425.0</v>
      </c>
      <c r="BJ29" s="58"/>
      <c r="BK29" s="58"/>
      <c r="BL29" s="58"/>
      <c r="BM29" s="58"/>
      <c r="BN29" s="58"/>
      <c r="BO29" s="58"/>
      <c r="BP29" s="58"/>
      <c r="BQ29" s="58"/>
      <c r="BR29" s="58"/>
    </row>
    <row r="30">
      <c r="A30" s="59">
        <v>45810.0</v>
      </c>
      <c r="B30" s="60" t="s">
        <v>451</v>
      </c>
      <c r="C30" s="61">
        <v>45810.0</v>
      </c>
      <c r="D30" s="61">
        <v>45810.0</v>
      </c>
      <c r="E30" s="60" t="s">
        <v>452</v>
      </c>
      <c r="F30" s="72" t="s">
        <v>607</v>
      </c>
      <c r="G30" s="63"/>
      <c r="H30" s="66" t="s">
        <v>521</v>
      </c>
      <c r="I30" s="66" t="s">
        <v>608</v>
      </c>
      <c r="J30" s="66" t="s">
        <v>456</v>
      </c>
      <c r="K30" s="66" t="s">
        <v>456</v>
      </c>
      <c r="L30" s="66">
        <v>22.0</v>
      </c>
      <c r="M30" s="66">
        <v>22.0</v>
      </c>
      <c r="N30" s="66" t="s">
        <v>457</v>
      </c>
      <c r="O30" s="66">
        <v>24.0</v>
      </c>
      <c r="P30" s="66" t="s">
        <v>609</v>
      </c>
      <c r="Q30" s="64" t="s">
        <v>459</v>
      </c>
      <c r="R30" s="64" t="s">
        <v>459</v>
      </c>
      <c r="S30" s="64" t="s">
        <v>459</v>
      </c>
      <c r="T30" s="64">
        <v>1155.0</v>
      </c>
      <c r="U30" s="64">
        <v>105.0</v>
      </c>
      <c r="V30" s="66">
        <v>1155.0</v>
      </c>
      <c r="W30" s="66">
        <v>1155.0</v>
      </c>
      <c r="X30" s="66" t="s">
        <v>460</v>
      </c>
      <c r="Y30" s="60" t="s">
        <v>461</v>
      </c>
      <c r="Z30" s="64" t="s">
        <v>462</v>
      </c>
      <c r="AA30" s="64" t="s">
        <v>463</v>
      </c>
      <c r="AB30" s="64" t="s">
        <v>464</v>
      </c>
      <c r="AC30" s="60" t="s">
        <v>451</v>
      </c>
      <c r="AD30" s="66" t="s">
        <v>524</v>
      </c>
      <c r="AE30" s="66" t="s">
        <v>483</v>
      </c>
      <c r="AF30" s="66" t="s">
        <v>483</v>
      </c>
      <c r="AG30" s="64" t="s">
        <v>467</v>
      </c>
      <c r="AH30" s="64" t="s">
        <v>467</v>
      </c>
      <c r="AI30" s="66">
        <v>600.0</v>
      </c>
      <c r="AJ30" s="66">
        <v>21.5</v>
      </c>
      <c r="AK30" s="67">
        <v>12900.0</v>
      </c>
      <c r="AL30" s="63"/>
      <c r="AM30" s="63"/>
      <c r="AN30" s="64">
        <v>21.5</v>
      </c>
      <c r="AO30" s="64" t="s">
        <v>468</v>
      </c>
      <c r="AP30" s="63"/>
      <c r="AQ30" s="63"/>
      <c r="AR30" s="63"/>
      <c r="AS30" s="63"/>
      <c r="AT30" s="63"/>
      <c r="AU30" s="63"/>
      <c r="AV30" s="68"/>
      <c r="AW30" s="58" t="s">
        <v>512</v>
      </c>
      <c r="AX30" s="69">
        <v>12900.0</v>
      </c>
      <c r="AY30" s="70"/>
      <c r="AZ30" s="70"/>
      <c r="BA30" s="70"/>
      <c r="BB30" s="70"/>
      <c r="BC30" s="58" t="s">
        <v>469</v>
      </c>
      <c r="BD30" s="58"/>
      <c r="BE30" s="58"/>
      <c r="BF30" s="58" t="s">
        <v>567</v>
      </c>
      <c r="BG30" s="58" t="s">
        <v>469</v>
      </c>
      <c r="BH30" s="69">
        <v>27.0</v>
      </c>
      <c r="BI30" s="69">
        <v>292552.5</v>
      </c>
      <c r="BJ30" s="58"/>
      <c r="BK30" s="58"/>
      <c r="BL30" s="58"/>
      <c r="BM30" s="58"/>
      <c r="BN30" s="58"/>
      <c r="BO30" s="58"/>
      <c r="BP30" s="58"/>
      <c r="BQ30" s="58"/>
      <c r="BR30" s="58"/>
    </row>
    <row r="31">
      <c r="A31" s="59">
        <v>45810.0</v>
      </c>
      <c r="B31" s="60" t="s">
        <v>451</v>
      </c>
      <c r="C31" s="61">
        <v>45810.0</v>
      </c>
      <c r="D31" s="61">
        <v>45810.0</v>
      </c>
      <c r="E31" s="60" t="s">
        <v>452</v>
      </c>
      <c r="F31" s="72" t="s">
        <v>610</v>
      </c>
      <c r="G31" s="77"/>
      <c r="H31" s="64" t="s">
        <v>492</v>
      </c>
      <c r="I31" s="64" t="s">
        <v>527</v>
      </c>
      <c r="J31" s="64" t="s">
        <v>456</v>
      </c>
      <c r="K31" s="64" t="s">
        <v>456</v>
      </c>
      <c r="L31" s="64">
        <v>22.0</v>
      </c>
      <c r="M31" s="64">
        <v>22.0</v>
      </c>
      <c r="N31" s="64" t="s">
        <v>457</v>
      </c>
      <c r="O31" s="64">
        <v>24.0</v>
      </c>
      <c r="P31" s="75">
        <v>2.41E8</v>
      </c>
      <c r="Q31" s="66" t="s">
        <v>459</v>
      </c>
      <c r="R31" s="66" t="s">
        <v>459</v>
      </c>
      <c r="S31" s="66" t="s">
        <v>459</v>
      </c>
      <c r="T31" s="66">
        <v>572.0</v>
      </c>
      <c r="U31" s="66">
        <v>52.0</v>
      </c>
      <c r="V31" s="64">
        <v>572.0</v>
      </c>
      <c r="W31" s="64">
        <v>572.0</v>
      </c>
      <c r="X31" s="64" t="s">
        <v>460</v>
      </c>
      <c r="Y31" s="60" t="s">
        <v>461</v>
      </c>
      <c r="Z31" s="64" t="s">
        <v>462</v>
      </c>
      <c r="AA31" s="64" t="s">
        <v>463</v>
      </c>
      <c r="AB31" s="64" t="s">
        <v>464</v>
      </c>
      <c r="AC31" s="60" t="s">
        <v>451</v>
      </c>
      <c r="AD31" s="66" t="s">
        <v>529</v>
      </c>
      <c r="AE31" s="66" t="s">
        <v>530</v>
      </c>
      <c r="AF31" s="66" t="s">
        <v>530</v>
      </c>
      <c r="AG31" s="64" t="s">
        <v>467</v>
      </c>
      <c r="AH31" s="64" t="s">
        <v>467</v>
      </c>
      <c r="AI31" s="66">
        <v>510.0</v>
      </c>
      <c r="AJ31" s="66">
        <v>21.5</v>
      </c>
      <c r="AK31" s="67">
        <v>10965.0</v>
      </c>
      <c r="AL31" s="63"/>
      <c r="AM31" s="63"/>
      <c r="AN31" s="64">
        <v>21.5</v>
      </c>
      <c r="AO31" s="64" t="s">
        <v>468</v>
      </c>
      <c r="AP31" s="63"/>
      <c r="AQ31" s="63"/>
      <c r="AR31" s="63"/>
      <c r="AS31" s="63"/>
      <c r="AT31" s="63"/>
      <c r="AU31" s="63"/>
      <c r="AV31" s="68"/>
      <c r="AW31" s="58" t="s">
        <v>512</v>
      </c>
      <c r="AX31" s="69">
        <v>10965.0</v>
      </c>
      <c r="AY31" s="70"/>
      <c r="AZ31" s="70"/>
      <c r="BA31" s="70"/>
      <c r="BB31" s="70"/>
      <c r="BC31" s="58" t="s">
        <v>469</v>
      </c>
      <c r="BD31" s="58"/>
      <c r="BE31" s="58"/>
      <c r="BF31" s="58" t="s">
        <v>578</v>
      </c>
      <c r="BG31" s="58" t="s">
        <v>469</v>
      </c>
      <c r="BH31" s="69">
        <v>25.0</v>
      </c>
      <c r="BI31" s="69">
        <v>215226.0</v>
      </c>
      <c r="BJ31" s="58"/>
      <c r="BK31" s="58"/>
      <c r="BL31" s="58"/>
      <c r="BM31" s="58"/>
      <c r="BN31" s="58"/>
      <c r="BO31" s="58"/>
      <c r="BP31" s="58"/>
      <c r="BQ31" s="58"/>
      <c r="BR31" s="58"/>
    </row>
    <row r="32">
      <c r="A32" s="59">
        <v>45810.0</v>
      </c>
      <c r="B32" s="60" t="s">
        <v>451</v>
      </c>
      <c r="C32" s="61">
        <v>45810.0</v>
      </c>
      <c r="D32" s="61">
        <v>45810.0</v>
      </c>
      <c r="E32" s="60" t="s">
        <v>452</v>
      </c>
      <c r="F32" s="71" t="s">
        <v>611</v>
      </c>
      <c r="G32" s="63"/>
      <c r="H32" s="66" t="s">
        <v>492</v>
      </c>
      <c r="I32" s="66" t="s">
        <v>533</v>
      </c>
      <c r="J32" s="66" t="s">
        <v>486</v>
      </c>
      <c r="K32" s="66" t="s">
        <v>486</v>
      </c>
      <c r="L32" s="66">
        <v>22.0</v>
      </c>
      <c r="M32" s="66">
        <v>22.0</v>
      </c>
      <c r="N32" s="66" t="s">
        <v>457</v>
      </c>
      <c r="O32" s="66">
        <v>24.0</v>
      </c>
      <c r="P32" s="80">
        <v>2.41E8</v>
      </c>
      <c r="Q32" s="64" t="s">
        <v>459</v>
      </c>
      <c r="R32" s="64" t="s">
        <v>459</v>
      </c>
      <c r="S32" s="64" t="s">
        <v>459</v>
      </c>
      <c r="T32" s="64">
        <v>2288.0</v>
      </c>
      <c r="U32" s="64">
        <v>208.0</v>
      </c>
      <c r="V32" s="66">
        <v>2288.0</v>
      </c>
      <c r="W32" s="66">
        <v>2288.0</v>
      </c>
      <c r="X32" s="66" t="s">
        <v>460</v>
      </c>
      <c r="Y32" s="60" t="s">
        <v>461</v>
      </c>
      <c r="Z32" s="64" t="s">
        <v>462</v>
      </c>
      <c r="AA32" s="64" t="s">
        <v>463</v>
      </c>
      <c r="AB32" s="64" t="s">
        <v>464</v>
      </c>
      <c r="AC32" s="60" t="s">
        <v>451</v>
      </c>
      <c r="AD32" s="64" t="s">
        <v>529</v>
      </c>
      <c r="AE32" s="64" t="s">
        <v>535</v>
      </c>
      <c r="AF32" s="64" t="s">
        <v>535</v>
      </c>
      <c r="AG32" s="64" t="s">
        <v>467</v>
      </c>
      <c r="AH32" s="64" t="s">
        <v>467</v>
      </c>
      <c r="AI32" s="66">
        <v>510.0</v>
      </c>
      <c r="AJ32" s="66">
        <v>23.5</v>
      </c>
      <c r="AK32" s="67">
        <v>11985.0</v>
      </c>
      <c r="AL32" s="63"/>
      <c r="AM32" s="63"/>
      <c r="AN32" s="64">
        <v>23.5</v>
      </c>
      <c r="AO32" s="64" t="s">
        <v>468</v>
      </c>
      <c r="AP32" s="63"/>
      <c r="AQ32" s="63"/>
      <c r="AR32" s="63"/>
      <c r="AS32" s="63"/>
      <c r="AT32" s="63"/>
      <c r="AU32" s="63"/>
      <c r="AV32" s="68"/>
      <c r="AW32" s="58" t="s">
        <v>512</v>
      </c>
      <c r="AX32" s="69">
        <v>11985.0</v>
      </c>
      <c r="AY32" s="70"/>
      <c r="AZ32" s="70"/>
      <c r="BA32" s="70"/>
      <c r="BB32" s="70"/>
      <c r="BC32" s="58" t="s">
        <v>469</v>
      </c>
      <c r="BD32" s="58"/>
      <c r="BE32" s="58"/>
      <c r="BF32" s="58" t="s">
        <v>612</v>
      </c>
      <c r="BG32" s="58" t="s">
        <v>469</v>
      </c>
      <c r="BH32" s="69">
        <v>1.0</v>
      </c>
      <c r="BI32" s="69">
        <v>8514.0</v>
      </c>
      <c r="BJ32" s="58"/>
      <c r="BK32" s="58"/>
      <c r="BL32" s="58"/>
      <c r="BM32" s="58"/>
      <c r="BN32" s="58"/>
      <c r="BO32" s="58"/>
      <c r="BP32" s="58"/>
      <c r="BQ32" s="58"/>
      <c r="BR32" s="58"/>
    </row>
    <row r="33">
      <c r="A33" s="59">
        <v>45810.0</v>
      </c>
      <c r="B33" s="60" t="s">
        <v>451</v>
      </c>
      <c r="C33" s="61">
        <v>45810.0</v>
      </c>
      <c r="D33" s="61">
        <v>45810.0</v>
      </c>
      <c r="E33" s="60" t="s">
        <v>452</v>
      </c>
      <c r="F33" s="71" t="s">
        <v>613</v>
      </c>
      <c r="G33" s="63"/>
      <c r="H33" s="66" t="s">
        <v>538</v>
      </c>
      <c r="I33" s="66" t="s">
        <v>539</v>
      </c>
      <c r="J33" s="66" t="s">
        <v>456</v>
      </c>
      <c r="K33" s="66" t="s">
        <v>456</v>
      </c>
      <c r="L33" s="66">
        <v>32.0</v>
      </c>
      <c r="M33" s="66">
        <v>32.0</v>
      </c>
      <c r="N33" s="66" t="s">
        <v>540</v>
      </c>
      <c r="O33" s="66">
        <v>24.0</v>
      </c>
      <c r="P33" s="80">
        <v>2.41E8</v>
      </c>
      <c r="Q33" s="64" t="s">
        <v>459</v>
      </c>
      <c r="R33" s="64" t="s">
        <v>459</v>
      </c>
      <c r="S33" s="64" t="s">
        <v>459</v>
      </c>
      <c r="T33" s="64">
        <v>1881.0</v>
      </c>
      <c r="U33" s="64">
        <v>171.0</v>
      </c>
      <c r="V33" s="66">
        <v>1881.0</v>
      </c>
      <c r="W33" s="66">
        <v>1881.0</v>
      </c>
      <c r="X33" s="66" t="s">
        <v>460</v>
      </c>
      <c r="Y33" s="60" t="s">
        <v>461</v>
      </c>
      <c r="Z33" s="64" t="s">
        <v>462</v>
      </c>
      <c r="AA33" s="64" t="s">
        <v>463</v>
      </c>
      <c r="AB33" s="64" t="s">
        <v>464</v>
      </c>
      <c r="AC33" s="60" t="s">
        <v>451</v>
      </c>
      <c r="AD33" s="64" t="s">
        <v>541</v>
      </c>
      <c r="AE33" s="64" t="s">
        <v>490</v>
      </c>
      <c r="AF33" s="64" t="s">
        <v>490</v>
      </c>
      <c r="AG33" s="64" t="s">
        <v>467</v>
      </c>
      <c r="AH33" s="64" t="s">
        <v>467</v>
      </c>
      <c r="AI33" s="66">
        <v>325.0</v>
      </c>
      <c r="AJ33" s="66">
        <v>28.4</v>
      </c>
      <c r="AK33" s="67">
        <v>9213.75</v>
      </c>
      <c r="AL33" s="63"/>
      <c r="AM33" s="63"/>
      <c r="AN33" s="64">
        <v>28.35</v>
      </c>
      <c r="AO33" s="64" t="s">
        <v>468</v>
      </c>
      <c r="AP33" s="63"/>
      <c r="AQ33" s="63"/>
      <c r="AR33" s="63"/>
      <c r="AS33" s="63"/>
      <c r="AT33" s="63"/>
      <c r="AU33" s="63"/>
      <c r="AV33" s="68"/>
      <c r="AW33" s="58" t="s">
        <v>512</v>
      </c>
      <c r="AX33" s="69">
        <v>9213.75</v>
      </c>
      <c r="AY33" s="70"/>
      <c r="AZ33" s="70"/>
      <c r="BA33" s="70"/>
      <c r="BB33" s="70"/>
      <c r="BC33" s="58" t="s">
        <v>469</v>
      </c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</row>
    <row r="34">
      <c r="A34" s="59">
        <v>45810.0</v>
      </c>
      <c r="B34" s="60" t="s">
        <v>451</v>
      </c>
      <c r="C34" s="61">
        <v>45810.0</v>
      </c>
      <c r="D34" s="61">
        <v>45810.0</v>
      </c>
      <c r="E34" s="60" t="s">
        <v>452</v>
      </c>
      <c r="F34" s="72" t="s">
        <v>614</v>
      </c>
      <c r="G34" s="77"/>
      <c r="H34" s="64" t="s">
        <v>521</v>
      </c>
      <c r="I34" s="64" t="s">
        <v>615</v>
      </c>
      <c r="J34" s="64" t="s">
        <v>456</v>
      </c>
      <c r="K34" s="64" t="s">
        <v>456</v>
      </c>
      <c r="L34" s="66">
        <v>22.0</v>
      </c>
      <c r="M34" s="66">
        <v>22.0</v>
      </c>
      <c r="N34" s="66" t="s">
        <v>457</v>
      </c>
      <c r="O34" s="66">
        <v>24.0</v>
      </c>
      <c r="P34" s="64" t="s">
        <v>616</v>
      </c>
      <c r="Q34" s="66" t="s">
        <v>459</v>
      </c>
      <c r="R34" s="66" t="s">
        <v>459</v>
      </c>
      <c r="S34" s="66" t="s">
        <v>459</v>
      </c>
      <c r="T34" s="64">
        <v>2420.0</v>
      </c>
      <c r="U34" s="64">
        <v>220.0</v>
      </c>
      <c r="V34" s="64">
        <v>2420.0</v>
      </c>
      <c r="W34" s="64">
        <v>2420.0</v>
      </c>
      <c r="X34" s="64" t="s">
        <v>460</v>
      </c>
      <c r="Y34" s="60" t="s">
        <v>461</v>
      </c>
      <c r="Z34" s="64" t="s">
        <v>462</v>
      </c>
      <c r="AA34" s="64" t="s">
        <v>463</v>
      </c>
      <c r="AB34" s="64" t="s">
        <v>464</v>
      </c>
      <c r="AC34" s="60" t="s">
        <v>451</v>
      </c>
      <c r="AD34" s="66" t="s">
        <v>557</v>
      </c>
      <c r="AE34" s="64" t="s">
        <v>525</v>
      </c>
      <c r="AF34" s="64" t="s">
        <v>525</v>
      </c>
      <c r="AG34" s="64" t="s">
        <v>467</v>
      </c>
      <c r="AH34" s="64" t="s">
        <v>467</v>
      </c>
      <c r="AI34" s="66">
        <v>800.0</v>
      </c>
      <c r="AJ34" s="64">
        <v>21.5</v>
      </c>
      <c r="AK34" s="67">
        <v>17200.0</v>
      </c>
      <c r="AL34" s="63"/>
      <c r="AM34" s="63"/>
      <c r="AN34" s="64">
        <v>21.5</v>
      </c>
      <c r="AO34" s="66" t="s">
        <v>468</v>
      </c>
      <c r="AP34" s="63"/>
      <c r="AQ34" s="63"/>
      <c r="AR34" s="63"/>
      <c r="AS34" s="63"/>
      <c r="AT34" s="63"/>
      <c r="AU34" s="63"/>
      <c r="AV34" s="68"/>
      <c r="AW34" s="58" t="s">
        <v>512</v>
      </c>
      <c r="AX34" s="69">
        <v>17200.0</v>
      </c>
      <c r="AY34" s="70"/>
      <c r="AZ34" s="70"/>
      <c r="BA34" s="70"/>
      <c r="BB34" s="70"/>
      <c r="BC34" s="58" t="s">
        <v>469</v>
      </c>
      <c r="BD34" s="58"/>
      <c r="BE34" s="58"/>
      <c r="BF34" s="58" t="s">
        <v>617</v>
      </c>
      <c r="BG34" s="58" t="s">
        <v>469</v>
      </c>
      <c r="BH34" s="69">
        <v>16.0</v>
      </c>
      <c r="BI34" s="69">
        <v>113520.0</v>
      </c>
      <c r="BJ34" s="58"/>
      <c r="BK34" s="58"/>
      <c r="BL34" s="58"/>
      <c r="BM34" s="58"/>
      <c r="BN34" s="58"/>
      <c r="BO34" s="58"/>
      <c r="BP34" s="58"/>
      <c r="BQ34" s="58"/>
      <c r="BR34" s="58"/>
    </row>
    <row r="35">
      <c r="A35" s="59">
        <v>45810.0</v>
      </c>
      <c r="B35" s="60" t="s">
        <v>451</v>
      </c>
      <c r="C35" s="61">
        <v>45810.0</v>
      </c>
      <c r="D35" s="61">
        <v>45810.0</v>
      </c>
      <c r="E35" s="60" t="s">
        <v>452</v>
      </c>
      <c r="F35" s="71" t="s">
        <v>618</v>
      </c>
      <c r="G35" s="63"/>
      <c r="H35" s="66" t="s">
        <v>521</v>
      </c>
      <c r="I35" s="66" t="s">
        <v>619</v>
      </c>
      <c r="J35" s="64" t="s">
        <v>486</v>
      </c>
      <c r="K35" s="64" t="s">
        <v>486</v>
      </c>
      <c r="L35" s="66">
        <v>22.0</v>
      </c>
      <c r="M35" s="66">
        <v>22.0</v>
      </c>
      <c r="N35" s="66" t="s">
        <v>457</v>
      </c>
      <c r="O35" s="66">
        <v>24.0</v>
      </c>
      <c r="P35" s="75">
        <v>2.41E8</v>
      </c>
      <c r="Q35" s="64" t="s">
        <v>459</v>
      </c>
      <c r="R35" s="64" t="s">
        <v>459</v>
      </c>
      <c r="S35" s="64" t="s">
        <v>459</v>
      </c>
      <c r="T35" s="64">
        <v>1914.0</v>
      </c>
      <c r="U35" s="64">
        <v>174.0</v>
      </c>
      <c r="V35" s="64">
        <v>1914.0</v>
      </c>
      <c r="W35" s="64">
        <v>1914.0</v>
      </c>
      <c r="X35" s="64" t="s">
        <v>460</v>
      </c>
      <c r="Y35" s="60" t="s">
        <v>461</v>
      </c>
      <c r="Z35" s="64" t="s">
        <v>462</v>
      </c>
      <c r="AA35" s="64" t="s">
        <v>463</v>
      </c>
      <c r="AB35" s="64" t="s">
        <v>464</v>
      </c>
      <c r="AC35" s="60" t="s">
        <v>451</v>
      </c>
      <c r="AD35" s="66" t="s">
        <v>557</v>
      </c>
      <c r="AE35" s="64" t="s">
        <v>525</v>
      </c>
      <c r="AF35" s="64" t="s">
        <v>525</v>
      </c>
      <c r="AG35" s="64" t="s">
        <v>467</v>
      </c>
      <c r="AH35" s="64" t="s">
        <v>467</v>
      </c>
      <c r="AI35" s="66">
        <v>800.0</v>
      </c>
      <c r="AJ35" s="64">
        <v>23.5</v>
      </c>
      <c r="AK35" s="67">
        <v>18800.0</v>
      </c>
      <c r="AL35" s="63"/>
      <c r="AM35" s="63"/>
      <c r="AN35" s="64">
        <v>23.5</v>
      </c>
      <c r="AO35" s="66" t="s">
        <v>468</v>
      </c>
      <c r="AP35" s="63"/>
      <c r="AQ35" s="63"/>
      <c r="AR35" s="63"/>
      <c r="AS35" s="63"/>
      <c r="AT35" s="63"/>
      <c r="AU35" s="63"/>
      <c r="AV35" s="68"/>
      <c r="AW35" s="58" t="s">
        <v>512</v>
      </c>
      <c r="AX35" s="69">
        <v>18800.0</v>
      </c>
      <c r="AY35" s="70"/>
      <c r="AZ35" s="70"/>
      <c r="BA35" s="70"/>
      <c r="BB35" s="70"/>
      <c r="BC35" s="58" t="s">
        <v>469</v>
      </c>
      <c r="BD35" s="58"/>
      <c r="BE35" s="58"/>
      <c r="BF35" s="58" t="s">
        <v>620</v>
      </c>
      <c r="BG35" s="58" t="s">
        <v>469</v>
      </c>
      <c r="BH35" s="69">
        <v>1.0</v>
      </c>
      <c r="BI35" s="69">
        <v>10857.5</v>
      </c>
      <c r="BJ35" s="58"/>
      <c r="BK35" s="58"/>
      <c r="BL35" s="58"/>
      <c r="BM35" s="58"/>
      <c r="BN35" s="58"/>
      <c r="BO35" s="58"/>
      <c r="BP35" s="58"/>
      <c r="BQ35" s="58"/>
      <c r="BR35" s="58"/>
    </row>
    <row r="36">
      <c r="A36" s="59">
        <v>45810.0</v>
      </c>
      <c r="B36" s="60" t="s">
        <v>451</v>
      </c>
      <c r="C36" s="61">
        <v>45810.0</v>
      </c>
      <c r="D36" s="61">
        <v>45810.0</v>
      </c>
      <c r="E36" s="60" t="s">
        <v>452</v>
      </c>
      <c r="F36" s="72" t="s">
        <v>621</v>
      </c>
      <c r="G36" s="77"/>
      <c r="H36" s="64" t="s">
        <v>538</v>
      </c>
      <c r="I36" s="64" t="s">
        <v>559</v>
      </c>
      <c r="J36" s="64" t="s">
        <v>456</v>
      </c>
      <c r="K36" s="64" t="s">
        <v>456</v>
      </c>
      <c r="L36" s="64">
        <v>32.0</v>
      </c>
      <c r="M36" s="64">
        <v>32.0</v>
      </c>
      <c r="N36" s="64" t="s">
        <v>540</v>
      </c>
      <c r="O36" s="64">
        <v>24.0</v>
      </c>
      <c r="P36" s="64" t="s">
        <v>622</v>
      </c>
      <c r="Q36" s="66" t="s">
        <v>459</v>
      </c>
      <c r="R36" s="66" t="s">
        <v>459</v>
      </c>
      <c r="S36" s="66" t="s">
        <v>459</v>
      </c>
      <c r="T36" s="66">
        <v>2684.0</v>
      </c>
      <c r="U36" s="66">
        <v>244.0</v>
      </c>
      <c r="V36" s="64">
        <v>2684.0</v>
      </c>
      <c r="W36" s="64">
        <v>2684.0</v>
      </c>
      <c r="X36" s="64" t="s">
        <v>460</v>
      </c>
      <c r="Y36" s="60" t="s">
        <v>461</v>
      </c>
      <c r="Z36" s="64" t="s">
        <v>462</v>
      </c>
      <c r="AA36" s="64" t="s">
        <v>463</v>
      </c>
      <c r="AB36" s="64" t="s">
        <v>464</v>
      </c>
      <c r="AC36" s="60" t="s">
        <v>451</v>
      </c>
      <c r="AD36" s="66" t="s">
        <v>561</v>
      </c>
      <c r="AE36" s="66" t="s">
        <v>562</v>
      </c>
      <c r="AF36" s="66" t="s">
        <v>562</v>
      </c>
      <c r="AG36" s="64" t="s">
        <v>467</v>
      </c>
      <c r="AH36" s="64" t="s">
        <v>467</v>
      </c>
      <c r="AI36" s="60">
        <v>325.0</v>
      </c>
      <c r="AJ36" s="60">
        <v>28.4</v>
      </c>
      <c r="AK36" s="67">
        <v>9213.75</v>
      </c>
      <c r="AL36" s="63"/>
      <c r="AM36" s="63"/>
      <c r="AN36" s="64">
        <v>28.35</v>
      </c>
      <c r="AO36" s="64" t="s">
        <v>468</v>
      </c>
      <c r="AP36" s="63"/>
      <c r="AQ36" s="63"/>
      <c r="AR36" s="63"/>
      <c r="AS36" s="63"/>
      <c r="AT36" s="63"/>
      <c r="AU36" s="63"/>
      <c r="AV36" s="63"/>
      <c r="AW36" s="58" t="s">
        <v>512</v>
      </c>
      <c r="AX36" s="69">
        <v>9213.75</v>
      </c>
      <c r="AY36" s="70"/>
      <c r="AZ36" s="70"/>
      <c r="BA36" s="70"/>
      <c r="BB36" s="70"/>
      <c r="BC36" s="58" t="s">
        <v>469</v>
      </c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</row>
    <row r="37">
      <c r="A37" s="59">
        <v>45810.0</v>
      </c>
      <c r="B37" s="60" t="s">
        <v>451</v>
      </c>
      <c r="C37" s="61">
        <v>45810.0</v>
      </c>
      <c r="D37" s="61">
        <v>45810.0</v>
      </c>
      <c r="E37" s="60" t="s">
        <v>452</v>
      </c>
      <c r="F37" s="71" t="s">
        <v>623</v>
      </c>
      <c r="G37" s="63"/>
      <c r="H37" s="66" t="s">
        <v>538</v>
      </c>
      <c r="I37" s="66" t="s">
        <v>564</v>
      </c>
      <c r="J37" s="66" t="s">
        <v>456</v>
      </c>
      <c r="K37" s="66" t="s">
        <v>456</v>
      </c>
      <c r="L37" s="66">
        <v>32.0</v>
      </c>
      <c r="M37" s="66">
        <v>32.0</v>
      </c>
      <c r="N37" s="66" t="s">
        <v>540</v>
      </c>
      <c r="O37" s="66">
        <v>24.0</v>
      </c>
      <c r="P37" s="66" t="s">
        <v>624</v>
      </c>
      <c r="Q37" s="64" t="s">
        <v>459</v>
      </c>
      <c r="R37" s="64" t="s">
        <v>459</v>
      </c>
      <c r="S37" s="64" t="s">
        <v>459</v>
      </c>
      <c r="T37" s="64">
        <v>2728.0</v>
      </c>
      <c r="U37" s="64">
        <v>248.0</v>
      </c>
      <c r="V37" s="66">
        <v>2728.0</v>
      </c>
      <c r="W37" s="66">
        <v>2728.0</v>
      </c>
      <c r="X37" s="66" t="s">
        <v>460</v>
      </c>
      <c r="Y37" s="60" t="s">
        <v>461</v>
      </c>
      <c r="Z37" s="64" t="s">
        <v>462</v>
      </c>
      <c r="AA37" s="64" t="s">
        <v>463</v>
      </c>
      <c r="AB37" s="64" t="s">
        <v>464</v>
      </c>
      <c r="AC37" s="60" t="s">
        <v>451</v>
      </c>
      <c r="AD37" s="64" t="s">
        <v>566</v>
      </c>
      <c r="AE37" s="64" t="s">
        <v>567</v>
      </c>
      <c r="AF37" s="64" t="s">
        <v>567</v>
      </c>
      <c r="AG37" s="64" t="s">
        <v>467</v>
      </c>
      <c r="AH37" s="64" t="s">
        <v>467</v>
      </c>
      <c r="AI37" s="64">
        <v>475.0</v>
      </c>
      <c r="AJ37" s="64">
        <v>28.35</v>
      </c>
      <c r="AK37" s="67">
        <v>13466.25</v>
      </c>
      <c r="AL37" s="63"/>
      <c r="AM37" s="63"/>
      <c r="AN37" s="64">
        <v>28.35</v>
      </c>
      <c r="AO37" s="64" t="s">
        <v>468</v>
      </c>
      <c r="AP37" s="63"/>
      <c r="AQ37" s="63"/>
      <c r="AR37" s="63"/>
      <c r="AS37" s="63"/>
      <c r="AT37" s="63"/>
      <c r="AU37" s="63"/>
      <c r="AV37" s="63"/>
      <c r="AW37" s="58" t="s">
        <v>512</v>
      </c>
      <c r="AX37" s="69">
        <v>13466.25</v>
      </c>
      <c r="AY37" s="70"/>
      <c r="AZ37" s="70"/>
      <c r="BA37" s="70"/>
      <c r="BB37" s="70"/>
      <c r="BC37" s="58" t="s">
        <v>469</v>
      </c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</row>
    <row r="38">
      <c r="A38" s="59">
        <v>45810.0</v>
      </c>
      <c r="B38" s="60" t="s">
        <v>451</v>
      </c>
      <c r="C38" s="61">
        <v>45810.0</v>
      </c>
      <c r="D38" s="61">
        <v>45810.0</v>
      </c>
      <c r="E38" s="60" t="s">
        <v>452</v>
      </c>
      <c r="F38" s="72" t="s">
        <v>625</v>
      </c>
      <c r="G38" s="77"/>
      <c r="H38" s="64" t="s">
        <v>492</v>
      </c>
      <c r="I38" s="64" t="s">
        <v>626</v>
      </c>
      <c r="J38" s="64" t="s">
        <v>456</v>
      </c>
      <c r="K38" s="64" t="s">
        <v>456</v>
      </c>
      <c r="L38" s="64">
        <v>22.0</v>
      </c>
      <c r="M38" s="64">
        <v>22.0</v>
      </c>
      <c r="N38" s="64" t="s">
        <v>457</v>
      </c>
      <c r="O38" s="64">
        <v>24.0</v>
      </c>
      <c r="P38" s="75">
        <v>2.41E8</v>
      </c>
      <c r="Q38" s="66" t="s">
        <v>459</v>
      </c>
      <c r="R38" s="66" t="s">
        <v>459</v>
      </c>
      <c r="S38" s="66" t="s">
        <v>459</v>
      </c>
      <c r="T38" s="66">
        <v>2728.0</v>
      </c>
      <c r="U38" s="66">
        <v>248.0</v>
      </c>
      <c r="V38" s="64">
        <v>2728.0</v>
      </c>
      <c r="W38" s="64">
        <v>2728.0</v>
      </c>
      <c r="X38" s="64" t="s">
        <v>460</v>
      </c>
      <c r="Y38" s="60" t="s">
        <v>461</v>
      </c>
      <c r="Z38" s="64" t="s">
        <v>462</v>
      </c>
      <c r="AA38" s="64" t="s">
        <v>463</v>
      </c>
      <c r="AB38" s="64" t="s">
        <v>464</v>
      </c>
      <c r="AC38" s="60" t="s">
        <v>451</v>
      </c>
      <c r="AD38" s="66" t="s">
        <v>571</v>
      </c>
      <c r="AE38" s="66" t="s">
        <v>572</v>
      </c>
      <c r="AF38" s="66" t="s">
        <v>572</v>
      </c>
      <c r="AG38" s="64" t="s">
        <v>467</v>
      </c>
      <c r="AH38" s="64" t="s">
        <v>467</v>
      </c>
      <c r="AI38" s="66">
        <v>655.0</v>
      </c>
      <c r="AJ38" s="66">
        <v>21.5</v>
      </c>
      <c r="AK38" s="67">
        <v>14082.5</v>
      </c>
      <c r="AL38" s="63"/>
      <c r="AM38" s="63"/>
      <c r="AN38" s="64">
        <v>21.5</v>
      </c>
      <c r="AO38" s="60" t="s">
        <v>468</v>
      </c>
      <c r="AP38" s="63"/>
      <c r="AQ38" s="63"/>
      <c r="AR38" s="63"/>
      <c r="AS38" s="63"/>
      <c r="AT38" s="63"/>
      <c r="AU38" s="63"/>
      <c r="AV38" s="68"/>
      <c r="AW38" s="58" t="s">
        <v>512</v>
      </c>
      <c r="AX38" s="69">
        <v>14082.5</v>
      </c>
      <c r="AY38" s="70"/>
      <c r="AZ38" s="70"/>
      <c r="BA38" s="70"/>
      <c r="BB38" s="70"/>
      <c r="BC38" s="58" t="s">
        <v>469</v>
      </c>
      <c r="BD38" s="58"/>
      <c r="BE38" s="58"/>
      <c r="BF38" s="58" t="s">
        <v>627</v>
      </c>
      <c r="BG38" s="58" t="s">
        <v>469</v>
      </c>
      <c r="BH38" s="69">
        <v>2.0</v>
      </c>
      <c r="BI38" s="69">
        <v>21930.0</v>
      </c>
      <c r="BJ38" s="58"/>
      <c r="BK38" s="58"/>
      <c r="BL38" s="58"/>
      <c r="BM38" s="58"/>
      <c r="BN38" s="58"/>
      <c r="BO38" s="58"/>
      <c r="BP38" s="58"/>
      <c r="BQ38" s="58"/>
      <c r="BR38" s="58"/>
    </row>
    <row r="39">
      <c r="A39" s="59">
        <v>45810.0</v>
      </c>
      <c r="B39" s="60" t="s">
        <v>451</v>
      </c>
      <c r="C39" s="61">
        <v>45810.0</v>
      </c>
      <c r="D39" s="61">
        <v>45810.0</v>
      </c>
      <c r="E39" s="60" t="s">
        <v>452</v>
      </c>
      <c r="F39" s="71" t="s">
        <v>628</v>
      </c>
      <c r="G39" s="63"/>
      <c r="H39" s="66" t="s">
        <v>472</v>
      </c>
      <c r="I39" s="66" t="s">
        <v>629</v>
      </c>
      <c r="J39" s="66" t="s">
        <v>456</v>
      </c>
      <c r="K39" s="66" t="s">
        <v>456</v>
      </c>
      <c r="L39" s="66">
        <v>22.0</v>
      </c>
      <c r="M39" s="66">
        <v>22.0</v>
      </c>
      <c r="N39" s="66" t="s">
        <v>457</v>
      </c>
      <c r="O39" s="66">
        <v>24.0</v>
      </c>
      <c r="P39" s="66" t="s">
        <v>630</v>
      </c>
      <c r="Q39" s="64" t="s">
        <v>459</v>
      </c>
      <c r="R39" s="64" t="s">
        <v>459</v>
      </c>
      <c r="S39" s="64" t="s">
        <v>459</v>
      </c>
      <c r="T39" s="64">
        <v>2046.0</v>
      </c>
      <c r="U39" s="64">
        <v>186.0</v>
      </c>
      <c r="V39" s="66">
        <v>2046.0</v>
      </c>
      <c r="W39" s="66">
        <v>2046.0</v>
      </c>
      <c r="X39" s="66" t="s">
        <v>460</v>
      </c>
      <c r="Y39" s="60" t="s">
        <v>461</v>
      </c>
      <c r="Z39" s="64" t="s">
        <v>462</v>
      </c>
      <c r="AA39" s="64" t="s">
        <v>463</v>
      </c>
      <c r="AB39" s="64" t="s">
        <v>464</v>
      </c>
      <c r="AC39" s="60" t="s">
        <v>451</v>
      </c>
      <c r="AD39" s="64" t="s">
        <v>577</v>
      </c>
      <c r="AE39" s="64" t="s">
        <v>578</v>
      </c>
      <c r="AF39" s="64" t="s">
        <v>578</v>
      </c>
      <c r="AG39" s="64" t="s">
        <v>467</v>
      </c>
      <c r="AH39" s="64" t="s">
        <v>467</v>
      </c>
      <c r="AI39" s="66">
        <v>396.0</v>
      </c>
      <c r="AJ39" s="64">
        <v>21.5</v>
      </c>
      <c r="AK39" s="67">
        <v>8514.0</v>
      </c>
      <c r="AL39" s="63"/>
      <c r="AM39" s="63"/>
      <c r="AN39" s="64">
        <v>21.5</v>
      </c>
      <c r="AO39" s="64" t="s">
        <v>468</v>
      </c>
      <c r="AP39" s="63"/>
      <c r="AQ39" s="63"/>
      <c r="AR39" s="63"/>
      <c r="AS39" s="63"/>
      <c r="AT39" s="63"/>
      <c r="AU39" s="63"/>
      <c r="AV39" s="63"/>
      <c r="AW39" s="58" t="s">
        <v>512</v>
      </c>
      <c r="AX39" s="69">
        <v>8514.0</v>
      </c>
      <c r="AY39" s="70"/>
      <c r="AZ39" s="70"/>
      <c r="BA39" s="70"/>
      <c r="BB39" s="70"/>
      <c r="BC39" s="58" t="s">
        <v>469</v>
      </c>
      <c r="BD39" s="58"/>
      <c r="BE39" s="58"/>
      <c r="BF39" s="58" t="s">
        <v>584</v>
      </c>
      <c r="BG39" s="58" t="s">
        <v>469</v>
      </c>
      <c r="BH39" s="69">
        <v>5.0</v>
      </c>
      <c r="BI39" s="69">
        <v>54825.0</v>
      </c>
      <c r="BJ39" s="58"/>
      <c r="BK39" s="58"/>
      <c r="BL39" s="58"/>
      <c r="BM39" s="58"/>
      <c r="BN39" s="58"/>
      <c r="BO39" s="58"/>
      <c r="BP39" s="58"/>
      <c r="BQ39" s="58"/>
      <c r="BR39" s="58"/>
    </row>
    <row r="40">
      <c r="A40" s="59">
        <v>45810.0</v>
      </c>
      <c r="B40" s="60" t="s">
        <v>451</v>
      </c>
      <c r="C40" s="61">
        <v>45810.0</v>
      </c>
      <c r="D40" s="61">
        <v>45810.0</v>
      </c>
      <c r="E40" s="60" t="s">
        <v>452</v>
      </c>
      <c r="F40" s="71" t="s">
        <v>631</v>
      </c>
      <c r="G40" s="77"/>
      <c r="H40" s="64" t="s">
        <v>472</v>
      </c>
      <c r="I40" s="64" t="s">
        <v>632</v>
      </c>
      <c r="J40" s="64" t="s">
        <v>456</v>
      </c>
      <c r="K40" s="64" t="s">
        <v>456</v>
      </c>
      <c r="L40" s="64">
        <v>22.0</v>
      </c>
      <c r="M40" s="64">
        <v>22.0</v>
      </c>
      <c r="N40" s="64" t="s">
        <v>457</v>
      </c>
      <c r="O40" s="64">
        <v>24.0</v>
      </c>
      <c r="P40" s="64" t="s">
        <v>633</v>
      </c>
      <c r="Q40" s="66" t="s">
        <v>459</v>
      </c>
      <c r="R40" s="66" t="s">
        <v>459</v>
      </c>
      <c r="S40" s="66" t="s">
        <v>459</v>
      </c>
      <c r="T40" s="66">
        <v>682.0</v>
      </c>
      <c r="U40" s="66">
        <v>62.0</v>
      </c>
      <c r="V40" s="64">
        <v>682.0</v>
      </c>
      <c r="W40" s="64">
        <v>682.0</v>
      </c>
      <c r="X40" s="64" t="s">
        <v>460</v>
      </c>
      <c r="Y40" s="60" t="s">
        <v>461</v>
      </c>
      <c r="Z40" s="64" t="s">
        <v>462</v>
      </c>
      <c r="AA40" s="64" t="s">
        <v>463</v>
      </c>
      <c r="AB40" s="60" t="s">
        <v>464</v>
      </c>
      <c r="AC40" s="60" t="s">
        <v>451</v>
      </c>
      <c r="AD40" s="64" t="s">
        <v>634</v>
      </c>
      <c r="AE40" s="64" t="s">
        <v>620</v>
      </c>
      <c r="AF40" s="64" t="s">
        <v>620</v>
      </c>
      <c r="AG40" s="64" t="s">
        <v>467</v>
      </c>
      <c r="AH40" s="64" t="s">
        <v>467</v>
      </c>
      <c r="AI40" s="66">
        <v>505.0</v>
      </c>
      <c r="AJ40" s="66">
        <v>21.5</v>
      </c>
      <c r="AK40" s="67">
        <v>10857.5</v>
      </c>
      <c r="AL40" s="63"/>
      <c r="AM40" s="63"/>
      <c r="AN40" s="64">
        <v>21.5</v>
      </c>
      <c r="AO40" s="64" t="s">
        <v>468</v>
      </c>
      <c r="AP40" s="63"/>
      <c r="AQ40" s="63"/>
      <c r="AR40" s="63"/>
      <c r="AS40" s="63"/>
      <c r="AT40" s="63"/>
      <c r="AU40" s="63"/>
      <c r="AV40" s="63"/>
      <c r="AW40" s="58" t="s">
        <v>512</v>
      </c>
      <c r="AX40" s="69">
        <v>10857.5</v>
      </c>
      <c r="AY40" s="70"/>
      <c r="AZ40" s="70"/>
      <c r="BA40" s="70"/>
      <c r="BB40" s="70"/>
      <c r="BC40" s="58" t="s">
        <v>469</v>
      </c>
      <c r="BD40" s="58"/>
      <c r="BE40" s="58"/>
      <c r="BF40" s="58" t="s">
        <v>572</v>
      </c>
      <c r="BG40" s="58" t="s">
        <v>469</v>
      </c>
      <c r="BH40" s="69">
        <v>26.0</v>
      </c>
      <c r="BI40" s="69">
        <v>370075.0</v>
      </c>
      <c r="BJ40" s="58"/>
      <c r="BK40" s="58"/>
      <c r="BL40" s="58"/>
      <c r="BM40" s="58"/>
      <c r="BN40" s="58"/>
      <c r="BO40" s="58"/>
      <c r="BP40" s="58"/>
      <c r="BQ40" s="58"/>
      <c r="BR40" s="58"/>
    </row>
    <row r="41">
      <c r="A41" s="59">
        <v>45810.0</v>
      </c>
      <c r="B41" s="60" t="s">
        <v>451</v>
      </c>
      <c r="C41" s="61">
        <v>45810.0</v>
      </c>
      <c r="D41" s="61">
        <v>45810.0</v>
      </c>
      <c r="E41" s="60" t="s">
        <v>452</v>
      </c>
      <c r="F41" s="72" t="s">
        <v>635</v>
      </c>
      <c r="G41" s="63"/>
      <c r="H41" s="66" t="s">
        <v>472</v>
      </c>
      <c r="I41" s="66" t="s">
        <v>636</v>
      </c>
      <c r="J41" s="66" t="s">
        <v>456</v>
      </c>
      <c r="K41" s="66" t="s">
        <v>456</v>
      </c>
      <c r="L41" s="66">
        <v>22.0</v>
      </c>
      <c r="M41" s="66">
        <v>22.0</v>
      </c>
      <c r="N41" s="66" t="s">
        <v>457</v>
      </c>
      <c r="O41" s="66">
        <v>24.0</v>
      </c>
      <c r="P41" s="66" t="s">
        <v>637</v>
      </c>
      <c r="Q41" s="64" t="s">
        <v>459</v>
      </c>
      <c r="R41" s="64" t="s">
        <v>459</v>
      </c>
      <c r="S41" s="64" t="s">
        <v>459</v>
      </c>
      <c r="T41" s="64">
        <v>1463.0</v>
      </c>
      <c r="U41" s="64">
        <v>133.0</v>
      </c>
      <c r="V41" s="66">
        <v>1463.0</v>
      </c>
      <c r="W41" s="66">
        <v>1463.0</v>
      </c>
      <c r="X41" s="66" t="s">
        <v>460</v>
      </c>
      <c r="Y41" s="60" t="s">
        <v>461</v>
      </c>
      <c r="Z41" s="64" t="s">
        <v>462</v>
      </c>
      <c r="AA41" s="64" t="s">
        <v>463</v>
      </c>
      <c r="AB41" s="64" t="s">
        <v>464</v>
      </c>
      <c r="AC41" s="60" t="s">
        <v>451</v>
      </c>
      <c r="AD41" s="66" t="s">
        <v>638</v>
      </c>
      <c r="AE41" s="66" t="s">
        <v>531</v>
      </c>
      <c r="AF41" s="66" t="s">
        <v>531</v>
      </c>
      <c r="AG41" s="64" t="s">
        <v>467</v>
      </c>
      <c r="AH41" s="64" t="s">
        <v>467</v>
      </c>
      <c r="AI41" s="66">
        <v>510.0</v>
      </c>
      <c r="AJ41" s="66">
        <v>21.5</v>
      </c>
      <c r="AK41" s="67">
        <v>10965.0</v>
      </c>
      <c r="AL41" s="63"/>
      <c r="AM41" s="63"/>
      <c r="AN41" s="64">
        <v>21.5</v>
      </c>
      <c r="AO41" s="64" t="s">
        <v>468</v>
      </c>
      <c r="AP41" s="63"/>
      <c r="AQ41" s="63"/>
      <c r="AR41" s="63"/>
      <c r="AS41" s="63"/>
      <c r="AT41" s="63"/>
      <c r="AU41" s="63"/>
      <c r="AV41" s="68"/>
      <c r="AW41" s="58" t="s">
        <v>512</v>
      </c>
      <c r="AX41" s="69">
        <v>10965.0</v>
      </c>
      <c r="AY41" s="70"/>
      <c r="AZ41" s="70"/>
      <c r="BA41" s="70"/>
      <c r="BB41" s="70"/>
      <c r="BC41" s="58" t="s">
        <v>469</v>
      </c>
      <c r="BD41" s="58"/>
      <c r="BE41" s="58"/>
      <c r="BF41" s="58" t="s">
        <v>639</v>
      </c>
      <c r="BG41" s="58" t="s">
        <v>469</v>
      </c>
      <c r="BH41" s="69">
        <v>4.0</v>
      </c>
      <c r="BI41" s="69">
        <v>75670.0</v>
      </c>
      <c r="BJ41" s="58"/>
      <c r="BK41" s="58"/>
      <c r="BL41" s="58"/>
      <c r="BM41" s="58"/>
      <c r="BN41" s="58"/>
      <c r="BO41" s="58"/>
      <c r="BP41" s="58"/>
      <c r="BQ41" s="58"/>
      <c r="BR41" s="58"/>
    </row>
    <row r="42">
      <c r="A42" s="59">
        <v>45811.0</v>
      </c>
      <c r="B42" s="60" t="s">
        <v>451</v>
      </c>
      <c r="C42" s="61">
        <v>45811.0</v>
      </c>
      <c r="D42" s="61">
        <v>45811.0</v>
      </c>
      <c r="E42" s="60" t="s">
        <v>452</v>
      </c>
      <c r="F42" s="62" t="s">
        <v>640</v>
      </c>
      <c r="G42" s="77"/>
      <c r="H42" s="64" t="s">
        <v>454</v>
      </c>
      <c r="I42" s="64" t="s">
        <v>641</v>
      </c>
      <c r="J42" s="64" t="s">
        <v>456</v>
      </c>
      <c r="K42" s="64" t="s">
        <v>456</v>
      </c>
      <c r="L42" s="64">
        <v>22.0</v>
      </c>
      <c r="M42" s="64">
        <v>22.0</v>
      </c>
      <c r="N42" s="64" t="s">
        <v>457</v>
      </c>
      <c r="O42" s="64">
        <v>24.0</v>
      </c>
      <c r="P42" s="64" t="s">
        <v>642</v>
      </c>
      <c r="Q42" s="66" t="s">
        <v>459</v>
      </c>
      <c r="R42" s="66" t="s">
        <v>459</v>
      </c>
      <c r="S42" s="66" t="s">
        <v>459</v>
      </c>
      <c r="T42" s="66">
        <v>2948.0</v>
      </c>
      <c r="U42" s="66">
        <v>268.0</v>
      </c>
      <c r="V42" s="64">
        <v>2948.0</v>
      </c>
      <c r="W42" s="64">
        <v>2948.0</v>
      </c>
      <c r="X42" s="64" t="s">
        <v>460</v>
      </c>
      <c r="Y42" s="60" t="s">
        <v>461</v>
      </c>
      <c r="Z42" s="64" t="s">
        <v>462</v>
      </c>
      <c r="AA42" s="64" t="s">
        <v>463</v>
      </c>
      <c r="AB42" s="60" t="s">
        <v>464</v>
      </c>
      <c r="AC42" s="60" t="s">
        <v>451</v>
      </c>
      <c r="AD42" s="64" t="s">
        <v>465</v>
      </c>
      <c r="AE42" s="64" t="s">
        <v>466</v>
      </c>
      <c r="AF42" s="64" t="s">
        <v>466</v>
      </c>
      <c r="AG42" s="64" t="s">
        <v>467</v>
      </c>
      <c r="AH42" s="64" t="s">
        <v>467</v>
      </c>
      <c r="AI42" s="66">
        <v>735.0</v>
      </c>
      <c r="AJ42" s="66">
        <v>21.5</v>
      </c>
      <c r="AK42" s="67">
        <v>15802.5</v>
      </c>
      <c r="AL42" s="63"/>
      <c r="AM42" s="63"/>
      <c r="AN42" s="64">
        <v>21.5</v>
      </c>
      <c r="AO42" s="60" t="s">
        <v>468</v>
      </c>
      <c r="AP42" s="63"/>
      <c r="AQ42" s="63"/>
      <c r="AR42" s="63"/>
      <c r="AS42" s="63"/>
      <c r="AT42" s="63"/>
      <c r="AU42" s="63"/>
      <c r="AV42" s="68"/>
      <c r="AW42" s="58" t="s">
        <v>512</v>
      </c>
      <c r="AX42" s="69">
        <v>15802.5</v>
      </c>
      <c r="AY42" s="70"/>
      <c r="AZ42" s="70"/>
      <c r="BA42" s="70"/>
      <c r="BB42" s="70"/>
      <c r="BC42" s="58" t="s">
        <v>469</v>
      </c>
      <c r="BD42" s="58"/>
      <c r="BE42" s="58"/>
      <c r="BF42" s="58" t="s">
        <v>643</v>
      </c>
      <c r="BG42" s="58" t="s">
        <v>469</v>
      </c>
      <c r="BH42" s="69">
        <v>19.0</v>
      </c>
      <c r="BI42" s="69">
        <v>356212.5</v>
      </c>
      <c r="BJ42" s="58"/>
      <c r="BK42" s="58"/>
      <c r="BL42" s="58"/>
      <c r="BM42" s="58"/>
      <c r="BN42" s="58"/>
      <c r="BO42" s="58"/>
      <c r="BP42" s="58"/>
      <c r="BQ42" s="58"/>
      <c r="BR42" s="58"/>
    </row>
    <row r="43">
      <c r="A43" s="59">
        <v>45811.0</v>
      </c>
      <c r="B43" s="60" t="s">
        <v>451</v>
      </c>
      <c r="C43" s="61">
        <v>45811.0</v>
      </c>
      <c r="D43" s="61">
        <v>45811.0</v>
      </c>
      <c r="E43" s="60" t="s">
        <v>452</v>
      </c>
      <c r="F43" s="62" t="s">
        <v>644</v>
      </c>
      <c r="G43" s="63"/>
      <c r="H43" s="66" t="s">
        <v>472</v>
      </c>
      <c r="I43" s="66" t="s">
        <v>473</v>
      </c>
      <c r="J43" s="66" t="s">
        <v>456</v>
      </c>
      <c r="K43" s="66" t="s">
        <v>456</v>
      </c>
      <c r="L43" s="66">
        <v>22.0</v>
      </c>
      <c r="M43" s="66">
        <v>22.0</v>
      </c>
      <c r="N43" s="66" t="s">
        <v>457</v>
      </c>
      <c r="O43" s="66">
        <v>24.0</v>
      </c>
      <c r="P43" s="66" t="s">
        <v>645</v>
      </c>
      <c r="Q43" s="64" t="s">
        <v>459</v>
      </c>
      <c r="R43" s="64" t="s">
        <v>459</v>
      </c>
      <c r="S43" s="64">
        <v>203.0</v>
      </c>
      <c r="T43" s="64">
        <v>2233.0</v>
      </c>
      <c r="U43" s="64">
        <v>203.0</v>
      </c>
      <c r="V43" s="66">
        <v>2233.0</v>
      </c>
      <c r="W43" s="66">
        <v>2233.0</v>
      </c>
      <c r="X43" s="66" t="s">
        <v>460</v>
      </c>
      <c r="Y43" s="60" t="s">
        <v>461</v>
      </c>
      <c r="Z43" s="64" t="s">
        <v>462</v>
      </c>
      <c r="AA43" s="64" t="s">
        <v>463</v>
      </c>
      <c r="AB43" s="60" t="s">
        <v>464</v>
      </c>
      <c r="AC43" s="60" t="s">
        <v>451</v>
      </c>
      <c r="AD43" s="60" t="s">
        <v>475</v>
      </c>
      <c r="AE43" s="64" t="s">
        <v>476</v>
      </c>
      <c r="AF43" s="64" t="s">
        <v>476</v>
      </c>
      <c r="AG43" s="64" t="s">
        <v>467</v>
      </c>
      <c r="AH43" s="64" t="s">
        <v>467</v>
      </c>
      <c r="AI43" s="64">
        <v>650.0</v>
      </c>
      <c r="AJ43" s="66">
        <v>21.5</v>
      </c>
      <c r="AK43" s="67">
        <v>13975.0</v>
      </c>
      <c r="AL43" s="63"/>
      <c r="AM43" s="63"/>
      <c r="AN43" s="64">
        <v>21.5</v>
      </c>
      <c r="AO43" s="64" t="s">
        <v>468</v>
      </c>
      <c r="AP43" s="63"/>
      <c r="AQ43" s="63"/>
      <c r="AR43" s="63"/>
      <c r="AS43" s="63"/>
      <c r="AT43" s="63"/>
      <c r="AU43" s="63"/>
      <c r="AV43" s="63"/>
      <c r="AW43" s="58" t="s">
        <v>512</v>
      </c>
      <c r="AX43" s="69">
        <v>13975.0</v>
      </c>
      <c r="AY43" s="70"/>
      <c r="AZ43" s="70"/>
      <c r="BA43" s="70"/>
      <c r="BB43" s="70"/>
      <c r="BC43" s="58" t="s">
        <v>469</v>
      </c>
      <c r="BD43" s="58"/>
      <c r="BE43" s="58"/>
      <c r="BF43" s="58" t="s">
        <v>552</v>
      </c>
      <c r="BG43" s="58" t="s">
        <v>469</v>
      </c>
      <c r="BH43" s="69">
        <v>2.0</v>
      </c>
      <c r="BI43" s="69">
        <v>18920.0</v>
      </c>
      <c r="BJ43" s="58"/>
      <c r="BK43" s="58"/>
      <c r="BL43" s="58"/>
      <c r="BM43" s="58"/>
      <c r="BN43" s="58"/>
      <c r="BO43" s="58"/>
      <c r="BP43" s="58"/>
      <c r="BQ43" s="58"/>
      <c r="BR43" s="58"/>
    </row>
    <row r="44">
      <c r="A44" s="59">
        <v>45811.0</v>
      </c>
      <c r="B44" s="60" t="s">
        <v>451</v>
      </c>
      <c r="C44" s="61">
        <v>45811.0</v>
      </c>
      <c r="D44" s="61">
        <v>45811.0</v>
      </c>
      <c r="E44" s="60" t="s">
        <v>452</v>
      </c>
      <c r="F44" s="71" t="s">
        <v>646</v>
      </c>
      <c r="G44" s="77"/>
      <c r="H44" s="64" t="s">
        <v>472</v>
      </c>
      <c r="I44" s="64" t="s">
        <v>479</v>
      </c>
      <c r="J44" s="64" t="s">
        <v>456</v>
      </c>
      <c r="K44" s="64" t="s">
        <v>456</v>
      </c>
      <c r="L44" s="64">
        <v>22.0</v>
      </c>
      <c r="M44" s="64">
        <v>22.0</v>
      </c>
      <c r="N44" s="64" t="s">
        <v>457</v>
      </c>
      <c r="O44" s="64">
        <v>24.0</v>
      </c>
      <c r="P44" s="75">
        <v>2.42E8</v>
      </c>
      <c r="Q44" s="66" t="s">
        <v>459</v>
      </c>
      <c r="R44" s="66" t="s">
        <v>459</v>
      </c>
      <c r="S44" s="66">
        <v>242.0</v>
      </c>
      <c r="T44" s="66">
        <v>2662.0</v>
      </c>
      <c r="U44" s="66">
        <v>242.0</v>
      </c>
      <c r="V44" s="64">
        <v>2662.0</v>
      </c>
      <c r="W44" s="64">
        <v>2662.0</v>
      </c>
      <c r="X44" s="64" t="s">
        <v>460</v>
      </c>
      <c r="Y44" s="60" t="s">
        <v>461</v>
      </c>
      <c r="Z44" s="64" t="s">
        <v>462</v>
      </c>
      <c r="AA44" s="64" t="s">
        <v>463</v>
      </c>
      <c r="AB44" s="60" t="s">
        <v>464</v>
      </c>
      <c r="AC44" s="60" t="s">
        <v>451</v>
      </c>
      <c r="AD44" s="64" t="s">
        <v>481</v>
      </c>
      <c r="AE44" s="64" t="s">
        <v>482</v>
      </c>
      <c r="AF44" s="64" t="s">
        <v>482</v>
      </c>
      <c r="AG44" s="64" t="s">
        <v>467</v>
      </c>
      <c r="AH44" s="64" t="s">
        <v>467</v>
      </c>
      <c r="AI44" s="64">
        <v>655.0</v>
      </c>
      <c r="AJ44" s="64">
        <v>21.5</v>
      </c>
      <c r="AK44" s="67">
        <v>14082.5</v>
      </c>
      <c r="AL44" s="63"/>
      <c r="AM44" s="63"/>
      <c r="AN44" s="64">
        <v>21.5</v>
      </c>
      <c r="AO44" s="64" t="s">
        <v>468</v>
      </c>
      <c r="AP44" s="63"/>
      <c r="AQ44" s="63"/>
      <c r="AR44" s="63"/>
      <c r="AS44" s="63"/>
      <c r="AT44" s="63"/>
      <c r="AU44" s="63"/>
      <c r="AV44" s="68"/>
      <c r="AW44" s="58" t="s">
        <v>512</v>
      </c>
      <c r="AX44" s="69">
        <v>14082.5</v>
      </c>
      <c r="AY44" s="70"/>
      <c r="AZ44" s="70"/>
      <c r="BA44" s="70"/>
      <c r="BB44" s="70"/>
      <c r="BC44" s="58" t="s">
        <v>469</v>
      </c>
      <c r="BD44" s="58"/>
      <c r="BE44" s="58"/>
      <c r="BF44" s="58" t="s">
        <v>562</v>
      </c>
      <c r="BG44" s="58" t="s">
        <v>469</v>
      </c>
      <c r="BH44" s="69">
        <v>23.0</v>
      </c>
      <c r="BI44" s="69">
        <v>169617.5</v>
      </c>
      <c r="BJ44" s="58"/>
      <c r="BK44" s="58"/>
      <c r="BL44" s="58"/>
      <c r="BM44" s="58"/>
      <c r="BN44" s="58"/>
      <c r="BO44" s="58"/>
      <c r="BP44" s="58"/>
      <c r="BQ44" s="58"/>
      <c r="BR44" s="58"/>
    </row>
    <row r="45">
      <c r="A45" s="59">
        <v>45811.0</v>
      </c>
      <c r="B45" s="60" t="s">
        <v>451</v>
      </c>
      <c r="C45" s="61">
        <v>45811.0</v>
      </c>
      <c r="D45" s="61">
        <v>45811.0</v>
      </c>
      <c r="E45" s="60" t="s">
        <v>452</v>
      </c>
      <c r="F45" s="72" t="s">
        <v>647</v>
      </c>
      <c r="G45" s="63"/>
      <c r="H45" s="66" t="s">
        <v>492</v>
      </c>
      <c r="I45" s="66" t="s">
        <v>493</v>
      </c>
      <c r="J45" s="66" t="s">
        <v>456</v>
      </c>
      <c r="K45" s="66" t="s">
        <v>456</v>
      </c>
      <c r="L45" s="66">
        <v>28.0</v>
      </c>
      <c r="M45" s="66">
        <v>28.0</v>
      </c>
      <c r="N45" s="66" t="s">
        <v>457</v>
      </c>
      <c r="O45" s="66">
        <v>24.0</v>
      </c>
      <c r="P45" s="66" t="s">
        <v>648</v>
      </c>
      <c r="Q45" s="64" t="s">
        <v>459</v>
      </c>
      <c r="R45" s="64" t="s">
        <v>459</v>
      </c>
      <c r="S45" s="64" t="s">
        <v>459</v>
      </c>
      <c r="T45" s="64">
        <v>4664.0</v>
      </c>
      <c r="U45" s="64">
        <v>424.0</v>
      </c>
      <c r="V45" s="66">
        <v>4664.0</v>
      </c>
      <c r="W45" s="66">
        <v>4664.0</v>
      </c>
      <c r="X45" s="66" t="s">
        <v>460</v>
      </c>
      <c r="Y45" s="60" t="s">
        <v>461</v>
      </c>
      <c r="Z45" s="64" t="s">
        <v>462</v>
      </c>
      <c r="AA45" s="64" t="s">
        <v>463</v>
      </c>
      <c r="AB45" s="60" t="s">
        <v>464</v>
      </c>
      <c r="AC45" s="60" t="s">
        <v>451</v>
      </c>
      <c r="AD45" s="66" t="s">
        <v>495</v>
      </c>
      <c r="AE45" s="66" t="s">
        <v>496</v>
      </c>
      <c r="AF45" s="66" t="s">
        <v>496</v>
      </c>
      <c r="AG45" s="64" t="s">
        <v>467</v>
      </c>
      <c r="AH45" s="64" t="s">
        <v>467</v>
      </c>
      <c r="AI45" s="64">
        <v>570.0</v>
      </c>
      <c r="AJ45" s="60">
        <v>23.5</v>
      </c>
      <c r="AK45" s="67">
        <v>13395.0</v>
      </c>
      <c r="AL45" s="63"/>
      <c r="AM45" s="63"/>
      <c r="AN45" s="64">
        <v>23.5</v>
      </c>
      <c r="AO45" s="64" t="s">
        <v>468</v>
      </c>
      <c r="AP45" s="63"/>
      <c r="AQ45" s="63"/>
      <c r="AR45" s="63"/>
      <c r="AS45" s="63"/>
      <c r="AT45" s="63"/>
      <c r="AU45" s="63"/>
      <c r="AV45" s="63"/>
      <c r="AW45" s="58" t="s">
        <v>512</v>
      </c>
      <c r="AX45" s="69">
        <v>13395.0</v>
      </c>
      <c r="AY45" s="70"/>
      <c r="AZ45" s="70"/>
      <c r="BA45" s="70"/>
      <c r="BB45" s="70"/>
      <c r="BC45" s="58" t="s">
        <v>469</v>
      </c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</row>
    <row r="46">
      <c r="A46" s="59">
        <v>45811.0</v>
      </c>
      <c r="B46" s="60" t="s">
        <v>451</v>
      </c>
      <c r="C46" s="61">
        <v>45811.0</v>
      </c>
      <c r="D46" s="61">
        <v>45811.0</v>
      </c>
      <c r="E46" s="60" t="s">
        <v>452</v>
      </c>
      <c r="F46" s="71" t="s">
        <v>649</v>
      </c>
      <c r="G46" s="77"/>
      <c r="H46" s="64" t="s">
        <v>454</v>
      </c>
      <c r="I46" s="64" t="s">
        <v>485</v>
      </c>
      <c r="J46" s="64" t="s">
        <v>486</v>
      </c>
      <c r="K46" s="64" t="s">
        <v>456</v>
      </c>
      <c r="L46" s="64">
        <v>22.0</v>
      </c>
      <c r="M46" s="64">
        <v>22.0</v>
      </c>
      <c r="N46" s="64" t="s">
        <v>457</v>
      </c>
      <c r="O46" s="64">
        <v>24.0</v>
      </c>
      <c r="P46" s="64" t="s">
        <v>650</v>
      </c>
      <c r="Q46" s="66" t="s">
        <v>459</v>
      </c>
      <c r="R46" s="66" t="s">
        <v>459</v>
      </c>
      <c r="S46" s="66" t="s">
        <v>459</v>
      </c>
      <c r="T46" s="66">
        <v>3124.0</v>
      </c>
      <c r="U46" s="66">
        <v>284.0</v>
      </c>
      <c r="V46" s="64">
        <v>3124.0</v>
      </c>
      <c r="W46" s="64">
        <v>3124.0</v>
      </c>
      <c r="X46" s="64" t="s">
        <v>460</v>
      </c>
      <c r="Y46" s="60" t="s">
        <v>461</v>
      </c>
      <c r="Z46" s="64" t="s">
        <v>462</v>
      </c>
      <c r="AA46" s="64" t="s">
        <v>463</v>
      </c>
      <c r="AB46" s="60" t="s">
        <v>464</v>
      </c>
      <c r="AC46" s="60" t="s">
        <v>451</v>
      </c>
      <c r="AD46" s="64" t="s">
        <v>651</v>
      </c>
      <c r="AE46" s="64" t="s">
        <v>652</v>
      </c>
      <c r="AF46" s="64" t="s">
        <v>652</v>
      </c>
      <c r="AG46" s="64" t="s">
        <v>467</v>
      </c>
      <c r="AH46" s="64" t="s">
        <v>467</v>
      </c>
      <c r="AI46" s="64">
        <v>655.0</v>
      </c>
      <c r="AJ46" s="64">
        <v>23.5</v>
      </c>
      <c r="AK46" s="67">
        <v>15392.5</v>
      </c>
      <c r="AL46" s="63"/>
      <c r="AM46" s="63"/>
      <c r="AN46" s="64">
        <v>23.5</v>
      </c>
      <c r="AO46" s="64" t="s">
        <v>468</v>
      </c>
      <c r="AP46" s="63"/>
      <c r="AQ46" s="63"/>
      <c r="AR46" s="63"/>
      <c r="AS46" s="63"/>
      <c r="AT46" s="63"/>
      <c r="AU46" s="63"/>
      <c r="AV46" s="63"/>
      <c r="AW46" s="58" t="s">
        <v>512</v>
      </c>
      <c r="AX46" s="69">
        <v>15392.5</v>
      </c>
      <c r="AY46" s="70"/>
      <c r="AZ46" s="70"/>
      <c r="BA46" s="70"/>
      <c r="BB46" s="70"/>
      <c r="BC46" s="58" t="s">
        <v>469</v>
      </c>
      <c r="BD46" s="58"/>
      <c r="BE46" s="58"/>
      <c r="BF46" s="58" t="s">
        <v>509</v>
      </c>
      <c r="BG46" s="58" t="s">
        <v>469</v>
      </c>
      <c r="BH46" s="69">
        <v>18.0</v>
      </c>
      <c r="BI46" s="69">
        <v>153655.0</v>
      </c>
      <c r="BJ46" s="58"/>
      <c r="BK46" s="58"/>
      <c r="BL46" s="58"/>
      <c r="BM46" s="58"/>
      <c r="BN46" s="58"/>
      <c r="BO46" s="58"/>
      <c r="BP46" s="58"/>
      <c r="BQ46" s="58"/>
      <c r="BR46" s="58"/>
    </row>
    <row r="47">
      <c r="A47" s="59">
        <v>45811.0</v>
      </c>
      <c r="B47" s="60" t="s">
        <v>451</v>
      </c>
      <c r="C47" s="61">
        <v>45811.0</v>
      </c>
      <c r="D47" s="61">
        <v>45811.0</v>
      </c>
      <c r="E47" s="60" t="s">
        <v>452</v>
      </c>
      <c r="F47" s="72" t="s">
        <v>653</v>
      </c>
      <c r="G47" s="63"/>
      <c r="H47" s="66" t="s">
        <v>498</v>
      </c>
      <c r="I47" s="66" t="s">
        <v>549</v>
      </c>
      <c r="J47" s="66" t="s">
        <v>456</v>
      </c>
      <c r="K47" s="66" t="s">
        <v>456</v>
      </c>
      <c r="L47" s="66">
        <v>22.0</v>
      </c>
      <c r="M47" s="66">
        <v>22.0</v>
      </c>
      <c r="N47" s="66" t="s">
        <v>457</v>
      </c>
      <c r="O47" s="66">
        <v>24.0</v>
      </c>
      <c r="P47" s="66" t="s">
        <v>654</v>
      </c>
      <c r="Q47" s="64" t="s">
        <v>459</v>
      </c>
      <c r="R47" s="64" t="s">
        <v>459</v>
      </c>
      <c r="S47" s="64" t="s">
        <v>459</v>
      </c>
      <c r="T47" s="64">
        <v>2420.0</v>
      </c>
      <c r="U47" s="64">
        <v>220.0</v>
      </c>
      <c r="V47" s="66">
        <v>2420.0</v>
      </c>
      <c r="W47" s="66">
        <v>2420.0</v>
      </c>
      <c r="X47" s="66" t="s">
        <v>460</v>
      </c>
      <c r="Y47" s="60" t="s">
        <v>461</v>
      </c>
      <c r="Z47" s="64" t="s">
        <v>462</v>
      </c>
      <c r="AA47" s="64" t="s">
        <v>463</v>
      </c>
      <c r="AB47" s="60" t="s">
        <v>464</v>
      </c>
      <c r="AC47" s="60" t="s">
        <v>451</v>
      </c>
      <c r="AD47" s="66" t="s">
        <v>501</v>
      </c>
      <c r="AE47" s="66" t="s">
        <v>470</v>
      </c>
      <c r="AF47" s="66" t="s">
        <v>470</v>
      </c>
      <c r="AG47" s="64" t="s">
        <v>467</v>
      </c>
      <c r="AH47" s="64" t="s">
        <v>467</v>
      </c>
      <c r="AI47" s="64">
        <v>380.0</v>
      </c>
      <c r="AJ47" s="64">
        <v>21.5</v>
      </c>
      <c r="AK47" s="67">
        <v>8170.0</v>
      </c>
      <c r="AL47" s="63"/>
      <c r="AM47" s="63"/>
      <c r="AN47" s="64">
        <v>21.5</v>
      </c>
      <c r="AO47" s="64" t="s">
        <v>468</v>
      </c>
      <c r="AP47" s="63"/>
      <c r="AQ47" s="63"/>
      <c r="AR47" s="63"/>
      <c r="AS47" s="63"/>
      <c r="AT47" s="63"/>
      <c r="AU47" s="63"/>
      <c r="AV47" s="68"/>
      <c r="AW47" s="58" t="s">
        <v>512</v>
      </c>
      <c r="AX47" s="69">
        <v>8170.0</v>
      </c>
      <c r="AY47" s="70"/>
      <c r="AZ47" s="70"/>
      <c r="BA47" s="70"/>
      <c r="BB47" s="70"/>
      <c r="BC47" s="58" t="s">
        <v>469</v>
      </c>
      <c r="BD47" s="58"/>
      <c r="BE47" s="58"/>
      <c r="BF47" s="58" t="s">
        <v>508</v>
      </c>
      <c r="BG47" s="58" t="s">
        <v>469</v>
      </c>
      <c r="BH47" s="69">
        <v>6.0</v>
      </c>
      <c r="BI47" s="69">
        <v>50955.0</v>
      </c>
      <c r="BJ47" s="58"/>
      <c r="BK47" s="58"/>
      <c r="BL47" s="58"/>
      <c r="BM47" s="58"/>
      <c r="BN47" s="58"/>
      <c r="BO47" s="58"/>
      <c r="BP47" s="58"/>
      <c r="BQ47" s="58"/>
      <c r="BR47" s="58"/>
    </row>
    <row r="48">
      <c r="A48" s="59">
        <v>45811.0</v>
      </c>
      <c r="B48" s="60" t="s">
        <v>451</v>
      </c>
      <c r="C48" s="61">
        <v>45811.0</v>
      </c>
      <c r="D48" s="61">
        <v>45811.0</v>
      </c>
      <c r="E48" s="60" t="s">
        <v>452</v>
      </c>
      <c r="F48" s="71" t="s">
        <v>655</v>
      </c>
      <c r="G48" s="77"/>
      <c r="H48" s="64" t="s">
        <v>521</v>
      </c>
      <c r="I48" s="64" t="s">
        <v>656</v>
      </c>
      <c r="J48" s="64" t="s">
        <v>456</v>
      </c>
      <c r="K48" s="64" t="s">
        <v>456</v>
      </c>
      <c r="L48" s="64">
        <v>22.0</v>
      </c>
      <c r="M48" s="64">
        <v>22.0</v>
      </c>
      <c r="N48" s="64" t="s">
        <v>457</v>
      </c>
      <c r="O48" s="64">
        <v>24.0</v>
      </c>
      <c r="P48" s="64" t="s">
        <v>657</v>
      </c>
      <c r="Q48" s="66" t="s">
        <v>459</v>
      </c>
      <c r="R48" s="66" t="s">
        <v>459</v>
      </c>
      <c r="S48" s="66" t="s">
        <v>459</v>
      </c>
      <c r="T48" s="66">
        <v>726.0</v>
      </c>
      <c r="U48" s="66">
        <v>66.0</v>
      </c>
      <c r="V48" s="64">
        <v>726.0</v>
      </c>
      <c r="W48" s="64">
        <v>726.0</v>
      </c>
      <c r="X48" s="64" t="s">
        <v>460</v>
      </c>
      <c r="Y48" s="60" t="s">
        <v>461</v>
      </c>
      <c r="Z48" s="64" t="s">
        <v>462</v>
      </c>
      <c r="AA48" s="64" t="s">
        <v>463</v>
      </c>
      <c r="AB48" s="60" t="s">
        <v>464</v>
      </c>
      <c r="AC48" s="60" t="s">
        <v>451</v>
      </c>
      <c r="AD48" s="64" t="s">
        <v>524</v>
      </c>
      <c r="AE48" s="64" t="s">
        <v>483</v>
      </c>
      <c r="AF48" s="64" t="s">
        <v>483</v>
      </c>
      <c r="AG48" s="64" t="s">
        <v>467</v>
      </c>
      <c r="AH48" s="64" t="s">
        <v>467</v>
      </c>
      <c r="AI48" s="66">
        <v>600.0</v>
      </c>
      <c r="AJ48" s="66">
        <v>21.5</v>
      </c>
      <c r="AK48" s="67">
        <v>12900.0</v>
      </c>
      <c r="AL48" s="63"/>
      <c r="AM48" s="63"/>
      <c r="AN48" s="64">
        <v>21.5</v>
      </c>
      <c r="AO48" s="64" t="s">
        <v>468</v>
      </c>
      <c r="AP48" s="63"/>
      <c r="AQ48" s="63"/>
      <c r="AR48" s="63"/>
      <c r="AS48" s="63"/>
      <c r="AT48" s="63"/>
      <c r="AU48" s="63"/>
      <c r="AV48" s="68"/>
      <c r="AW48" s="58" t="s">
        <v>512</v>
      </c>
      <c r="AX48" s="69">
        <v>12900.0</v>
      </c>
      <c r="AY48" s="70"/>
      <c r="AZ48" s="70"/>
      <c r="BA48" s="70"/>
      <c r="BB48" s="70"/>
      <c r="BC48" s="58" t="s">
        <v>469</v>
      </c>
      <c r="BD48" s="58"/>
      <c r="BE48" s="58"/>
      <c r="BF48" s="58" t="s">
        <v>496</v>
      </c>
      <c r="BG48" s="58" t="s">
        <v>469</v>
      </c>
      <c r="BH48" s="69">
        <v>25.0</v>
      </c>
      <c r="BI48" s="69">
        <v>334875.0</v>
      </c>
      <c r="BJ48" s="58"/>
      <c r="BK48" s="58"/>
      <c r="BL48" s="58"/>
      <c r="BM48" s="58"/>
      <c r="BN48" s="58"/>
      <c r="BO48" s="58"/>
      <c r="BP48" s="58"/>
      <c r="BQ48" s="58"/>
      <c r="BR48" s="58"/>
    </row>
    <row r="49">
      <c r="A49" s="59">
        <v>45811.0</v>
      </c>
      <c r="B49" s="60" t="s">
        <v>451</v>
      </c>
      <c r="C49" s="61">
        <v>45811.0</v>
      </c>
      <c r="D49" s="61">
        <v>45811.0</v>
      </c>
      <c r="E49" s="60" t="s">
        <v>452</v>
      </c>
      <c r="F49" s="71" t="s">
        <v>658</v>
      </c>
      <c r="G49" s="63"/>
      <c r="H49" s="66" t="s">
        <v>504</v>
      </c>
      <c r="I49" s="66" t="s">
        <v>505</v>
      </c>
      <c r="J49" s="66" t="s">
        <v>456</v>
      </c>
      <c r="K49" s="66" t="s">
        <v>456</v>
      </c>
      <c r="L49" s="66">
        <v>22.0</v>
      </c>
      <c r="M49" s="66">
        <v>22.0</v>
      </c>
      <c r="N49" s="66" t="s">
        <v>457</v>
      </c>
      <c r="O49" s="66">
        <v>24.0</v>
      </c>
      <c r="P49" s="80">
        <v>2.42E8</v>
      </c>
      <c r="Q49" s="64" t="s">
        <v>459</v>
      </c>
      <c r="R49" s="64" t="s">
        <v>459</v>
      </c>
      <c r="S49" s="64" t="s">
        <v>459</v>
      </c>
      <c r="T49" s="64">
        <v>2013.0</v>
      </c>
      <c r="U49" s="64">
        <v>183.0</v>
      </c>
      <c r="V49" s="66">
        <v>2013.0</v>
      </c>
      <c r="W49" s="66">
        <v>2013.0</v>
      </c>
      <c r="X49" s="66" t="s">
        <v>460</v>
      </c>
      <c r="Y49" s="60" t="s">
        <v>461</v>
      </c>
      <c r="Z49" s="64" t="s">
        <v>462</v>
      </c>
      <c r="AA49" s="64" t="s">
        <v>463</v>
      </c>
      <c r="AB49" s="64" t="s">
        <v>464</v>
      </c>
      <c r="AC49" s="60" t="s">
        <v>451</v>
      </c>
      <c r="AD49" s="64" t="s">
        <v>507</v>
      </c>
      <c r="AE49" s="64" t="s">
        <v>508</v>
      </c>
      <c r="AF49" s="64" t="s">
        <v>509</v>
      </c>
      <c r="AG49" s="64" t="s">
        <v>467</v>
      </c>
      <c r="AH49" s="64" t="s">
        <v>467</v>
      </c>
      <c r="AI49" s="64">
        <v>790.0</v>
      </c>
      <c r="AJ49" s="66">
        <v>21.5</v>
      </c>
      <c r="AK49" s="67">
        <v>16985.0</v>
      </c>
      <c r="AL49" s="63"/>
      <c r="AM49" s="63"/>
      <c r="AN49" s="64">
        <v>21.5</v>
      </c>
      <c r="AO49" s="64" t="s">
        <v>468</v>
      </c>
      <c r="AP49" s="63"/>
      <c r="AQ49" s="63"/>
      <c r="AR49" s="63"/>
      <c r="AS49" s="73">
        <v>0.5</v>
      </c>
      <c r="AT49" s="64">
        <v>8492.5</v>
      </c>
      <c r="AU49" s="60" t="s">
        <v>510</v>
      </c>
      <c r="AV49" s="74" t="s">
        <v>511</v>
      </c>
      <c r="AW49" s="58" t="s">
        <v>512</v>
      </c>
      <c r="AX49" s="69">
        <v>8492.5</v>
      </c>
      <c r="AY49" s="70"/>
      <c r="AZ49" s="70"/>
      <c r="BA49" s="69">
        <v>8492.5</v>
      </c>
      <c r="BB49" s="70"/>
      <c r="BC49" s="58" t="s">
        <v>469</v>
      </c>
      <c r="BD49" s="58"/>
      <c r="BE49" s="58"/>
      <c r="BF49" s="58" t="s">
        <v>652</v>
      </c>
      <c r="BG49" s="58" t="s">
        <v>469</v>
      </c>
      <c r="BH49" s="69">
        <v>5.0</v>
      </c>
      <c r="BI49" s="69">
        <v>76962.5</v>
      </c>
      <c r="BJ49" s="58"/>
      <c r="BK49" s="58"/>
      <c r="BL49" s="58"/>
      <c r="BM49" s="58"/>
      <c r="BN49" s="58"/>
      <c r="BO49" s="58"/>
      <c r="BP49" s="58"/>
      <c r="BQ49" s="58"/>
      <c r="BR49" s="58"/>
    </row>
    <row r="50">
      <c r="A50" s="59">
        <v>45811.0</v>
      </c>
      <c r="B50" s="60" t="s">
        <v>451</v>
      </c>
      <c r="C50" s="81">
        <v>45811.0</v>
      </c>
      <c r="D50" s="61">
        <v>45811.0</v>
      </c>
      <c r="E50" s="60" t="s">
        <v>452</v>
      </c>
      <c r="F50" s="72" t="s">
        <v>659</v>
      </c>
      <c r="G50" s="77"/>
      <c r="H50" s="64" t="s">
        <v>504</v>
      </c>
      <c r="I50" s="64" t="s">
        <v>515</v>
      </c>
      <c r="J50" s="64" t="s">
        <v>456</v>
      </c>
      <c r="K50" s="64" t="s">
        <v>456</v>
      </c>
      <c r="L50" s="64">
        <v>22.0</v>
      </c>
      <c r="M50" s="64">
        <v>22.0</v>
      </c>
      <c r="N50" s="64" t="s">
        <v>457</v>
      </c>
      <c r="O50" s="64">
        <v>24.0</v>
      </c>
      <c r="P50" s="75">
        <v>2.42E8</v>
      </c>
      <c r="Q50" s="66" t="s">
        <v>459</v>
      </c>
      <c r="R50" s="66" t="s">
        <v>459</v>
      </c>
      <c r="S50" s="66" t="s">
        <v>459</v>
      </c>
      <c r="T50" s="66">
        <v>1815.0</v>
      </c>
      <c r="U50" s="66">
        <v>165.0</v>
      </c>
      <c r="V50" s="64">
        <v>1815.0</v>
      </c>
      <c r="W50" s="64">
        <v>1815.0</v>
      </c>
      <c r="X50" s="64" t="s">
        <v>460</v>
      </c>
      <c r="Y50" s="60" t="s">
        <v>461</v>
      </c>
      <c r="Z50" s="64" t="s">
        <v>462</v>
      </c>
      <c r="AA50" s="64" t="s">
        <v>463</v>
      </c>
      <c r="AB50" s="64" t="s">
        <v>464</v>
      </c>
      <c r="AC50" s="60" t="s">
        <v>451</v>
      </c>
      <c r="AD50" s="60" t="s">
        <v>517</v>
      </c>
      <c r="AE50" s="66" t="s">
        <v>518</v>
      </c>
      <c r="AF50" s="66" t="s">
        <v>518</v>
      </c>
      <c r="AG50" s="64" t="s">
        <v>467</v>
      </c>
      <c r="AH50" s="64" t="s">
        <v>467</v>
      </c>
      <c r="AI50" s="64">
        <v>815.0</v>
      </c>
      <c r="AJ50" s="64">
        <v>21.5</v>
      </c>
      <c r="AK50" s="67">
        <v>17522.5</v>
      </c>
      <c r="AL50" s="63"/>
      <c r="AM50" s="63"/>
      <c r="AN50" s="64">
        <v>21.5</v>
      </c>
      <c r="AO50" s="64" t="s">
        <v>468</v>
      </c>
      <c r="AP50" s="63"/>
      <c r="AQ50" s="63"/>
      <c r="AR50" s="63"/>
      <c r="AS50" s="63"/>
      <c r="AT50" s="63"/>
      <c r="AU50" s="63"/>
      <c r="AV50" s="68"/>
      <c r="AW50" s="58" t="s">
        <v>512</v>
      </c>
      <c r="AX50" s="69">
        <v>17522.5</v>
      </c>
      <c r="AY50" s="70"/>
      <c r="AZ50" s="70"/>
      <c r="BA50" s="70"/>
      <c r="BB50" s="70"/>
      <c r="BC50" s="58" t="s">
        <v>469</v>
      </c>
      <c r="BD50" s="58"/>
      <c r="BE50" s="58"/>
      <c r="BF50" s="58" t="s">
        <v>660</v>
      </c>
      <c r="BG50" s="58" t="s">
        <v>469</v>
      </c>
      <c r="BH50" s="69">
        <v>2.0</v>
      </c>
      <c r="BI50" s="69">
        <v>14190.0</v>
      </c>
      <c r="BJ50" s="58"/>
      <c r="BK50" s="58"/>
      <c r="BL50" s="58"/>
      <c r="BM50" s="58"/>
      <c r="BN50" s="58"/>
      <c r="BO50" s="58"/>
      <c r="BP50" s="58"/>
      <c r="BQ50" s="58"/>
      <c r="BR50" s="58"/>
    </row>
    <row r="51">
      <c r="A51" s="59">
        <v>45811.0</v>
      </c>
      <c r="B51" s="60" t="s">
        <v>451</v>
      </c>
      <c r="C51" s="61">
        <v>45811.0</v>
      </c>
      <c r="D51" s="61">
        <v>45811.0</v>
      </c>
      <c r="E51" s="60" t="s">
        <v>452</v>
      </c>
      <c r="F51" s="71" t="s">
        <v>661</v>
      </c>
      <c r="G51" s="63"/>
      <c r="H51" s="66" t="s">
        <v>521</v>
      </c>
      <c r="I51" s="66" t="s">
        <v>522</v>
      </c>
      <c r="J51" s="66" t="s">
        <v>456</v>
      </c>
      <c r="K51" s="66" t="s">
        <v>456</v>
      </c>
      <c r="L51" s="66">
        <v>22.0</v>
      </c>
      <c r="M51" s="66">
        <v>22.0</v>
      </c>
      <c r="N51" s="66" t="s">
        <v>457</v>
      </c>
      <c r="O51" s="66">
        <v>24.0</v>
      </c>
      <c r="P51" s="66" t="s">
        <v>662</v>
      </c>
      <c r="Q51" s="64" t="s">
        <v>459</v>
      </c>
      <c r="R51" s="64" t="s">
        <v>459</v>
      </c>
      <c r="S51" s="64" t="s">
        <v>459</v>
      </c>
      <c r="T51" s="64">
        <v>1639.0</v>
      </c>
      <c r="U51" s="64">
        <v>149.0</v>
      </c>
      <c r="V51" s="66">
        <v>1639.0</v>
      </c>
      <c r="W51" s="66">
        <v>1639.0</v>
      </c>
      <c r="X51" s="66" t="s">
        <v>460</v>
      </c>
      <c r="Y51" s="60" t="s">
        <v>461</v>
      </c>
      <c r="Z51" s="64" t="s">
        <v>462</v>
      </c>
      <c r="AA51" s="64" t="s">
        <v>463</v>
      </c>
      <c r="AB51" s="60" t="s">
        <v>464</v>
      </c>
      <c r="AC51" s="60" t="s">
        <v>451</v>
      </c>
      <c r="AD51" s="64" t="s">
        <v>524</v>
      </c>
      <c r="AE51" s="64" t="s">
        <v>483</v>
      </c>
      <c r="AF51" s="64" t="s">
        <v>483</v>
      </c>
      <c r="AG51" s="64" t="s">
        <v>467</v>
      </c>
      <c r="AH51" s="64" t="s">
        <v>467</v>
      </c>
      <c r="AI51" s="66">
        <v>600.0</v>
      </c>
      <c r="AJ51" s="66">
        <v>21.5</v>
      </c>
      <c r="AK51" s="67">
        <v>12900.0</v>
      </c>
      <c r="AL51" s="63"/>
      <c r="AM51" s="63"/>
      <c r="AN51" s="64">
        <v>21.5</v>
      </c>
      <c r="AO51" s="64" t="s">
        <v>468</v>
      </c>
      <c r="AP51" s="63"/>
      <c r="AQ51" s="63"/>
      <c r="AR51" s="63"/>
      <c r="AS51" s="63"/>
      <c r="AT51" s="63"/>
      <c r="AU51" s="63"/>
      <c r="AV51" s="68"/>
      <c r="AW51" s="58" t="s">
        <v>512</v>
      </c>
      <c r="AX51" s="69">
        <v>12900.0</v>
      </c>
      <c r="AY51" s="70"/>
      <c r="AZ51" s="70"/>
      <c r="BA51" s="70"/>
      <c r="BB51" s="70"/>
      <c r="BC51" s="58" t="s">
        <v>469</v>
      </c>
      <c r="BD51" s="58"/>
      <c r="BE51" s="58"/>
      <c r="BF51" s="58" t="s">
        <v>663</v>
      </c>
      <c r="BG51" s="58" t="s">
        <v>469</v>
      </c>
      <c r="BH51" s="69">
        <v>10.0</v>
      </c>
      <c r="BI51" s="69">
        <v>74910.0</v>
      </c>
      <c r="BJ51" s="58"/>
      <c r="BK51" s="58"/>
      <c r="BL51" s="58"/>
      <c r="BM51" s="58"/>
      <c r="BN51" s="58"/>
      <c r="BO51" s="58"/>
      <c r="BP51" s="58"/>
      <c r="BQ51" s="58"/>
      <c r="BR51" s="58"/>
    </row>
    <row r="52">
      <c r="A52" s="59">
        <v>45811.0</v>
      </c>
      <c r="B52" s="60" t="s">
        <v>451</v>
      </c>
      <c r="C52" s="61">
        <v>45811.0</v>
      </c>
      <c r="D52" s="61">
        <v>45811.0</v>
      </c>
      <c r="E52" s="60" t="s">
        <v>452</v>
      </c>
      <c r="F52" s="72" t="s">
        <v>664</v>
      </c>
      <c r="G52" s="77"/>
      <c r="H52" s="64" t="s">
        <v>492</v>
      </c>
      <c r="I52" s="64" t="s">
        <v>527</v>
      </c>
      <c r="J52" s="64" t="s">
        <v>456</v>
      </c>
      <c r="K52" s="64" t="s">
        <v>456</v>
      </c>
      <c r="L52" s="64">
        <v>22.0</v>
      </c>
      <c r="M52" s="64">
        <v>22.0</v>
      </c>
      <c r="N52" s="64" t="s">
        <v>457</v>
      </c>
      <c r="O52" s="64">
        <v>24.0</v>
      </c>
      <c r="P52" s="64" t="s">
        <v>665</v>
      </c>
      <c r="Q52" s="66" t="s">
        <v>459</v>
      </c>
      <c r="R52" s="66" t="s">
        <v>459</v>
      </c>
      <c r="S52" s="66" t="s">
        <v>459</v>
      </c>
      <c r="T52" s="66">
        <v>2618.0</v>
      </c>
      <c r="U52" s="66">
        <v>238.0</v>
      </c>
      <c r="V52" s="64">
        <v>2618.0</v>
      </c>
      <c r="W52" s="64">
        <v>2618.0</v>
      </c>
      <c r="X52" s="64" t="s">
        <v>460</v>
      </c>
      <c r="Y52" s="60" t="s">
        <v>461</v>
      </c>
      <c r="Z52" s="64" t="s">
        <v>462</v>
      </c>
      <c r="AA52" s="64" t="s">
        <v>463</v>
      </c>
      <c r="AB52" s="60" t="s">
        <v>464</v>
      </c>
      <c r="AC52" s="60" t="s">
        <v>451</v>
      </c>
      <c r="AD52" s="66" t="s">
        <v>529</v>
      </c>
      <c r="AE52" s="66" t="s">
        <v>530</v>
      </c>
      <c r="AF52" s="66" t="s">
        <v>530</v>
      </c>
      <c r="AG52" s="64" t="s">
        <v>467</v>
      </c>
      <c r="AH52" s="64" t="s">
        <v>467</v>
      </c>
      <c r="AI52" s="66">
        <v>510.0</v>
      </c>
      <c r="AJ52" s="66">
        <v>21.5</v>
      </c>
      <c r="AK52" s="67">
        <v>10965.0</v>
      </c>
      <c r="AL52" s="63"/>
      <c r="AM52" s="63"/>
      <c r="AN52" s="64">
        <v>21.5</v>
      </c>
      <c r="AO52" s="64" t="s">
        <v>468</v>
      </c>
      <c r="AP52" s="63"/>
      <c r="AQ52" s="63"/>
      <c r="AR52" s="63"/>
      <c r="AS52" s="63"/>
      <c r="AT52" s="63"/>
      <c r="AU52" s="63"/>
      <c r="AV52" s="68"/>
      <c r="AW52" s="58" t="s">
        <v>512</v>
      </c>
      <c r="AX52" s="69">
        <v>10965.0</v>
      </c>
      <c r="AY52" s="70"/>
      <c r="AZ52" s="70"/>
      <c r="BA52" s="70"/>
      <c r="BB52" s="70"/>
      <c r="BC52" s="58" t="s">
        <v>469</v>
      </c>
      <c r="BD52" s="58"/>
      <c r="BE52" s="58"/>
      <c r="BF52" s="58" t="s">
        <v>666</v>
      </c>
      <c r="BG52" s="82"/>
      <c r="BH52" s="69">
        <v>2.0</v>
      </c>
      <c r="BI52" s="69">
        <v>67189.5</v>
      </c>
      <c r="BJ52" s="58"/>
      <c r="BK52" s="58"/>
      <c r="BL52" s="58"/>
      <c r="BM52" s="58"/>
      <c r="BN52" s="58"/>
      <c r="BO52" s="58"/>
      <c r="BP52" s="58"/>
      <c r="BQ52" s="58"/>
      <c r="BR52" s="58"/>
    </row>
    <row r="53">
      <c r="A53" s="59">
        <v>45811.0</v>
      </c>
      <c r="B53" s="60" t="s">
        <v>451</v>
      </c>
      <c r="C53" s="61">
        <v>45811.0</v>
      </c>
      <c r="D53" s="61">
        <v>45811.0</v>
      </c>
      <c r="E53" s="60" t="s">
        <v>452</v>
      </c>
      <c r="F53" s="71" t="s">
        <v>667</v>
      </c>
      <c r="G53" s="63"/>
      <c r="H53" s="66" t="s">
        <v>538</v>
      </c>
      <c r="I53" s="66" t="s">
        <v>539</v>
      </c>
      <c r="J53" s="66" t="s">
        <v>456</v>
      </c>
      <c r="K53" s="66" t="s">
        <v>456</v>
      </c>
      <c r="L53" s="66">
        <v>32.0</v>
      </c>
      <c r="M53" s="66">
        <v>32.0</v>
      </c>
      <c r="N53" s="66" t="s">
        <v>540</v>
      </c>
      <c r="O53" s="66">
        <v>24.0</v>
      </c>
      <c r="P53" s="66" t="s">
        <v>668</v>
      </c>
      <c r="Q53" s="64" t="s">
        <v>459</v>
      </c>
      <c r="R53" s="64" t="s">
        <v>459</v>
      </c>
      <c r="S53" s="64" t="s">
        <v>459</v>
      </c>
      <c r="T53" s="64">
        <v>2046.0</v>
      </c>
      <c r="U53" s="64">
        <v>186.0</v>
      </c>
      <c r="V53" s="66">
        <v>2046.0</v>
      </c>
      <c r="W53" s="66">
        <v>2046.0</v>
      </c>
      <c r="X53" s="66" t="s">
        <v>460</v>
      </c>
      <c r="Y53" s="60" t="s">
        <v>461</v>
      </c>
      <c r="Z53" s="64" t="s">
        <v>462</v>
      </c>
      <c r="AA53" s="64" t="s">
        <v>463</v>
      </c>
      <c r="AB53" s="60" t="s">
        <v>464</v>
      </c>
      <c r="AC53" s="60" t="s">
        <v>451</v>
      </c>
      <c r="AD53" s="64" t="s">
        <v>541</v>
      </c>
      <c r="AE53" s="64" t="s">
        <v>490</v>
      </c>
      <c r="AF53" s="64" t="s">
        <v>490</v>
      </c>
      <c r="AG53" s="64" t="s">
        <v>467</v>
      </c>
      <c r="AH53" s="64" t="s">
        <v>467</v>
      </c>
      <c r="AI53" s="66">
        <v>325.0</v>
      </c>
      <c r="AJ53" s="66">
        <v>28.4</v>
      </c>
      <c r="AK53" s="67">
        <v>9213.75</v>
      </c>
      <c r="AL53" s="63"/>
      <c r="AM53" s="63"/>
      <c r="AN53" s="64">
        <v>28.35</v>
      </c>
      <c r="AO53" s="64" t="s">
        <v>468</v>
      </c>
      <c r="AP53" s="63"/>
      <c r="AQ53" s="63"/>
      <c r="AR53" s="63"/>
      <c r="AS53" s="63"/>
      <c r="AT53" s="63"/>
      <c r="AU53" s="63"/>
      <c r="AV53" s="68"/>
      <c r="AW53" s="58" t="s">
        <v>512</v>
      </c>
      <c r="AX53" s="69">
        <v>9213.75</v>
      </c>
      <c r="AY53" s="70"/>
      <c r="AZ53" s="70"/>
      <c r="BA53" s="70"/>
      <c r="BB53" s="70"/>
      <c r="BC53" s="58" t="s">
        <v>469</v>
      </c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</row>
    <row r="54">
      <c r="A54" s="59">
        <v>45811.0</v>
      </c>
      <c r="B54" s="60" t="s">
        <v>451</v>
      </c>
      <c r="C54" s="61">
        <v>45811.0</v>
      </c>
      <c r="D54" s="61">
        <v>45811.0</v>
      </c>
      <c r="E54" s="60" t="s">
        <v>452</v>
      </c>
      <c r="F54" s="72" t="s">
        <v>669</v>
      </c>
      <c r="G54" s="77"/>
      <c r="H54" s="64" t="s">
        <v>521</v>
      </c>
      <c r="I54" s="64" t="s">
        <v>670</v>
      </c>
      <c r="J54" s="64" t="s">
        <v>456</v>
      </c>
      <c r="K54" s="64" t="s">
        <v>456</v>
      </c>
      <c r="L54" s="64">
        <v>22.0</v>
      </c>
      <c r="M54" s="64">
        <v>22.0</v>
      </c>
      <c r="N54" s="64" t="s">
        <v>457</v>
      </c>
      <c r="O54" s="64">
        <v>24.0</v>
      </c>
      <c r="P54" s="64" t="s">
        <v>671</v>
      </c>
      <c r="Q54" s="66" t="s">
        <v>459</v>
      </c>
      <c r="R54" s="66" t="s">
        <v>459</v>
      </c>
      <c r="S54" s="66" t="s">
        <v>459</v>
      </c>
      <c r="T54" s="66">
        <v>2376.0</v>
      </c>
      <c r="U54" s="66">
        <v>216.0</v>
      </c>
      <c r="V54" s="64">
        <v>2376.0</v>
      </c>
      <c r="W54" s="64">
        <v>2376.0</v>
      </c>
      <c r="X54" s="64" t="s">
        <v>460</v>
      </c>
      <c r="Y54" s="60" t="s">
        <v>461</v>
      </c>
      <c r="Z54" s="64" t="s">
        <v>462</v>
      </c>
      <c r="AA54" s="64" t="s">
        <v>463</v>
      </c>
      <c r="AB54" s="60" t="s">
        <v>464</v>
      </c>
      <c r="AC54" s="60" t="s">
        <v>451</v>
      </c>
      <c r="AD54" s="66" t="s">
        <v>544</v>
      </c>
      <c r="AE54" s="66" t="s">
        <v>545</v>
      </c>
      <c r="AF54" s="66" t="s">
        <v>546</v>
      </c>
      <c r="AG54" s="64" t="s">
        <v>467</v>
      </c>
      <c r="AH54" s="64" t="s">
        <v>467</v>
      </c>
      <c r="AI54" s="64">
        <v>440.0</v>
      </c>
      <c r="AJ54" s="64">
        <v>21.5</v>
      </c>
      <c r="AK54" s="67">
        <v>9460.0</v>
      </c>
      <c r="AL54" s="63"/>
      <c r="AM54" s="63"/>
      <c r="AN54" s="64">
        <v>21.5</v>
      </c>
      <c r="AO54" s="60" t="s">
        <v>468</v>
      </c>
      <c r="AP54" s="63"/>
      <c r="AQ54" s="63"/>
      <c r="AR54" s="63"/>
      <c r="AS54" s="63"/>
      <c r="AT54" s="63"/>
      <c r="AU54" s="63"/>
      <c r="AV54" s="63"/>
      <c r="AW54" s="58" t="s">
        <v>512</v>
      </c>
      <c r="AX54" s="69">
        <v>9460.0</v>
      </c>
      <c r="AY54" s="70"/>
      <c r="AZ54" s="70"/>
      <c r="BA54" s="70"/>
      <c r="BB54" s="70"/>
      <c r="BC54" s="58" t="s">
        <v>469</v>
      </c>
      <c r="BD54" s="58"/>
      <c r="BE54" s="58"/>
      <c r="BF54" s="58" t="s">
        <v>672</v>
      </c>
      <c r="BG54" s="82"/>
      <c r="BH54" s="69">
        <v>59.0</v>
      </c>
      <c r="BI54" s="69">
        <v>1568368.0</v>
      </c>
      <c r="BJ54" s="58"/>
      <c r="BK54" s="58"/>
      <c r="BL54" s="58"/>
      <c r="BM54" s="58"/>
      <c r="BN54" s="58"/>
      <c r="BO54" s="58"/>
      <c r="BP54" s="58"/>
      <c r="BQ54" s="58"/>
      <c r="BR54" s="58"/>
    </row>
    <row r="55">
      <c r="A55" s="59">
        <v>45811.0</v>
      </c>
      <c r="B55" s="60" t="s">
        <v>451</v>
      </c>
      <c r="C55" s="61">
        <v>45811.0</v>
      </c>
      <c r="D55" s="61">
        <v>45811.0</v>
      </c>
      <c r="E55" s="60" t="s">
        <v>452</v>
      </c>
      <c r="F55" s="71" t="s">
        <v>673</v>
      </c>
      <c r="G55" s="63"/>
      <c r="H55" s="66" t="s">
        <v>472</v>
      </c>
      <c r="I55" s="66" t="s">
        <v>581</v>
      </c>
      <c r="J55" s="66" t="s">
        <v>456</v>
      </c>
      <c r="K55" s="66" t="s">
        <v>456</v>
      </c>
      <c r="L55" s="66">
        <v>22.0</v>
      </c>
      <c r="M55" s="66">
        <v>22.0</v>
      </c>
      <c r="N55" s="66" t="s">
        <v>457</v>
      </c>
      <c r="O55" s="66">
        <v>24.0</v>
      </c>
      <c r="P55" s="66" t="s">
        <v>459</v>
      </c>
      <c r="Q55" s="64" t="s">
        <v>459</v>
      </c>
      <c r="R55" s="64" t="s">
        <v>459</v>
      </c>
      <c r="S55" s="64" t="s">
        <v>459</v>
      </c>
      <c r="T55" s="64">
        <v>2618.0</v>
      </c>
      <c r="U55" s="64">
        <v>238.0</v>
      </c>
      <c r="V55" s="66">
        <v>2618.0</v>
      </c>
      <c r="W55" s="66">
        <v>2618.0</v>
      </c>
      <c r="X55" s="66" t="s">
        <v>460</v>
      </c>
      <c r="Y55" s="60" t="s">
        <v>461</v>
      </c>
      <c r="Z55" s="64" t="s">
        <v>462</v>
      </c>
      <c r="AA55" s="64" t="s">
        <v>463</v>
      </c>
      <c r="AB55" s="60" t="s">
        <v>464</v>
      </c>
      <c r="AC55" s="60" t="s">
        <v>451</v>
      </c>
      <c r="AD55" s="64" t="s">
        <v>551</v>
      </c>
      <c r="AE55" s="64" t="s">
        <v>552</v>
      </c>
      <c r="AF55" s="64" t="s">
        <v>552</v>
      </c>
      <c r="AG55" s="64" t="s">
        <v>467</v>
      </c>
      <c r="AH55" s="64" t="s">
        <v>467</v>
      </c>
      <c r="AI55" s="64">
        <v>440.0</v>
      </c>
      <c r="AJ55" s="64">
        <v>21.5</v>
      </c>
      <c r="AK55" s="67">
        <v>9460.0</v>
      </c>
      <c r="AL55" s="63"/>
      <c r="AM55" s="63"/>
      <c r="AN55" s="64">
        <v>21.5</v>
      </c>
      <c r="AO55" s="64" t="s">
        <v>468</v>
      </c>
      <c r="AP55" s="63"/>
      <c r="AQ55" s="63"/>
      <c r="AR55" s="63"/>
      <c r="AS55" s="63"/>
      <c r="AT55" s="63"/>
      <c r="AU55" s="63"/>
      <c r="AV55" s="68"/>
      <c r="AW55" s="58" t="s">
        <v>512</v>
      </c>
      <c r="AX55" s="69">
        <v>9460.0</v>
      </c>
      <c r="AY55" s="70"/>
      <c r="AZ55" s="70"/>
      <c r="BA55" s="70"/>
      <c r="BB55" s="70"/>
      <c r="BC55" s="58" t="s">
        <v>469</v>
      </c>
      <c r="BD55" s="58"/>
      <c r="BE55" s="58"/>
      <c r="BF55" s="58" t="s">
        <v>674</v>
      </c>
      <c r="BG55" s="82"/>
      <c r="BH55" s="69">
        <v>5.0</v>
      </c>
      <c r="BI55" s="69">
        <v>80797.5</v>
      </c>
      <c r="BJ55" s="58"/>
      <c r="BK55" s="58"/>
      <c r="BL55" s="58"/>
      <c r="BM55" s="58"/>
      <c r="BN55" s="58"/>
      <c r="BO55" s="58"/>
      <c r="BP55" s="58"/>
      <c r="BQ55" s="58"/>
      <c r="BR55" s="58"/>
    </row>
    <row r="56">
      <c r="A56" s="61">
        <v>45811.0</v>
      </c>
      <c r="B56" s="60" t="s">
        <v>451</v>
      </c>
      <c r="C56" s="61">
        <v>45811.0</v>
      </c>
      <c r="D56" s="61">
        <v>45811.0</v>
      </c>
      <c r="E56" s="60" t="s">
        <v>452</v>
      </c>
      <c r="F56" s="72" t="s">
        <v>675</v>
      </c>
      <c r="G56" s="77"/>
      <c r="H56" s="64" t="s">
        <v>521</v>
      </c>
      <c r="I56" s="64" t="s">
        <v>676</v>
      </c>
      <c r="J56" s="64" t="s">
        <v>486</v>
      </c>
      <c r="K56" s="64" t="s">
        <v>486</v>
      </c>
      <c r="L56" s="66">
        <v>22.0</v>
      </c>
      <c r="M56" s="66">
        <v>22.0</v>
      </c>
      <c r="N56" s="66" t="s">
        <v>457</v>
      </c>
      <c r="O56" s="66">
        <v>24.0</v>
      </c>
      <c r="P56" s="64" t="s">
        <v>677</v>
      </c>
      <c r="Q56" s="66" t="s">
        <v>459</v>
      </c>
      <c r="R56" s="66" t="s">
        <v>459</v>
      </c>
      <c r="S56" s="66" t="s">
        <v>459</v>
      </c>
      <c r="T56" s="64">
        <v>2420.0</v>
      </c>
      <c r="U56" s="66">
        <v>220.0</v>
      </c>
      <c r="V56" s="64">
        <v>2420.0</v>
      </c>
      <c r="W56" s="64">
        <v>2420.0</v>
      </c>
      <c r="X56" s="64" t="s">
        <v>460</v>
      </c>
      <c r="Y56" s="60" t="s">
        <v>461</v>
      </c>
      <c r="Z56" s="64" t="s">
        <v>462</v>
      </c>
      <c r="AA56" s="64" t="s">
        <v>463</v>
      </c>
      <c r="AB56" s="60" t="s">
        <v>464</v>
      </c>
      <c r="AC56" s="60" t="s">
        <v>451</v>
      </c>
      <c r="AD56" s="66" t="s">
        <v>678</v>
      </c>
      <c r="AE56" s="66" t="s">
        <v>643</v>
      </c>
      <c r="AF56" s="66" t="s">
        <v>643</v>
      </c>
      <c r="AG56" s="64" t="s">
        <v>467</v>
      </c>
      <c r="AH56" s="64" t="s">
        <v>467</v>
      </c>
      <c r="AI56" s="64">
        <v>805.0</v>
      </c>
      <c r="AJ56" s="64">
        <v>23.5</v>
      </c>
      <c r="AK56" s="67">
        <v>18917.5</v>
      </c>
      <c r="AL56" s="63"/>
      <c r="AM56" s="63"/>
      <c r="AN56" s="64">
        <v>23.5</v>
      </c>
      <c r="AO56" s="66" t="s">
        <v>468</v>
      </c>
      <c r="AP56" s="63"/>
      <c r="AQ56" s="63"/>
      <c r="AR56" s="63"/>
      <c r="AS56" s="63"/>
      <c r="AT56" s="63"/>
      <c r="AU56" s="63"/>
      <c r="AV56" s="68"/>
      <c r="AW56" s="58" t="s">
        <v>512</v>
      </c>
      <c r="AX56" s="69">
        <v>18917.5</v>
      </c>
      <c r="AY56" s="70"/>
      <c r="AZ56" s="70"/>
      <c r="BA56" s="70"/>
      <c r="BB56" s="70"/>
      <c r="BC56" s="58" t="s">
        <v>469</v>
      </c>
      <c r="BD56" s="58"/>
      <c r="BE56" s="58"/>
      <c r="BF56" s="58" t="s">
        <v>679</v>
      </c>
      <c r="BG56" s="82"/>
      <c r="BH56" s="69">
        <v>33.0</v>
      </c>
      <c r="BI56" s="69">
        <v>1112952.0</v>
      </c>
      <c r="BJ56" s="58"/>
      <c r="BK56" s="58"/>
      <c r="BL56" s="58"/>
      <c r="BM56" s="58"/>
      <c r="BN56" s="58"/>
      <c r="BO56" s="58"/>
      <c r="BP56" s="58"/>
      <c r="BQ56" s="58"/>
      <c r="BR56" s="58"/>
    </row>
    <row r="57">
      <c r="A57" s="59">
        <v>45811.0</v>
      </c>
      <c r="B57" s="60" t="s">
        <v>451</v>
      </c>
      <c r="C57" s="61">
        <v>45811.0</v>
      </c>
      <c r="D57" s="61">
        <v>45811.0</v>
      </c>
      <c r="E57" s="60" t="s">
        <v>452</v>
      </c>
      <c r="F57" s="71" t="s">
        <v>680</v>
      </c>
      <c r="G57" s="63"/>
      <c r="H57" s="66" t="s">
        <v>521</v>
      </c>
      <c r="I57" s="66" t="s">
        <v>555</v>
      </c>
      <c r="J57" s="64" t="s">
        <v>456</v>
      </c>
      <c r="K57" s="64" t="s">
        <v>456</v>
      </c>
      <c r="L57" s="66">
        <v>22.0</v>
      </c>
      <c r="M57" s="66">
        <v>22.0</v>
      </c>
      <c r="N57" s="66" t="s">
        <v>457</v>
      </c>
      <c r="O57" s="66">
        <v>24.0</v>
      </c>
      <c r="P57" s="64" t="s">
        <v>681</v>
      </c>
      <c r="Q57" s="64" t="s">
        <v>459</v>
      </c>
      <c r="R57" s="64" t="s">
        <v>459</v>
      </c>
      <c r="S57" s="64" t="s">
        <v>459</v>
      </c>
      <c r="T57" s="64">
        <v>1738.0</v>
      </c>
      <c r="U57" s="64">
        <v>158.0</v>
      </c>
      <c r="V57" s="64">
        <v>1738.0</v>
      </c>
      <c r="W57" s="64">
        <v>1738.0</v>
      </c>
      <c r="X57" s="64" t="s">
        <v>460</v>
      </c>
      <c r="Y57" s="60" t="s">
        <v>461</v>
      </c>
      <c r="Z57" s="64" t="s">
        <v>462</v>
      </c>
      <c r="AA57" s="64" t="s">
        <v>463</v>
      </c>
      <c r="AB57" s="60" t="s">
        <v>464</v>
      </c>
      <c r="AC57" s="60" t="s">
        <v>451</v>
      </c>
      <c r="AD57" s="66" t="s">
        <v>557</v>
      </c>
      <c r="AE57" s="64" t="s">
        <v>525</v>
      </c>
      <c r="AF57" s="64" t="s">
        <v>525</v>
      </c>
      <c r="AG57" s="64" t="s">
        <v>467</v>
      </c>
      <c r="AH57" s="64" t="s">
        <v>467</v>
      </c>
      <c r="AI57" s="66">
        <v>800.0</v>
      </c>
      <c r="AJ57" s="64">
        <v>21.5</v>
      </c>
      <c r="AK57" s="67">
        <v>17200.0</v>
      </c>
      <c r="AL57" s="63"/>
      <c r="AM57" s="63"/>
      <c r="AN57" s="64">
        <v>21.5</v>
      </c>
      <c r="AO57" s="66" t="s">
        <v>468</v>
      </c>
      <c r="AP57" s="63"/>
      <c r="AQ57" s="63"/>
      <c r="AR57" s="63"/>
      <c r="AS57" s="63"/>
      <c r="AT57" s="63"/>
      <c r="AU57" s="63"/>
      <c r="AV57" s="68"/>
      <c r="AW57" s="58" t="s">
        <v>512</v>
      </c>
      <c r="AX57" s="69">
        <v>17200.0</v>
      </c>
      <c r="AY57" s="70"/>
      <c r="AZ57" s="70"/>
      <c r="BA57" s="70"/>
      <c r="BB57" s="70"/>
      <c r="BC57" s="58" t="s">
        <v>469</v>
      </c>
      <c r="BD57" s="58"/>
      <c r="BE57" s="58"/>
      <c r="BF57" s="58" t="s">
        <v>682</v>
      </c>
      <c r="BG57" s="82"/>
      <c r="BH57" s="69">
        <v>16.0</v>
      </c>
      <c r="BI57" s="69">
        <v>239849.3</v>
      </c>
      <c r="BJ57" s="58"/>
      <c r="BK57" s="58"/>
      <c r="BL57" s="58"/>
      <c r="BM57" s="58"/>
      <c r="BN57" s="58"/>
      <c r="BO57" s="58"/>
      <c r="BP57" s="58"/>
      <c r="BQ57" s="58"/>
      <c r="BR57" s="58"/>
    </row>
    <row r="58">
      <c r="A58" s="59">
        <v>45811.0</v>
      </c>
      <c r="B58" s="60" t="s">
        <v>451</v>
      </c>
      <c r="C58" s="61">
        <v>45811.0</v>
      </c>
      <c r="D58" s="61">
        <v>45811.0</v>
      </c>
      <c r="E58" s="60" t="s">
        <v>452</v>
      </c>
      <c r="F58" s="72" t="s">
        <v>683</v>
      </c>
      <c r="G58" s="77"/>
      <c r="H58" s="64" t="s">
        <v>538</v>
      </c>
      <c r="I58" s="64" t="s">
        <v>559</v>
      </c>
      <c r="J58" s="64" t="s">
        <v>456</v>
      </c>
      <c r="K58" s="64" t="s">
        <v>456</v>
      </c>
      <c r="L58" s="64">
        <v>32.0</v>
      </c>
      <c r="M58" s="64">
        <v>32.0</v>
      </c>
      <c r="N58" s="64" t="s">
        <v>540</v>
      </c>
      <c r="O58" s="64">
        <v>24.0</v>
      </c>
      <c r="P58" s="64" t="s">
        <v>684</v>
      </c>
      <c r="Q58" s="66" t="s">
        <v>459</v>
      </c>
      <c r="R58" s="66" t="s">
        <v>459</v>
      </c>
      <c r="S58" s="66" t="s">
        <v>459</v>
      </c>
      <c r="T58" s="66">
        <v>3476.0</v>
      </c>
      <c r="U58" s="66">
        <v>316.0</v>
      </c>
      <c r="V58" s="64">
        <v>3476.0</v>
      </c>
      <c r="W58" s="64">
        <v>3476.0</v>
      </c>
      <c r="X58" s="64" t="s">
        <v>460</v>
      </c>
      <c r="Y58" s="60" t="s">
        <v>461</v>
      </c>
      <c r="Z58" s="64" t="s">
        <v>462</v>
      </c>
      <c r="AA58" s="64" t="s">
        <v>463</v>
      </c>
      <c r="AB58" s="60" t="s">
        <v>464</v>
      </c>
      <c r="AC58" s="60" t="s">
        <v>451</v>
      </c>
      <c r="AD58" s="66" t="s">
        <v>561</v>
      </c>
      <c r="AE58" s="66" t="s">
        <v>562</v>
      </c>
      <c r="AF58" s="66" t="s">
        <v>562</v>
      </c>
      <c r="AG58" s="64" t="s">
        <v>467</v>
      </c>
      <c r="AH58" s="64" t="s">
        <v>467</v>
      </c>
      <c r="AI58" s="60">
        <v>325.0</v>
      </c>
      <c r="AJ58" s="60">
        <v>28.4</v>
      </c>
      <c r="AK58" s="67">
        <v>9213.75</v>
      </c>
      <c r="AL58" s="63"/>
      <c r="AM58" s="63"/>
      <c r="AN58" s="64">
        <v>28.35</v>
      </c>
      <c r="AO58" s="64" t="s">
        <v>468</v>
      </c>
      <c r="AP58" s="63"/>
      <c r="AQ58" s="63"/>
      <c r="AR58" s="63"/>
      <c r="AS58" s="63"/>
      <c r="AT58" s="63"/>
      <c r="AU58" s="63"/>
      <c r="AV58" s="63"/>
      <c r="AW58" s="58" t="s">
        <v>512</v>
      </c>
      <c r="AX58" s="69">
        <v>9213.75</v>
      </c>
      <c r="AY58" s="70"/>
      <c r="AZ58" s="70"/>
      <c r="BA58" s="70"/>
      <c r="BB58" s="70"/>
      <c r="BC58" s="58" t="s">
        <v>469</v>
      </c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</row>
    <row r="59">
      <c r="A59" s="59">
        <v>45811.0</v>
      </c>
      <c r="B59" s="60" t="s">
        <v>451</v>
      </c>
      <c r="C59" s="61">
        <v>45811.0</v>
      </c>
      <c r="D59" s="61">
        <v>45811.0</v>
      </c>
      <c r="E59" s="60" t="s">
        <v>452</v>
      </c>
      <c r="F59" s="71" t="s">
        <v>685</v>
      </c>
      <c r="G59" s="63"/>
      <c r="H59" s="66" t="s">
        <v>538</v>
      </c>
      <c r="I59" s="66" t="s">
        <v>564</v>
      </c>
      <c r="J59" s="66" t="s">
        <v>456</v>
      </c>
      <c r="K59" s="66" t="s">
        <v>456</v>
      </c>
      <c r="L59" s="66">
        <v>32.0</v>
      </c>
      <c r="M59" s="66">
        <v>32.0</v>
      </c>
      <c r="N59" s="66" t="s">
        <v>540</v>
      </c>
      <c r="O59" s="66">
        <v>24.0</v>
      </c>
      <c r="P59" s="66" t="s">
        <v>686</v>
      </c>
      <c r="Q59" s="64" t="s">
        <v>459</v>
      </c>
      <c r="R59" s="64" t="s">
        <v>459</v>
      </c>
      <c r="S59" s="64" t="s">
        <v>459</v>
      </c>
      <c r="T59" s="64">
        <v>2607.0</v>
      </c>
      <c r="U59" s="64">
        <v>237.0</v>
      </c>
      <c r="V59" s="66">
        <v>2607.0</v>
      </c>
      <c r="W59" s="66">
        <v>2607.0</v>
      </c>
      <c r="X59" s="66" t="s">
        <v>460</v>
      </c>
      <c r="Y59" s="60" t="s">
        <v>461</v>
      </c>
      <c r="Z59" s="64" t="s">
        <v>462</v>
      </c>
      <c r="AA59" s="64" t="s">
        <v>463</v>
      </c>
      <c r="AB59" s="60" t="s">
        <v>464</v>
      </c>
      <c r="AC59" s="60" t="s">
        <v>451</v>
      </c>
      <c r="AD59" s="64" t="s">
        <v>566</v>
      </c>
      <c r="AE59" s="64" t="s">
        <v>567</v>
      </c>
      <c r="AF59" s="64" t="s">
        <v>567</v>
      </c>
      <c r="AG59" s="64" t="s">
        <v>467</v>
      </c>
      <c r="AH59" s="64" t="s">
        <v>467</v>
      </c>
      <c r="AI59" s="64">
        <v>475.0</v>
      </c>
      <c r="AJ59" s="64">
        <v>28.35</v>
      </c>
      <c r="AK59" s="67">
        <v>13466.25</v>
      </c>
      <c r="AL59" s="63"/>
      <c r="AM59" s="63"/>
      <c r="AN59" s="64">
        <v>28.35</v>
      </c>
      <c r="AO59" s="64" t="s">
        <v>468</v>
      </c>
      <c r="AP59" s="63"/>
      <c r="AQ59" s="63"/>
      <c r="AR59" s="63"/>
      <c r="AS59" s="63"/>
      <c r="AT59" s="63"/>
      <c r="AU59" s="63"/>
      <c r="AV59" s="63"/>
      <c r="AW59" s="58" t="s">
        <v>512</v>
      </c>
      <c r="AX59" s="69">
        <v>13466.25</v>
      </c>
      <c r="AY59" s="70"/>
      <c r="AZ59" s="70"/>
      <c r="BA59" s="70"/>
      <c r="BB59" s="70"/>
      <c r="BC59" s="58" t="s">
        <v>469</v>
      </c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</row>
    <row r="60">
      <c r="A60" s="59">
        <v>45811.0</v>
      </c>
      <c r="B60" s="60" t="s">
        <v>451</v>
      </c>
      <c r="C60" s="61">
        <v>45811.0</v>
      </c>
      <c r="D60" s="61">
        <v>45811.0</v>
      </c>
      <c r="E60" s="60" t="s">
        <v>452</v>
      </c>
      <c r="F60" s="72" t="s">
        <v>687</v>
      </c>
      <c r="G60" s="77"/>
      <c r="H60" s="64" t="s">
        <v>492</v>
      </c>
      <c r="I60" s="64" t="s">
        <v>569</v>
      </c>
      <c r="J60" s="64" t="s">
        <v>456</v>
      </c>
      <c r="K60" s="64" t="s">
        <v>456</v>
      </c>
      <c r="L60" s="64">
        <v>22.0</v>
      </c>
      <c r="M60" s="64">
        <v>22.0</v>
      </c>
      <c r="N60" s="64" t="s">
        <v>457</v>
      </c>
      <c r="O60" s="64">
        <v>24.0</v>
      </c>
      <c r="P60" s="64" t="s">
        <v>688</v>
      </c>
      <c r="Q60" s="66" t="s">
        <v>459</v>
      </c>
      <c r="R60" s="66" t="s">
        <v>459</v>
      </c>
      <c r="S60" s="66" t="s">
        <v>459</v>
      </c>
      <c r="T60" s="66">
        <v>3443.0</v>
      </c>
      <c r="U60" s="66">
        <v>313.0</v>
      </c>
      <c r="V60" s="64">
        <v>3443.0</v>
      </c>
      <c r="W60" s="64">
        <v>3443.0</v>
      </c>
      <c r="X60" s="64" t="s">
        <v>460</v>
      </c>
      <c r="Y60" s="60" t="s">
        <v>461</v>
      </c>
      <c r="Z60" s="64" t="s">
        <v>462</v>
      </c>
      <c r="AA60" s="64" t="s">
        <v>463</v>
      </c>
      <c r="AB60" s="60" t="s">
        <v>464</v>
      </c>
      <c r="AC60" s="60" t="s">
        <v>451</v>
      </c>
      <c r="AD60" s="66" t="s">
        <v>571</v>
      </c>
      <c r="AE60" s="66" t="s">
        <v>572</v>
      </c>
      <c r="AF60" s="66" t="s">
        <v>572</v>
      </c>
      <c r="AG60" s="64" t="s">
        <v>467</v>
      </c>
      <c r="AH60" s="64" t="s">
        <v>467</v>
      </c>
      <c r="AI60" s="66">
        <v>655.0</v>
      </c>
      <c r="AJ60" s="66">
        <v>21.5</v>
      </c>
      <c r="AK60" s="67">
        <v>14082.5</v>
      </c>
      <c r="AL60" s="63"/>
      <c r="AM60" s="63"/>
      <c r="AN60" s="64">
        <v>21.5</v>
      </c>
      <c r="AO60" s="60" t="s">
        <v>468</v>
      </c>
      <c r="AP60" s="63"/>
      <c r="AQ60" s="63"/>
      <c r="AR60" s="63"/>
      <c r="AS60" s="63"/>
      <c r="AT60" s="63"/>
      <c r="AU60" s="63"/>
      <c r="AV60" s="68"/>
      <c r="AW60" s="58" t="s">
        <v>512</v>
      </c>
      <c r="AX60" s="69">
        <v>14082.5</v>
      </c>
      <c r="AY60" s="70"/>
      <c r="AZ60" s="70"/>
      <c r="BA60" s="70"/>
      <c r="BB60" s="70"/>
      <c r="BC60" s="58" t="s">
        <v>469</v>
      </c>
      <c r="BD60" s="58"/>
      <c r="BE60" s="58"/>
      <c r="BF60" s="58" t="s">
        <v>689</v>
      </c>
      <c r="BG60" s="82"/>
      <c r="BH60" s="69">
        <v>4.0</v>
      </c>
      <c r="BI60" s="69">
        <v>63504.0</v>
      </c>
      <c r="BJ60" s="58"/>
      <c r="BK60" s="58"/>
      <c r="BL60" s="58"/>
      <c r="BM60" s="58"/>
      <c r="BN60" s="58"/>
      <c r="BO60" s="58"/>
      <c r="BP60" s="58"/>
      <c r="BQ60" s="58"/>
      <c r="BR60" s="58"/>
    </row>
    <row r="61">
      <c r="A61" s="59">
        <v>45811.0</v>
      </c>
      <c r="B61" s="60" t="s">
        <v>451</v>
      </c>
      <c r="C61" s="61">
        <v>45811.0</v>
      </c>
      <c r="D61" s="61">
        <v>45811.0</v>
      </c>
      <c r="E61" s="60" t="s">
        <v>452</v>
      </c>
      <c r="F61" s="71" t="s">
        <v>690</v>
      </c>
      <c r="G61" s="63"/>
      <c r="H61" s="66" t="s">
        <v>498</v>
      </c>
      <c r="I61" s="66" t="s">
        <v>691</v>
      </c>
      <c r="J61" s="66" t="s">
        <v>486</v>
      </c>
      <c r="K61" s="66" t="s">
        <v>486</v>
      </c>
      <c r="L61" s="66">
        <v>22.0</v>
      </c>
      <c r="M61" s="66">
        <v>22.0</v>
      </c>
      <c r="N61" s="66" t="s">
        <v>457</v>
      </c>
      <c r="O61" s="66">
        <v>24.0</v>
      </c>
      <c r="P61" s="66" t="s">
        <v>692</v>
      </c>
      <c r="Q61" s="64" t="s">
        <v>459</v>
      </c>
      <c r="R61" s="64" t="s">
        <v>459</v>
      </c>
      <c r="S61" s="64" t="s">
        <v>459</v>
      </c>
      <c r="T61" s="64">
        <v>825.0</v>
      </c>
      <c r="U61" s="64">
        <v>75.0</v>
      </c>
      <c r="V61" s="66">
        <v>825.0</v>
      </c>
      <c r="W61" s="66">
        <v>825.0</v>
      </c>
      <c r="X61" s="66" t="s">
        <v>460</v>
      </c>
      <c r="Y61" s="60" t="s">
        <v>461</v>
      </c>
      <c r="Z61" s="64" t="s">
        <v>462</v>
      </c>
      <c r="AA61" s="64" t="s">
        <v>463</v>
      </c>
      <c r="AB61" s="60" t="s">
        <v>464</v>
      </c>
      <c r="AC61" s="60" t="s">
        <v>451</v>
      </c>
      <c r="AD61" s="64" t="s">
        <v>571</v>
      </c>
      <c r="AE61" s="64" t="s">
        <v>572</v>
      </c>
      <c r="AF61" s="64" t="s">
        <v>572</v>
      </c>
      <c r="AG61" s="64" t="s">
        <v>467</v>
      </c>
      <c r="AH61" s="64" t="s">
        <v>467</v>
      </c>
      <c r="AI61" s="66">
        <v>655.0</v>
      </c>
      <c r="AJ61" s="66">
        <v>23.5</v>
      </c>
      <c r="AK61" s="67">
        <v>15392.5</v>
      </c>
      <c r="AL61" s="63"/>
      <c r="AM61" s="63"/>
      <c r="AN61" s="64">
        <v>23.5</v>
      </c>
      <c r="AO61" s="60" t="s">
        <v>468</v>
      </c>
      <c r="AP61" s="63"/>
      <c r="AQ61" s="63"/>
      <c r="AR61" s="63"/>
      <c r="AS61" s="63"/>
      <c r="AT61" s="63"/>
      <c r="AU61" s="63"/>
      <c r="AV61" s="68"/>
      <c r="AW61" s="58" t="s">
        <v>512</v>
      </c>
      <c r="AX61" s="69">
        <v>15392.5</v>
      </c>
      <c r="AY61" s="70"/>
      <c r="AZ61" s="70"/>
      <c r="BA61" s="70"/>
      <c r="BB61" s="70"/>
      <c r="BC61" s="58" t="s">
        <v>469</v>
      </c>
      <c r="BD61" s="58"/>
      <c r="BE61" s="58"/>
      <c r="BF61" s="58" t="s">
        <v>693</v>
      </c>
      <c r="BG61" s="82"/>
      <c r="BH61" s="69">
        <v>30.0</v>
      </c>
      <c r="BI61" s="69">
        <v>482664.0</v>
      </c>
      <c r="BJ61" s="58"/>
      <c r="BK61" s="58"/>
      <c r="BL61" s="58"/>
      <c r="BM61" s="58"/>
      <c r="BN61" s="58"/>
      <c r="BO61" s="58"/>
      <c r="BP61" s="58"/>
      <c r="BQ61" s="58"/>
      <c r="BR61" s="58"/>
    </row>
    <row r="62">
      <c r="A62" s="59">
        <v>45811.0</v>
      </c>
      <c r="B62" s="60" t="s">
        <v>451</v>
      </c>
      <c r="C62" s="61">
        <v>45811.0</v>
      </c>
      <c r="D62" s="61">
        <v>45811.0</v>
      </c>
      <c r="E62" s="60" t="s">
        <v>452</v>
      </c>
      <c r="F62" s="72" t="s">
        <v>694</v>
      </c>
      <c r="G62" s="77"/>
      <c r="H62" s="64" t="s">
        <v>472</v>
      </c>
      <c r="I62" s="64" t="s">
        <v>629</v>
      </c>
      <c r="J62" s="64" t="s">
        <v>456</v>
      </c>
      <c r="K62" s="64" t="s">
        <v>456</v>
      </c>
      <c r="L62" s="64">
        <v>22.0</v>
      </c>
      <c r="M62" s="64">
        <v>22.0</v>
      </c>
      <c r="N62" s="64" t="s">
        <v>457</v>
      </c>
      <c r="O62" s="64">
        <v>24.0</v>
      </c>
      <c r="P62" s="64" t="s">
        <v>695</v>
      </c>
      <c r="Q62" s="66" t="s">
        <v>459</v>
      </c>
      <c r="R62" s="66" t="s">
        <v>459</v>
      </c>
      <c r="S62" s="66" t="s">
        <v>459</v>
      </c>
      <c r="T62" s="66">
        <v>1716.0</v>
      </c>
      <c r="U62" s="66">
        <v>156.0</v>
      </c>
      <c r="V62" s="64">
        <v>1716.0</v>
      </c>
      <c r="W62" s="64">
        <v>1716.0</v>
      </c>
      <c r="X62" s="64" t="s">
        <v>460</v>
      </c>
      <c r="Y62" s="60" t="s">
        <v>461</v>
      </c>
      <c r="Z62" s="64" t="s">
        <v>462</v>
      </c>
      <c r="AA62" s="64" t="s">
        <v>463</v>
      </c>
      <c r="AB62" s="60" t="s">
        <v>464</v>
      </c>
      <c r="AC62" s="60" t="s">
        <v>451</v>
      </c>
      <c r="AD62" s="66" t="s">
        <v>577</v>
      </c>
      <c r="AE62" s="66" t="s">
        <v>578</v>
      </c>
      <c r="AF62" s="66" t="s">
        <v>578</v>
      </c>
      <c r="AG62" s="64" t="s">
        <v>467</v>
      </c>
      <c r="AH62" s="64" t="s">
        <v>467</v>
      </c>
      <c r="AI62" s="66">
        <v>396.0</v>
      </c>
      <c r="AJ62" s="64">
        <v>21.5</v>
      </c>
      <c r="AK62" s="67">
        <v>8514.0</v>
      </c>
      <c r="AL62" s="63"/>
      <c r="AM62" s="63"/>
      <c r="AN62" s="64">
        <v>21.5</v>
      </c>
      <c r="AO62" s="64" t="s">
        <v>468</v>
      </c>
      <c r="AP62" s="63"/>
      <c r="AQ62" s="63"/>
      <c r="AR62" s="63"/>
      <c r="AS62" s="63"/>
      <c r="AT62" s="63"/>
      <c r="AU62" s="63"/>
      <c r="AV62" s="63"/>
      <c r="AW62" s="58" t="s">
        <v>512</v>
      </c>
      <c r="AX62" s="69">
        <v>8514.0</v>
      </c>
      <c r="AY62" s="70"/>
      <c r="AZ62" s="70"/>
      <c r="BA62" s="70"/>
      <c r="BB62" s="70"/>
      <c r="BC62" s="58" t="s">
        <v>469</v>
      </c>
      <c r="BD62" s="58"/>
      <c r="BE62" s="58"/>
      <c r="BF62" s="58" t="s">
        <v>696</v>
      </c>
      <c r="BG62" s="82"/>
      <c r="BH62" s="69">
        <v>11.0</v>
      </c>
      <c r="BI62" s="69">
        <v>176680.0</v>
      </c>
      <c r="BJ62" s="58"/>
      <c r="BK62" s="58"/>
      <c r="BL62" s="58"/>
      <c r="BM62" s="58"/>
      <c r="BN62" s="58"/>
      <c r="BO62" s="58"/>
      <c r="BP62" s="58"/>
      <c r="BQ62" s="58"/>
      <c r="BR62" s="58"/>
    </row>
    <row r="63">
      <c r="A63" s="59">
        <v>45811.0</v>
      </c>
      <c r="B63" s="60" t="s">
        <v>451</v>
      </c>
      <c r="C63" s="61">
        <v>45811.0</v>
      </c>
      <c r="D63" s="61">
        <v>45811.0</v>
      </c>
      <c r="E63" s="60" t="s">
        <v>452</v>
      </c>
      <c r="F63" s="71" t="s">
        <v>697</v>
      </c>
      <c r="G63" s="63"/>
      <c r="H63" s="66" t="s">
        <v>472</v>
      </c>
      <c r="I63" s="66" t="s">
        <v>632</v>
      </c>
      <c r="J63" s="66" t="s">
        <v>456</v>
      </c>
      <c r="K63" s="66" t="s">
        <v>456</v>
      </c>
      <c r="L63" s="66">
        <v>22.0</v>
      </c>
      <c r="M63" s="66">
        <v>22.0</v>
      </c>
      <c r="N63" s="66" t="s">
        <v>457</v>
      </c>
      <c r="O63" s="66">
        <v>24.0</v>
      </c>
      <c r="P63" s="66" t="s">
        <v>698</v>
      </c>
      <c r="Q63" s="64" t="s">
        <v>459</v>
      </c>
      <c r="R63" s="64" t="s">
        <v>459</v>
      </c>
      <c r="S63" s="64" t="s">
        <v>459</v>
      </c>
      <c r="T63" s="64">
        <v>1815.0</v>
      </c>
      <c r="U63" s="64">
        <v>165.0</v>
      </c>
      <c r="V63" s="66">
        <v>1815.0</v>
      </c>
      <c r="W63" s="66">
        <v>1815.0</v>
      </c>
      <c r="X63" s="66" t="s">
        <v>460</v>
      </c>
      <c r="Y63" s="60" t="s">
        <v>461</v>
      </c>
      <c r="Z63" s="64" t="s">
        <v>462</v>
      </c>
      <c r="AA63" s="64" t="s">
        <v>463</v>
      </c>
      <c r="AB63" s="60" t="s">
        <v>464</v>
      </c>
      <c r="AC63" s="60" t="s">
        <v>451</v>
      </c>
      <c r="AD63" s="64" t="s">
        <v>634</v>
      </c>
      <c r="AE63" s="64" t="s">
        <v>617</v>
      </c>
      <c r="AF63" s="64" t="s">
        <v>617</v>
      </c>
      <c r="AG63" s="64" t="s">
        <v>467</v>
      </c>
      <c r="AH63" s="64" t="s">
        <v>467</v>
      </c>
      <c r="AI63" s="64">
        <v>330.0</v>
      </c>
      <c r="AJ63" s="64">
        <v>21.5</v>
      </c>
      <c r="AK63" s="67">
        <v>7095.0</v>
      </c>
      <c r="AL63" s="63"/>
      <c r="AM63" s="63"/>
      <c r="AN63" s="64">
        <v>21.5</v>
      </c>
      <c r="AO63" s="64" t="s">
        <v>468</v>
      </c>
      <c r="AP63" s="63"/>
      <c r="AQ63" s="63"/>
      <c r="AR63" s="63"/>
      <c r="AS63" s="63"/>
      <c r="AT63" s="63"/>
      <c r="AU63" s="63"/>
      <c r="AV63" s="63"/>
      <c r="AW63" s="58" t="s">
        <v>512</v>
      </c>
      <c r="AX63" s="69">
        <v>7095.0</v>
      </c>
      <c r="AY63" s="70"/>
      <c r="AZ63" s="70"/>
      <c r="BA63" s="70"/>
      <c r="BB63" s="70"/>
      <c r="BC63" s="58" t="s">
        <v>469</v>
      </c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</row>
    <row r="64">
      <c r="A64" s="83">
        <v>45812.0</v>
      </c>
      <c r="B64" s="66" t="s">
        <v>451</v>
      </c>
      <c r="C64" s="61">
        <v>45812.0</v>
      </c>
      <c r="D64" s="61">
        <v>45812.0</v>
      </c>
      <c r="E64" s="60" t="s">
        <v>452</v>
      </c>
      <c r="F64" s="71" t="s">
        <v>699</v>
      </c>
      <c r="G64" s="77"/>
      <c r="H64" s="64" t="s">
        <v>454</v>
      </c>
      <c r="I64" s="64" t="s">
        <v>455</v>
      </c>
      <c r="J64" s="64" t="s">
        <v>456</v>
      </c>
      <c r="K64" s="64" t="s">
        <v>456</v>
      </c>
      <c r="L64" s="64">
        <v>22.0</v>
      </c>
      <c r="M64" s="64">
        <v>22.0</v>
      </c>
      <c r="N64" s="64" t="s">
        <v>457</v>
      </c>
      <c r="O64" s="64">
        <v>24.0</v>
      </c>
      <c r="P64" s="64" t="s">
        <v>700</v>
      </c>
      <c r="Q64" s="66" t="s">
        <v>459</v>
      </c>
      <c r="R64" s="66" t="s">
        <v>459</v>
      </c>
      <c r="S64" s="66" t="s">
        <v>459</v>
      </c>
      <c r="T64" s="66">
        <v>3432.0</v>
      </c>
      <c r="U64" s="66">
        <v>312.0</v>
      </c>
      <c r="V64" s="64">
        <v>3432.0</v>
      </c>
      <c r="W64" s="64">
        <v>3432.0</v>
      </c>
      <c r="X64" s="76" t="s">
        <v>460</v>
      </c>
      <c r="Y64" s="64" t="s">
        <v>461</v>
      </c>
      <c r="Z64" s="64" t="s">
        <v>462</v>
      </c>
      <c r="AA64" s="64" t="s">
        <v>463</v>
      </c>
      <c r="AB64" s="60" t="s">
        <v>464</v>
      </c>
      <c r="AC64" s="60" t="s">
        <v>451</v>
      </c>
      <c r="AD64" s="64" t="s">
        <v>465</v>
      </c>
      <c r="AE64" s="64" t="s">
        <v>466</v>
      </c>
      <c r="AF64" s="64" t="s">
        <v>466</v>
      </c>
      <c r="AG64" s="64" t="s">
        <v>467</v>
      </c>
      <c r="AH64" s="64" t="s">
        <v>467</v>
      </c>
      <c r="AI64" s="66">
        <v>735.0</v>
      </c>
      <c r="AJ64" s="66">
        <v>21.5</v>
      </c>
      <c r="AK64" s="67">
        <v>15802.5</v>
      </c>
      <c r="AL64" s="63"/>
      <c r="AM64" s="63"/>
      <c r="AN64" s="64">
        <v>21.5</v>
      </c>
      <c r="AO64" s="60" t="s">
        <v>468</v>
      </c>
      <c r="AP64" s="63"/>
      <c r="AQ64" s="63"/>
      <c r="AR64" s="63"/>
      <c r="AS64" s="63"/>
      <c r="AT64" s="63"/>
      <c r="AU64" s="63"/>
      <c r="AV64" s="68"/>
      <c r="AW64" s="58" t="s">
        <v>512</v>
      </c>
      <c r="AX64" s="69">
        <v>15802.5</v>
      </c>
      <c r="AY64" s="70"/>
      <c r="AZ64" s="70"/>
      <c r="BA64" s="70"/>
      <c r="BB64" s="70"/>
      <c r="BC64" s="58" t="s">
        <v>469</v>
      </c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</row>
    <row r="65">
      <c r="A65" s="83">
        <v>45812.0</v>
      </c>
      <c r="B65" s="64" t="s">
        <v>451</v>
      </c>
      <c r="C65" s="61">
        <v>45812.0</v>
      </c>
      <c r="D65" s="61">
        <v>45812.0</v>
      </c>
      <c r="E65" s="60" t="s">
        <v>452</v>
      </c>
      <c r="F65" s="72" t="s">
        <v>701</v>
      </c>
      <c r="G65" s="63"/>
      <c r="H65" s="66" t="s">
        <v>472</v>
      </c>
      <c r="I65" s="66" t="s">
        <v>588</v>
      </c>
      <c r="J65" s="66" t="s">
        <v>456</v>
      </c>
      <c r="K65" s="66" t="s">
        <v>456</v>
      </c>
      <c r="L65" s="66">
        <v>22.0</v>
      </c>
      <c r="M65" s="66">
        <v>22.0</v>
      </c>
      <c r="N65" s="66" t="s">
        <v>457</v>
      </c>
      <c r="O65" s="66">
        <v>24.0</v>
      </c>
      <c r="P65" s="66" t="s">
        <v>702</v>
      </c>
      <c r="Q65" s="64" t="s">
        <v>459</v>
      </c>
      <c r="R65" s="64" t="s">
        <v>459</v>
      </c>
      <c r="S65" s="64" t="s">
        <v>459</v>
      </c>
      <c r="T65" s="64">
        <v>2552.0</v>
      </c>
      <c r="U65" s="64">
        <v>232.0</v>
      </c>
      <c r="V65" s="66">
        <v>2552.0</v>
      </c>
      <c r="W65" s="66">
        <v>2552.0</v>
      </c>
      <c r="X65" s="79" t="s">
        <v>460</v>
      </c>
      <c r="Y65" s="64" t="s">
        <v>461</v>
      </c>
      <c r="Z65" s="64" t="s">
        <v>462</v>
      </c>
      <c r="AA65" s="64" t="s">
        <v>463</v>
      </c>
      <c r="AB65" s="60" t="s">
        <v>464</v>
      </c>
      <c r="AC65" s="60" t="s">
        <v>451</v>
      </c>
      <c r="AD65" s="66" t="s">
        <v>475</v>
      </c>
      <c r="AE65" s="66" t="s">
        <v>476</v>
      </c>
      <c r="AF65" s="66" t="s">
        <v>476</v>
      </c>
      <c r="AG65" s="64" t="s">
        <v>467</v>
      </c>
      <c r="AH65" s="64" t="s">
        <v>467</v>
      </c>
      <c r="AI65" s="64">
        <v>650.0</v>
      </c>
      <c r="AJ65" s="66">
        <v>21.5</v>
      </c>
      <c r="AK65" s="67">
        <v>13975.0</v>
      </c>
      <c r="AL65" s="63"/>
      <c r="AM65" s="63"/>
      <c r="AN65" s="64">
        <v>21.5</v>
      </c>
      <c r="AO65" s="64" t="s">
        <v>468</v>
      </c>
      <c r="AP65" s="63"/>
      <c r="AQ65" s="63"/>
      <c r="AR65" s="63"/>
      <c r="AS65" s="63"/>
      <c r="AT65" s="63"/>
      <c r="AU65" s="63"/>
      <c r="AV65" s="63"/>
      <c r="AW65" s="58" t="s">
        <v>512</v>
      </c>
      <c r="AX65" s="69">
        <v>13975.0</v>
      </c>
      <c r="AY65" s="70"/>
      <c r="AZ65" s="70"/>
      <c r="BA65" s="70"/>
      <c r="BB65" s="70"/>
      <c r="BC65" s="58" t="s">
        <v>469</v>
      </c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</row>
    <row r="66">
      <c r="A66" s="61">
        <v>45812.0</v>
      </c>
      <c r="B66" s="66" t="s">
        <v>451</v>
      </c>
      <c r="C66" s="61">
        <v>45812.0</v>
      </c>
      <c r="D66" s="61">
        <v>45812.0</v>
      </c>
      <c r="E66" s="60" t="s">
        <v>452</v>
      </c>
      <c r="F66" s="71" t="s">
        <v>703</v>
      </c>
      <c r="G66" s="77"/>
      <c r="H66" s="64" t="s">
        <v>472</v>
      </c>
      <c r="I66" s="64" t="s">
        <v>590</v>
      </c>
      <c r="J66" s="64" t="s">
        <v>456</v>
      </c>
      <c r="K66" s="64" t="s">
        <v>456</v>
      </c>
      <c r="L66" s="64">
        <v>22.0</v>
      </c>
      <c r="M66" s="64">
        <v>22.0</v>
      </c>
      <c r="N66" s="64" t="s">
        <v>457</v>
      </c>
      <c r="O66" s="64">
        <v>24.0</v>
      </c>
      <c r="P66" s="64" t="s">
        <v>704</v>
      </c>
      <c r="Q66" s="66" t="s">
        <v>459</v>
      </c>
      <c r="R66" s="66" t="s">
        <v>459</v>
      </c>
      <c r="S66" s="66" t="s">
        <v>459</v>
      </c>
      <c r="T66" s="66">
        <v>2783.0</v>
      </c>
      <c r="U66" s="66">
        <v>253.0</v>
      </c>
      <c r="V66" s="64">
        <v>2783.0</v>
      </c>
      <c r="W66" s="64">
        <v>2783.0</v>
      </c>
      <c r="X66" s="76" t="s">
        <v>460</v>
      </c>
      <c r="Y66" s="64" t="s">
        <v>461</v>
      </c>
      <c r="Z66" s="64" t="s">
        <v>462</v>
      </c>
      <c r="AA66" s="64" t="s">
        <v>463</v>
      </c>
      <c r="AB66" s="60" t="s">
        <v>464</v>
      </c>
      <c r="AC66" s="60" t="s">
        <v>451</v>
      </c>
      <c r="AD66" s="64" t="s">
        <v>481</v>
      </c>
      <c r="AE66" s="64" t="s">
        <v>482</v>
      </c>
      <c r="AF66" s="64" t="s">
        <v>482</v>
      </c>
      <c r="AG66" s="64" t="s">
        <v>467</v>
      </c>
      <c r="AH66" s="64" t="s">
        <v>467</v>
      </c>
      <c r="AI66" s="64">
        <v>655.0</v>
      </c>
      <c r="AJ66" s="64">
        <v>21.5</v>
      </c>
      <c r="AK66" s="67">
        <v>14082.5</v>
      </c>
      <c r="AL66" s="63"/>
      <c r="AM66" s="63"/>
      <c r="AN66" s="64">
        <v>21.5</v>
      </c>
      <c r="AO66" s="64" t="s">
        <v>468</v>
      </c>
      <c r="AP66" s="63"/>
      <c r="AQ66" s="63"/>
      <c r="AR66" s="63"/>
      <c r="AS66" s="63"/>
      <c r="AT66" s="63"/>
      <c r="AU66" s="63"/>
      <c r="AV66" s="68"/>
      <c r="AW66" s="58" t="s">
        <v>512</v>
      </c>
      <c r="AX66" s="69">
        <v>14082.5</v>
      </c>
      <c r="AY66" s="70"/>
      <c r="AZ66" s="70"/>
      <c r="BA66" s="70"/>
      <c r="BB66" s="70"/>
      <c r="BC66" s="58" t="s">
        <v>469</v>
      </c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</row>
    <row r="67">
      <c r="A67" s="59">
        <v>45812.0</v>
      </c>
      <c r="B67" s="64" t="s">
        <v>451</v>
      </c>
      <c r="C67" s="61">
        <v>45812.0</v>
      </c>
      <c r="D67" s="61">
        <v>45812.0</v>
      </c>
      <c r="E67" s="60" t="s">
        <v>452</v>
      </c>
      <c r="F67" s="72" t="s">
        <v>705</v>
      </c>
      <c r="G67" s="63"/>
      <c r="H67" s="66" t="s">
        <v>454</v>
      </c>
      <c r="I67" s="66" t="s">
        <v>706</v>
      </c>
      <c r="J67" s="66" t="s">
        <v>486</v>
      </c>
      <c r="K67" s="66" t="s">
        <v>456</v>
      </c>
      <c r="L67" s="66">
        <v>22.0</v>
      </c>
      <c r="M67" s="66">
        <v>22.0</v>
      </c>
      <c r="N67" s="66" t="s">
        <v>457</v>
      </c>
      <c r="O67" s="66">
        <v>24.0</v>
      </c>
      <c r="P67" s="66" t="s">
        <v>707</v>
      </c>
      <c r="Q67" s="64" t="s">
        <v>459</v>
      </c>
      <c r="R67" s="64" t="s">
        <v>459</v>
      </c>
      <c r="S67" s="64" t="s">
        <v>459</v>
      </c>
      <c r="T67" s="64">
        <v>2409.0</v>
      </c>
      <c r="U67" s="64">
        <v>219.0</v>
      </c>
      <c r="V67" s="66">
        <v>2409.0</v>
      </c>
      <c r="W67" s="66">
        <v>2409.0</v>
      </c>
      <c r="X67" s="79" t="s">
        <v>460</v>
      </c>
      <c r="Y67" s="64" t="s">
        <v>461</v>
      </c>
      <c r="Z67" s="64" t="s">
        <v>462</v>
      </c>
      <c r="AA67" s="64" t="s">
        <v>463</v>
      </c>
      <c r="AB67" s="60" t="s">
        <v>464</v>
      </c>
      <c r="AC67" s="60" t="s">
        <v>451</v>
      </c>
      <c r="AD67" s="66" t="s">
        <v>651</v>
      </c>
      <c r="AE67" s="66" t="s">
        <v>652</v>
      </c>
      <c r="AF67" s="66" t="s">
        <v>652</v>
      </c>
      <c r="AG67" s="64" t="s">
        <v>467</v>
      </c>
      <c r="AH67" s="64" t="s">
        <v>467</v>
      </c>
      <c r="AI67" s="64">
        <v>655.0</v>
      </c>
      <c r="AJ67" s="64">
        <v>23.5</v>
      </c>
      <c r="AK67" s="67">
        <v>15392.5</v>
      </c>
      <c r="AL67" s="63"/>
      <c r="AM67" s="63"/>
      <c r="AN67" s="64">
        <v>23.5</v>
      </c>
      <c r="AO67" s="64" t="s">
        <v>468</v>
      </c>
      <c r="AP67" s="63"/>
      <c r="AQ67" s="63"/>
      <c r="AR67" s="63"/>
      <c r="AS67" s="63"/>
      <c r="AT67" s="63"/>
      <c r="AU67" s="63"/>
      <c r="AV67" s="63"/>
      <c r="AW67" s="58" t="s">
        <v>512</v>
      </c>
      <c r="AX67" s="69">
        <v>15392.5</v>
      </c>
      <c r="AY67" s="70"/>
      <c r="AZ67" s="70"/>
      <c r="BA67" s="70"/>
      <c r="BB67" s="70"/>
      <c r="BC67" s="58" t="s">
        <v>469</v>
      </c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</row>
    <row r="68">
      <c r="A68" s="59">
        <v>45812.0</v>
      </c>
      <c r="B68" s="66" t="s">
        <v>451</v>
      </c>
      <c r="C68" s="61">
        <v>45812.0</v>
      </c>
      <c r="D68" s="61">
        <v>45812.0</v>
      </c>
      <c r="E68" s="60" t="s">
        <v>452</v>
      </c>
      <c r="F68" s="71" t="s">
        <v>708</v>
      </c>
      <c r="G68" s="77"/>
      <c r="H68" s="64" t="s">
        <v>492</v>
      </c>
      <c r="I68" s="64" t="s">
        <v>593</v>
      </c>
      <c r="J68" s="64" t="s">
        <v>456</v>
      </c>
      <c r="K68" s="64" t="s">
        <v>456</v>
      </c>
      <c r="L68" s="64">
        <v>28.0</v>
      </c>
      <c r="M68" s="64">
        <v>28.0</v>
      </c>
      <c r="N68" s="64" t="s">
        <v>457</v>
      </c>
      <c r="O68" s="64">
        <v>24.0</v>
      </c>
      <c r="P68" s="64" t="s">
        <v>709</v>
      </c>
      <c r="Q68" s="66" t="s">
        <v>459</v>
      </c>
      <c r="R68" s="66" t="s">
        <v>459</v>
      </c>
      <c r="S68" s="66">
        <v>554.0</v>
      </c>
      <c r="T68" s="66">
        <v>6094.0</v>
      </c>
      <c r="U68" s="66">
        <v>554.0</v>
      </c>
      <c r="V68" s="64">
        <v>6094.0</v>
      </c>
      <c r="W68" s="64">
        <v>6094.0</v>
      </c>
      <c r="X68" s="76" t="s">
        <v>460</v>
      </c>
      <c r="Y68" s="64" t="s">
        <v>461</v>
      </c>
      <c r="Z68" s="64" t="s">
        <v>462</v>
      </c>
      <c r="AA68" s="64" t="s">
        <v>463</v>
      </c>
      <c r="AB68" s="60" t="s">
        <v>464</v>
      </c>
      <c r="AC68" s="60" t="s">
        <v>451</v>
      </c>
      <c r="AD68" s="64" t="s">
        <v>495</v>
      </c>
      <c r="AE68" s="64" t="s">
        <v>496</v>
      </c>
      <c r="AF68" s="64" t="s">
        <v>496</v>
      </c>
      <c r="AG68" s="64" t="s">
        <v>467</v>
      </c>
      <c r="AH68" s="64" t="s">
        <v>467</v>
      </c>
      <c r="AI68" s="64">
        <v>570.0</v>
      </c>
      <c r="AJ68" s="60">
        <v>23.5</v>
      </c>
      <c r="AK68" s="67">
        <v>13395.0</v>
      </c>
      <c r="AL68" s="63"/>
      <c r="AM68" s="63"/>
      <c r="AN68" s="64">
        <v>23.5</v>
      </c>
      <c r="AO68" s="64" t="s">
        <v>468</v>
      </c>
      <c r="AP68" s="63"/>
      <c r="AQ68" s="63"/>
      <c r="AR68" s="63"/>
      <c r="AS68" s="63"/>
      <c r="AT68" s="63"/>
      <c r="AU68" s="63"/>
      <c r="AV68" s="63"/>
      <c r="AW68" s="58" t="s">
        <v>512</v>
      </c>
      <c r="AX68" s="69">
        <v>13395.0</v>
      </c>
      <c r="AY68" s="70"/>
      <c r="AZ68" s="70"/>
      <c r="BA68" s="70"/>
      <c r="BB68" s="70"/>
      <c r="BC68" s="58" t="s">
        <v>469</v>
      </c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</row>
    <row r="69">
      <c r="A69" s="59">
        <v>45812.0</v>
      </c>
      <c r="B69" s="64" t="s">
        <v>451</v>
      </c>
      <c r="C69" s="61">
        <v>45812.0</v>
      </c>
      <c r="D69" s="61">
        <v>45812.0</v>
      </c>
      <c r="E69" s="60" t="s">
        <v>452</v>
      </c>
      <c r="F69" s="72" t="s">
        <v>710</v>
      </c>
      <c r="G69" s="63"/>
      <c r="H69" s="66" t="s">
        <v>498</v>
      </c>
      <c r="I69" s="66" t="s">
        <v>596</v>
      </c>
      <c r="J69" s="66" t="s">
        <v>456</v>
      </c>
      <c r="K69" s="66" t="s">
        <v>456</v>
      </c>
      <c r="L69" s="66">
        <v>22.0</v>
      </c>
      <c r="M69" s="66">
        <v>22.0</v>
      </c>
      <c r="N69" s="66" t="s">
        <v>457</v>
      </c>
      <c r="O69" s="66">
        <v>24.0</v>
      </c>
      <c r="P69" s="66" t="s">
        <v>711</v>
      </c>
      <c r="Q69" s="64" t="s">
        <v>459</v>
      </c>
      <c r="R69" s="64" t="s">
        <v>459</v>
      </c>
      <c r="S69" s="64">
        <v>165.0</v>
      </c>
      <c r="T69" s="64">
        <v>1815.0</v>
      </c>
      <c r="U69" s="64">
        <v>165.0</v>
      </c>
      <c r="V69" s="66">
        <v>1815.0</v>
      </c>
      <c r="W69" s="66">
        <v>1815.0</v>
      </c>
      <c r="X69" s="79" t="s">
        <v>460</v>
      </c>
      <c r="Y69" s="64" t="s">
        <v>461</v>
      </c>
      <c r="Z69" s="64" t="s">
        <v>462</v>
      </c>
      <c r="AA69" s="64" t="s">
        <v>463</v>
      </c>
      <c r="AB69" s="60" t="s">
        <v>464</v>
      </c>
      <c r="AC69" s="60" t="s">
        <v>451</v>
      </c>
      <c r="AD69" s="66" t="s">
        <v>501</v>
      </c>
      <c r="AE69" s="66" t="s">
        <v>470</v>
      </c>
      <c r="AF69" s="66" t="s">
        <v>470</v>
      </c>
      <c r="AG69" s="64" t="s">
        <v>467</v>
      </c>
      <c r="AH69" s="64" t="s">
        <v>467</v>
      </c>
      <c r="AI69" s="64">
        <v>380.0</v>
      </c>
      <c r="AJ69" s="64">
        <v>21.5</v>
      </c>
      <c r="AK69" s="67">
        <v>8170.0</v>
      </c>
      <c r="AL69" s="63"/>
      <c r="AM69" s="63"/>
      <c r="AN69" s="64">
        <v>21.5</v>
      </c>
      <c r="AO69" s="64" t="s">
        <v>468</v>
      </c>
      <c r="AP69" s="63"/>
      <c r="AQ69" s="63"/>
      <c r="AR69" s="63"/>
      <c r="AS69" s="63"/>
      <c r="AT69" s="63"/>
      <c r="AU69" s="63"/>
      <c r="AV69" s="68"/>
      <c r="AW69" s="58" t="s">
        <v>512</v>
      </c>
      <c r="AX69" s="69">
        <v>8170.0</v>
      </c>
      <c r="AY69" s="70"/>
      <c r="AZ69" s="70"/>
      <c r="BA69" s="70"/>
      <c r="BB69" s="70"/>
      <c r="BC69" s="58" t="s">
        <v>469</v>
      </c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</row>
    <row r="70">
      <c r="A70" s="59">
        <v>45812.0</v>
      </c>
      <c r="B70" s="66" t="s">
        <v>451</v>
      </c>
      <c r="C70" s="61">
        <v>45812.0</v>
      </c>
      <c r="D70" s="61">
        <v>45812.0</v>
      </c>
      <c r="E70" s="60" t="s">
        <v>452</v>
      </c>
      <c r="F70" s="71" t="s">
        <v>712</v>
      </c>
      <c r="G70" s="77"/>
      <c r="H70" s="64" t="s">
        <v>521</v>
      </c>
      <c r="I70" s="64" t="s">
        <v>713</v>
      </c>
      <c r="J70" s="64" t="s">
        <v>486</v>
      </c>
      <c r="K70" s="64" t="s">
        <v>456</v>
      </c>
      <c r="L70" s="64">
        <v>22.0</v>
      </c>
      <c r="M70" s="64">
        <v>22.0</v>
      </c>
      <c r="N70" s="64" t="s">
        <v>457</v>
      </c>
      <c r="O70" s="64">
        <v>24.0</v>
      </c>
      <c r="P70" s="64" t="s">
        <v>714</v>
      </c>
      <c r="Q70" s="66" t="s">
        <v>459</v>
      </c>
      <c r="R70" s="66" t="s">
        <v>459</v>
      </c>
      <c r="S70" s="66">
        <v>110.0</v>
      </c>
      <c r="T70" s="66">
        <v>1210.0</v>
      </c>
      <c r="U70" s="66">
        <v>110.0</v>
      </c>
      <c r="V70" s="64">
        <v>1210.0</v>
      </c>
      <c r="W70" s="64">
        <v>1210.0</v>
      </c>
      <c r="X70" s="76" t="s">
        <v>460</v>
      </c>
      <c r="Y70" s="64" t="s">
        <v>461</v>
      </c>
      <c r="Z70" s="64" t="s">
        <v>462</v>
      </c>
      <c r="AA70" s="64" t="s">
        <v>463</v>
      </c>
      <c r="AB70" s="60" t="s">
        <v>464</v>
      </c>
      <c r="AC70" s="60" t="s">
        <v>451</v>
      </c>
      <c r="AD70" s="64" t="s">
        <v>715</v>
      </c>
      <c r="AE70" s="64" t="s">
        <v>519</v>
      </c>
      <c r="AF70" s="64" t="s">
        <v>513</v>
      </c>
      <c r="AG70" s="64" t="s">
        <v>467</v>
      </c>
      <c r="AH70" s="64" t="s">
        <v>467</v>
      </c>
      <c r="AI70" s="64">
        <v>780.0</v>
      </c>
      <c r="AJ70" s="64">
        <v>23.5</v>
      </c>
      <c r="AK70" s="67">
        <v>18330.0</v>
      </c>
      <c r="AL70" s="63"/>
      <c r="AM70" s="63"/>
      <c r="AN70" s="64">
        <v>23.5</v>
      </c>
      <c r="AO70" s="64" t="s">
        <v>468</v>
      </c>
      <c r="AP70" s="63"/>
      <c r="AQ70" s="63"/>
      <c r="AR70" s="63"/>
      <c r="AS70" s="63"/>
      <c r="AT70" s="63"/>
      <c r="AU70" s="63"/>
      <c r="AV70" s="63"/>
      <c r="AW70" s="58" t="s">
        <v>512</v>
      </c>
      <c r="AX70" s="69">
        <v>18330.0</v>
      </c>
      <c r="AY70" s="70"/>
      <c r="AZ70" s="70"/>
      <c r="BA70" s="70"/>
      <c r="BB70" s="70"/>
      <c r="BC70" s="58" t="s">
        <v>469</v>
      </c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</row>
    <row r="71">
      <c r="A71" s="59">
        <v>45812.0</v>
      </c>
      <c r="B71" s="64" t="s">
        <v>451</v>
      </c>
      <c r="C71" s="61">
        <v>45812.0</v>
      </c>
      <c r="D71" s="61">
        <v>45812.0</v>
      </c>
      <c r="E71" s="60" t="s">
        <v>452</v>
      </c>
      <c r="F71" s="72" t="s">
        <v>716</v>
      </c>
      <c r="G71" s="63"/>
      <c r="H71" s="66" t="s">
        <v>492</v>
      </c>
      <c r="I71" s="66" t="s">
        <v>600</v>
      </c>
      <c r="J71" s="66" t="s">
        <v>456</v>
      </c>
      <c r="K71" s="66" t="s">
        <v>456</v>
      </c>
      <c r="L71" s="66">
        <v>22.0</v>
      </c>
      <c r="M71" s="66">
        <v>22.0</v>
      </c>
      <c r="N71" s="66" t="s">
        <v>457</v>
      </c>
      <c r="O71" s="66">
        <v>24.0</v>
      </c>
      <c r="P71" s="66" t="s">
        <v>717</v>
      </c>
      <c r="Q71" s="64" t="s">
        <v>459</v>
      </c>
      <c r="R71" s="64" t="s">
        <v>459</v>
      </c>
      <c r="S71" s="64">
        <v>214.0</v>
      </c>
      <c r="T71" s="64">
        <v>2354.0</v>
      </c>
      <c r="U71" s="64">
        <v>214.0</v>
      </c>
      <c r="V71" s="66">
        <v>2354.0</v>
      </c>
      <c r="W71" s="66">
        <v>2354.0</v>
      </c>
      <c r="X71" s="79" t="s">
        <v>460</v>
      </c>
      <c r="Y71" s="64" t="s">
        <v>461</v>
      </c>
      <c r="Z71" s="64" t="s">
        <v>462</v>
      </c>
      <c r="AA71" s="64" t="s">
        <v>463</v>
      </c>
      <c r="AB71" s="60" t="s">
        <v>464</v>
      </c>
      <c r="AC71" s="60" t="s">
        <v>451</v>
      </c>
      <c r="AD71" s="66" t="s">
        <v>601</v>
      </c>
      <c r="AE71" s="66" t="s">
        <v>547</v>
      </c>
      <c r="AF71" s="66" t="s">
        <v>547</v>
      </c>
      <c r="AG71" s="64" t="s">
        <v>467</v>
      </c>
      <c r="AH71" s="64" t="s">
        <v>467</v>
      </c>
      <c r="AI71" s="64">
        <v>770.0</v>
      </c>
      <c r="AJ71" s="64">
        <v>21.5</v>
      </c>
      <c r="AK71" s="67">
        <v>16555.0</v>
      </c>
      <c r="AL71" s="63"/>
      <c r="AM71" s="63"/>
      <c r="AN71" s="64">
        <v>21.5</v>
      </c>
      <c r="AO71" s="64" t="s">
        <v>468</v>
      </c>
      <c r="AP71" s="63"/>
      <c r="AQ71" s="63"/>
      <c r="AR71" s="63"/>
      <c r="AS71" s="63"/>
      <c r="AT71" s="63"/>
      <c r="AU71" s="63"/>
      <c r="AV71" s="63"/>
      <c r="AW71" s="58" t="s">
        <v>512</v>
      </c>
      <c r="AX71" s="69">
        <v>16555.0</v>
      </c>
      <c r="AY71" s="70"/>
      <c r="AZ71" s="70"/>
      <c r="BA71" s="70"/>
      <c r="BB71" s="70"/>
      <c r="BC71" s="58" t="s">
        <v>469</v>
      </c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</row>
    <row r="72">
      <c r="A72" s="59">
        <v>45812.0</v>
      </c>
      <c r="B72" s="66" t="s">
        <v>451</v>
      </c>
      <c r="C72" s="61">
        <v>45812.0</v>
      </c>
      <c r="D72" s="61">
        <v>45812.0</v>
      </c>
      <c r="E72" s="60" t="s">
        <v>452</v>
      </c>
      <c r="F72" s="71" t="s">
        <v>718</v>
      </c>
      <c r="G72" s="77"/>
      <c r="H72" s="64" t="s">
        <v>504</v>
      </c>
      <c r="I72" s="64" t="s">
        <v>603</v>
      </c>
      <c r="J72" s="64" t="s">
        <v>456</v>
      </c>
      <c r="K72" s="64" t="s">
        <v>456</v>
      </c>
      <c r="L72" s="64">
        <v>22.0</v>
      </c>
      <c r="M72" s="64">
        <v>22.0</v>
      </c>
      <c r="N72" s="64" t="s">
        <v>457</v>
      </c>
      <c r="O72" s="64">
        <v>24.0</v>
      </c>
      <c r="P72" s="64" t="s">
        <v>719</v>
      </c>
      <c r="Q72" s="66" t="s">
        <v>718</v>
      </c>
      <c r="R72" s="66" t="s">
        <v>718</v>
      </c>
      <c r="S72" s="66">
        <v>183.0</v>
      </c>
      <c r="T72" s="66">
        <v>2013.0</v>
      </c>
      <c r="U72" s="66">
        <v>183.0</v>
      </c>
      <c r="V72" s="64">
        <v>2013.0</v>
      </c>
      <c r="W72" s="64">
        <v>2013.0</v>
      </c>
      <c r="X72" s="76" t="s">
        <v>460</v>
      </c>
      <c r="Y72" s="64" t="s">
        <v>461</v>
      </c>
      <c r="Z72" s="64" t="s">
        <v>462</v>
      </c>
      <c r="AA72" s="64" t="s">
        <v>463</v>
      </c>
      <c r="AB72" s="60" t="s">
        <v>464</v>
      </c>
      <c r="AC72" s="60" t="s">
        <v>451</v>
      </c>
      <c r="AD72" s="64" t="s">
        <v>507</v>
      </c>
      <c r="AE72" s="64" t="s">
        <v>508</v>
      </c>
      <c r="AF72" s="64" t="s">
        <v>509</v>
      </c>
      <c r="AG72" s="64" t="s">
        <v>467</v>
      </c>
      <c r="AH72" s="64" t="s">
        <v>467</v>
      </c>
      <c r="AI72" s="66">
        <v>790.0</v>
      </c>
      <c r="AJ72" s="66">
        <v>21.5</v>
      </c>
      <c r="AK72" s="67">
        <v>16985.0</v>
      </c>
      <c r="AL72" s="63"/>
      <c r="AM72" s="63"/>
      <c r="AN72" s="64">
        <v>21.5</v>
      </c>
      <c r="AO72" s="64" t="s">
        <v>468</v>
      </c>
      <c r="AP72" s="63"/>
      <c r="AQ72" s="63"/>
      <c r="AR72" s="63"/>
      <c r="AS72" s="73">
        <v>0.5</v>
      </c>
      <c r="AT72" s="64">
        <v>8492.5</v>
      </c>
      <c r="AU72" s="60" t="s">
        <v>510</v>
      </c>
      <c r="AV72" s="74" t="s">
        <v>511</v>
      </c>
      <c r="AW72" s="58" t="s">
        <v>512</v>
      </c>
      <c r="AX72" s="69">
        <v>8492.5</v>
      </c>
      <c r="AY72" s="70"/>
      <c r="AZ72" s="70"/>
      <c r="BA72" s="69">
        <v>8492.5</v>
      </c>
      <c r="BB72" s="70"/>
      <c r="BC72" s="58" t="s">
        <v>469</v>
      </c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</row>
    <row r="73">
      <c r="A73" s="59">
        <v>45812.0</v>
      </c>
      <c r="B73" s="64" t="s">
        <v>451</v>
      </c>
      <c r="C73" s="61">
        <v>45812.0</v>
      </c>
      <c r="D73" s="61">
        <v>45812.0</v>
      </c>
      <c r="E73" s="60" t="s">
        <v>452</v>
      </c>
      <c r="F73" s="72" t="s">
        <v>720</v>
      </c>
      <c r="G73" s="63"/>
      <c r="H73" s="66" t="s">
        <v>504</v>
      </c>
      <c r="I73" s="66" t="s">
        <v>606</v>
      </c>
      <c r="J73" s="66" t="s">
        <v>456</v>
      </c>
      <c r="K73" s="66" t="s">
        <v>456</v>
      </c>
      <c r="L73" s="66">
        <v>22.0</v>
      </c>
      <c r="M73" s="66">
        <v>22.0</v>
      </c>
      <c r="N73" s="66" t="s">
        <v>457</v>
      </c>
      <c r="O73" s="66">
        <v>24.0</v>
      </c>
      <c r="P73" s="66" t="s">
        <v>721</v>
      </c>
      <c r="Q73" s="64" t="s">
        <v>459</v>
      </c>
      <c r="R73" s="64" t="s">
        <v>459</v>
      </c>
      <c r="S73" s="64">
        <v>200.0</v>
      </c>
      <c r="T73" s="64">
        <v>2200.0</v>
      </c>
      <c r="U73" s="64">
        <v>200.0</v>
      </c>
      <c r="V73" s="66">
        <v>2200.0</v>
      </c>
      <c r="W73" s="66">
        <v>2200.0</v>
      </c>
      <c r="X73" s="79" t="s">
        <v>460</v>
      </c>
      <c r="Y73" s="64" t="s">
        <v>461</v>
      </c>
      <c r="Z73" s="64" t="s">
        <v>462</v>
      </c>
      <c r="AA73" s="64" t="s">
        <v>463</v>
      </c>
      <c r="AB73" s="60" t="s">
        <v>464</v>
      </c>
      <c r="AC73" s="60" t="s">
        <v>451</v>
      </c>
      <c r="AD73" s="66" t="s">
        <v>517</v>
      </c>
      <c r="AE73" s="66" t="s">
        <v>518</v>
      </c>
      <c r="AF73" s="66" t="s">
        <v>518</v>
      </c>
      <c r="AG73" s="64" t="s">
        <v>467</v>
      </c>
      <c r="AH73" s="64" t="s">
        <v>467</v>
      </c>
      <c r="AI73" s="64">
        <v>815.0</v>
      </c>
      <c r="AJ73" s="64">
        <v>21.5</v>
      </c>
      <c r="AK73" s="67">
        <v>17522.5</v>
      </c>
      <c r="AL73" s="63"/>
      <c r="AM73" s="63"/>
      <c r="AN73" s="64">
        <v>21.5</v>
      </c>
      <c r="AO73" s="64" t="s">
        <v>468</v>
      </c>
      <c r="AP73" s="63"/>
      <c r="AQ73" s="63"/>
      <c r="AR73" s="63"/>
      <c r="AS73" s="63"/>
      <c r="AT73" s="63"/>
      <c r="AU73" s="63"/>
      <c r="AV73" s="68"/>
      <c r="AW73" s="58" t="s">
        <v>512</v>
      </c>
      <c r="AX73" s="69">
        <v>17522.5</v>
      </c>
      <c r="AY73" s="70"/>
      <c r="AZ73" s="70"/>
      <c r="BA73" s="70"/>
      <c r="BB73" s="70"/>
      <c r="BC73" s="58" t="s">
        <v>469</v>
      </c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</row>
    <row r="74">
      <c r="A74" s="59">
        <v>45812.0</v>
      </c>
      <c r="B74" s="66" t="s">
        <v>451</v>
      </c>
      <c r="C74" s="61">
        <v>45812.0</v>
      </c>
      <c r="D74" s="61">
        <v>45812.0</v>
      </c>
      <c r="E74" s="60" t="s">
        <v>452</v>
      </c>
      <c r="F74" s="71" t="s">
        <v>722</v>
      </c>
      <c r="G74" s="77"/>
      <c r="H74" s="64" t="s">
        <v>521</v>
      </c>
      <c r="I74" s="64" t="s">
        <v>608</v>
      </c>
      <c r="J74" s="64" t="s">
        <v>456</v>
      </c>
      <c r="K74" s="64" t="s">
        <v>456</v>
      </c>
      <c r="L74" s="64">
        <v>22.0</v>
      </c>
      <c r="M74" s="64">
        <v>22.0</v>
      </c>
      <c r="N74" s="64" t="s">
        <v>457</v>
      </c>
      <c r="O74" s="64">
        <v>24.0</v>
      </c>
      <c r="P74" s="64" t="s">
        <v>723</v>
      </c>
      <c r="Q74" s="66" t="s">
        <v>459</v>
      </c>
      <c r="R74" s="66" t="s">
        <v>459</v>
      </c>
      <c r="S74" s="66">
        <v>209.0</v>
      </c>
      <c r="T74" s="66">
        <v>2299.0</v>
      </c>
      <c r="U74" s="66">
        <v>209.0</v>
      </c>
      <c r="V74" s="64">
        <v>2299.0</v>
      </c>
      <c r="W74" s="64">
        <v>2299.0</v>
      </c>
      <c r="X74" s="76" t="s">
        <v>460</v>
      </c>
      <c r="Y74" s="64" t="s">
        <v>461</v>
      </c>
      <c r="Z74" s="64" t="s">
        <v>462</v>
      </c>
      <c r="AA74" s="64" t="s">
        <v>463</v>
      </c>
      <c r="AB74" s="60" t="s">
        <v>464</v>
      </c>
      <c r="AC74" s="60" t="s">
        <v>451</v>
      </c>
      <c r="AD74" s="64" t="s">
        <v>524</v>
      </c>
      <c r="AE74" s="64" t="s">
        <v>483</v>
      </c>
      <c r="AF74" s="64" t="s">
        <v>483</v>
      </c>
      <c r="AG74" s="64" t="s">
        <v>467</v>
      </c>
      <c r="AH74" s="64" t="s">
        <v>467</v>
      </c>
      <c r="AI74" s="66">
        <v>600.0</v>
      </c>
      <c r="AJ74" s="66">
        <v>21.5</v>
      </c>
      <c r="AK74" s="67">
        <v>12900.0</v>
      </c>
      <c r="AL74" s="63"/>
      <c r="AM74" s="63"/>
      <c r="AN74" s="64">
        <v>21.5</v>
      </c>
      <c r="AO74" s="64" t="s">
        <v>468</v>
      </c>
      <c r="AP74" s="63"/>
      <c r="AQ74" s="63"/>
      <c r="AR74" s="63"/>
      <c r="AS74" s="63"/>
      <c r="AT74" s="63"/>
      <c r="AU74" s="63"/>
      <c r="AV74" s="68"/>
      <c r="AW74" s="58" t="s">
        <v>512</v>
      </c>
      <c r="AX74" s="69">
        <v>12900.0</v>
      </c>
      <c r="AY74" s="70"/>
      <c r="AZ74" s="70"/>
      <c r="BA74" s="70"/>
      <c r="BB74" s="70"/>
      <c r="BC74" s="58" t="s">
        <v>469</v>
      </c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</row>
    <row r="75">
      <c r="A75" s="59">
        <v>45812.0</v>
      </c>
      <c r="B75" s="64" t="s">
        <v>451</v>
      </c>
      <c r="C75" s="61">
        <v>45812.0</v>
      </c>
      <c r="D75" s="61">
        <v>45812.0</v>
      </c>
      <c r="E75" s="60" t="s">
        <v>452</v>
      </c>
      <c r="F75" s="72" t="s">
        <v>724</v>
      </c>
      <c r="G75" s="63"/>
      <c r="H75" s="66" t="s">
        <v>492</v>
      </c>
      <c r="I75" s="66" t="s">
        <v>527</v>
      </c>
      <c r="J75" s="66" t="s">
        <v>456</v>
      </c>
      <c r="K75" s="66" t="s">
        <v>456</v>
      </c>
      <c r="L75" s="66">
        <v>22.0</v>
      </c>
      <c r="M75" s="66">
        <v>22.0</v>
      </c>
      <c r="N75" s="66" t="s">
        <v>457</v>
      </c>
      <c r="O75" s="66">
        <v>24.0</v>
      </c>
      <c r="P75" s="66" t="s">
        <v>725</v>
      </c>
      <c r="Q75" s="64" t="s">
        <v>459</v>
      </c>
      <c r="R75" s="64" t="s">
        <v>459</v>
      </c>
      <c r="S75" s="64">
        <v>269.0</v>
      </c>
      <c r="T75" s="64">
        <v>2959.0</v>
      </c>
      <c r="U75" s="64">
        <v>269.0</v>
      </c>
      <c r="V75" s="66">
        <v>2959.0</v>
      </c>
      <c r="W75" s="66">
        <v>2959.0</v>
      </c>
      <c r="X75" s="79" t="s">
        <v>460</v>
      </c>
      <c r="Y75" s="64" t="s">
        <v>461</v>
      </c>
      <c r="Z75" s="64" t="s">
        <v>462</v>
      </c>
      <c r="AA75" s="64" t="s">
        <v>463</v>
      </c>
      <c r="AB75" s="60" t="s">
        <v>464</v>
      </c>
      <c r="AC75" s="60" t="s">
        <v>451</v>
      </c>
      <c r="AD75" s="66" t="s">
        <v>529</v>
      </c>
      <c r="AE75" s="66" t="s">
        <v>530</v>
      </c>
      <c r="AF75" s="66" t="s">
        <v>530</v>
      </c>
      <c r="AG75" s="64" t="s">
        <v>467</v>
      </c>
      <c r="AH75" s="64" t="s">
        <v>467</v>
      </c>
      <c r="AI75" s="66">
        <v>510.0</v>
      </c>
      <c r="AJ75" s="66">
        <v>21.5</v>
      </c>
      <c r="AK75" s="67">
        <v>10965.0</v>
      </c>
      <c r="AL75" s="63"/>
      <c r="AM75" s="63"/>
      <c r="AN75" s="64">
        <v>21.5</v>
      </c>
      <c r="AO75" s="64" t="s">
        <v>468</v>
      </c>
      <c r="AP75" s="63"/>
      <c r="AQ75" s="63"/>
      <c r="AR75" s="63"/>
      <c r="AS75" s="63"/>
      <c r="AT75" s="63"/>
      <c r="AU75" s="63"/>
      <c r="AV75" s="68"/>
      <c r="AW75" s="58" t="s">
        <v>512</v>
      </c>
      <c r="AX75" s="69">
        <v>10965.0</v>
      </c>
      <c r="AY75" s="70"/>
      <c r="AZ75" s="70"/>
      <c r="BA75" s="70"/>
      <c r="BB75" s="70"/>
      <c r="BC75" s="58" t="s">
        <v>469</v>
      </c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</row>
    <row r="76">
      <c r="A76" s="59">
        <v>45812.0</v>
      </c>
      <c r="B76" s="66" t="s">
        <v>451</v>
      </c>
      <c r="C76" s="61">
        <v>45812.0</v>
      </c>
      <c r="D76" s="61">
        <v>45812.0</v>
      </c>
      <c r="E76" s="60" t="s">
        <v>452</v>
      </c>
      <c r="F76" s="71" t="s">
        <v>726</v>
      </c>
      <c r="G76" s="77"/>
      <c r="H76" s="64" t="s">
        <v>538</v>
      </c>
      <c r="I76" s="64" t="s">
        <v>539</v>
      </c>
      <c r="J76" s="64" t="s">
        <v>456</v>
      </c>
      <c r="K76" s="64" t="s">
        <v>456</v>
      </c>
      <c r="L76" s="64">
        <v>32.0</v>
      </c>
      <c r="M76" s="64">
        <v>32.0</v>
      </c>
      <c r="N76" s="64" t="s">
        <v>540</v>
      </c>
      <c r="O76" s="64">
        <v>24.0</v>
      </c>
      <c r="P76" s="75">
        <v>2.42E8</v>
      </c>
      <c r="Q76" s="66" t="s">
        <v>459</v>
      </c>
      <c r="R76" s="66" t="s">
        <v>459</v>
      </c>
      <c r="S76" s="66">
        <v>190.0</v>
      </c>
      <c r="T76" s="66">
        <v>2090.0</v>
      </c>
      <c r="U76" s="66">
        <v>190.0</v>
      </c>
      <c r="V76" s="64">
        <v>2090.0</v>
      </c>
      <c r="W76" s="64">
        <v>2090.0</v>
      </c>
      <c r="X76" s="76" t="s">
        <v>460</v>
      </c>
      <c r="Y76" s="64" t="s">
        <v>461</v>
      </c>
      <c r="Z76" s="64" t="s">
        <v>462</v>
      </c>
      <c r="AA76" s="64" t="s">
        <v>463</v>
      </c>
      <c r="AB76" s="60" t="s">
        <v>464</v>
      </c>
      <c r="AC76" s="60" t="s">
        <v>451</v>
      </c>
      <c r="AD76" s="64" t="s">
        <v>541</v>
      </c>
      <c r="AE76" s="64" t="s">
        <v>490</v>
      </c>
      <c r="AF76" s="64" t="s">
        <v>490</v>
      </c>
      <c r="AG76" s="64" t="s">
        <v>467</v>
      </c>
      <c r="AH76" s="64" t="s">
        <v>467</v>
      </c>
      <c r="AI76" s="66">
        <v>325.0</v>
      </c>
      <c r="AJ76" s="66">
        <v>28.4</v>
      </c>
      <c r="AK76" s="67">
        <v>9213.75</v>
      </c>
      <c r="AL76" s="63"/>
      <c r="AM76" s="63"/>
      <c r="AN76" s="64">
        <v>28.35</v>
      </c>
      <c r="AO76" s="64" t="s">
        <v>468</v>
      </c>
      <c r="AP76" s="63"/>
      <c r="AQ76" s="63"/>
      <c r="AR76" s="63"/>
      <c r="AS76" s="63"/>
      <c r="AT76" s="63"/>
      <c r="AU76" s="63"/>
      <c r="AV76" s="68"/>
      <c r="AW76" s="58" t="s">
        <v>512</v>
      </c>
      <c r="AX76" s="69">
        <v>9213.75</v>
      </c>
      <c r="AY76" s="70"/>
      <c r="AZ76" s="70"/>
      <c r="BA76" s="70"/>
      <c r="BB76" s="70"/>
      <c r="BC76" s="58" t="s">
        <v>469</v>
      </c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</row>
    <row r="77">
      <c r="A77" s="59">
        <v>45812.0</v>
      </c>
      <c r="B77" s="64" t="s">
        <v>451</v>
      </c>
      <c r="C77" s="61">
        <v>45812.0</v>
      </c>
      <c r="D77" s="61">
        <v>45812.0</v>
      </c>
      <c r="E77" s="60" t="s">
        <v>452</v>
      </c>
      <c r="F77" s="72" t="s">
        <v>727</v>
      </c>
      <c r="G77" s="63"/>
      <c r="H77" s="66" t="s">
        <v>521</v>
      </c>
      <c r="I77" s="66" t="s">
        <v>619</v>
      </c>
      <c r="J77" s="64" t="s">
        <v>486</v>
      </c>
      <c r="K77" s="64" t="s">
        <v>486</v>
      </c>
      <c r="L77" s="66">
        <v>22.0</v>
      </c>
      <c r="M77" s="66">
        <v>22.0</v>
      </c>
      <c r="N77" s="66" t="s">
        <v>457</v>
      </c>
      <c r="O77" s="66">
        <v>24.0</v>
      </c>
      <c r="P77" s="64" t="s">
        <v>728</v>
      </c>
      <c r="Q77" s="64" t="s">
        <v>459</v>
      </c>
      <c r="R77" s="64" t="s">
        <v>459</v>
      </c>
      <c r="S77" s="64">
        <v>166.0</v>
      </c>
      <c r="T77" s="64">
        <v>1826.0</v>
      </c>
      <c r="U77" s="64">
        <v>166.0</v>
      </c>
      <c r="V77" s="64">
        <v>1826.0</v>
      </c>
      <c r="W77" s="64">
        <v>1826.0</v>
      </c>
      <c r="X77" s="76" t="s">
        <v>460</v>
      </c>
      <c r="Y77" s="64" t="s">
        <v>461</v>
      </c>
      <c r="Z77" s="64" t="s">
        <v>462</v>
      </c>
      <c r="AA77" s="64" t="s">
        <v>463</v>
      </c>
      <c r="AB77" s="60" t="s">
        <v>464</v>
      </c>
      <c r="AC77" s="60" t="s">
        <v>451</v>
      </c>
      <c r="AD77" s="66" t="s">
        <v>678</v>
      </c>
      <c r="AE77" s="66" t="s">
        <v>643</v>
      </c>
      <c r="AF77" s="66" t="s">
        <v>643</v>
      </c>
      <c r="AG77" s="64" t="s">
        <v>467</v>
      </c>
      <c r="AH77" s="64" t="s">
        <v>467</v>
      </c>
      <c r="AI77" s="64">
        <v>805.0</v>
      </c>
      <c r="AJ77" s="64">
        <v>23.5</v>
      </c>
      <c r="AK77" s="67">
        <v>18917.5</v>
      </c>
      <c r="AL77" s="63"/>
      <c r="AM77" s="63"/>
      <c r="AN77" s="64">
        <v>23.5</v>
      </c>
      <c r="AO77" s="66" t="s">
        <v>468</v>
      </c>
      <c r="AP77" s="63"/>
      <c r="AQ77" s="63"/>
      <c r="AR77" s="63"/>
      <c r="AS77" s="63"/>
      <c r="AT77" s="63"/>
      <c r="AU77" s="63"/>
      <c r="AV77" s="68"/>
      <c r="AW77" s="58" t="s">
        <v>512</v>
      </c>
      <c r="AX77" s="69">
        <v>18917.5</v>
      </c>
      <c r="AY77" s="70"/>
      <c r="AZ77" s="70"/>
      <c r="BA77" s="70"/>
      <c r="BB77" s="70"/>
      <c r="BC77" s="58" t="s">
        <v>469</v>
      </c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</row>
    <row r="78">
      <c r="A78" s="59">
        <v>45812.0</v>
      </c>
      <c r="B78" s="66" t="s">
        <v>451</v>
      </c>
      <c r="C78" s="61">
        <v>45812.0</v>
      </c>
      <c r="D78" s="61">
        <v>45812.0</v>
      </c>
      <c r="E78" s="60" t="s">
        <v>452</v>
      </c>
      <c r="F78" s="71" t="s">
        <v>729</v>
      </c>
      <c r="G78" s="77"/>
      <c r="H78" s="64" t="s">
        <v>521</v>
      </c>
      <c r="I78" s="64" t="s">
        <v>670</v>
      </c>
      <c r="J78" s="64" t="s">
        <v>456</v>
      </c>
      <c r="K78" s="64" t="s">
        <v>456</v>
      </c>
      <c r="L78" s="66">
        <v>22.0</v>
      </c>
      <c r="M78" s="66">
        <v>22.0</v>
      </c>
      <c r="N78" s="66" t="s">
        <v>457</v>
      </c>
      <c r="O78" s="66">
        <v>24.0</v>
      </c>
      <c r="P78" s="64" t="s">
        <v>730</v>
      </c>
      <c r="Q78" s="64" t="s">
        <v>459</v>
      </c>
      <c r="R78" s="64" t="s">
        <v>459</v>
      </c>
      <c r="S78" s="64">
        <v>169.0</v>
      </c>
      <c r="T78" s="64">
        <v>1859.0</v>
      </c>
      <c r="U78" s="64">
        <v>169.0</v>
      </c>
      <c r="V78" s="64">
        <v>1859.0</v>
      </c>
      <c r="W78" s="64">
        <v>1859.0</v>
      </c>
      <c r="X78" s="76" t="s">
        <v>460</v>
      </c>
      <c r="Y78" s="64" t="s">
        <v>461</v>
      </c>
      <c r="Z78" s="64" t="s">
        <v>462</v>
      </c>
      <c r="AA78" s="64" t="s">
        <v>463</v>
      </c>
      <c r="AB78" s="60" t="s">
        <v>464</v>
      </c>
      <c r="AC78" s="60" t="s">
        <v>451</v>
      </c>
      <c r="AD78" s="66" t="s">
        <v>557</v>
      </c>
      <c r="AE78" s="64" t="s">
        <v>525</v>
      </c>
      <c r="AF78" s="64" t="s">
        <v>525</v>
      </c>
      <c r="AG78" s="64" t="s">
        <v>467</v>
      </c>
      <c r="AH78" s="64" t="s">
        <v>467</v>
      </c>
      <c r="AI78" s="66">
        <v>800.0</v>
      </c>
      <c r="AJ78" s="64">
        <v>21.5</v>
      </c>
      <c r="AK78" s="67">
        <v>17200.0</v>
      </c>
      <c r="AL78" s="63"/>
      <c r="AM78" s="63"/>
      <c r="AN78" s="64">
        <v>21.5</v>
      </c>
      <c r="AO78" s="66" t="s">
        <v>468</v>
      </c>
      <c r="AP78" s="63"/>
      <c r="AQ78" s="63"/>
      <c r="AR78" s="63"/>
      <c r="AS78" s="63"/>
      <c r="AT78" s="63"/>
      <c r="AU78" s="63"/>
      <c r="AV78" s="68"/>
      <c r="AW78" s="58" t="s">
        <v>512</v>
      </c>
      <c r="AX78" s="69">
        <v>17200.0</v>
      </c>
      <c r="AY78" s="70"/>
      <c r="AZ78" s="70"/>
      <c r="BA78" s="70"/>
      <c r="BB78" s="70"/>
      <c r="BC78" s="58" t="s">
        <v>469</v>
      </c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</row>
    <row r="79">
      <c r="A79" s="59">
        <v>45812.0</v>
      </c>
      <c r="B79" s="64" t="s">
        <v>451</v>
      </c>
      <c r="C79" s="61">
        <v>45812.0</v>
      </c>
      <c r="D79" s="61">
        <v>45812.0</v>
      </c>
      <c r="E79" s="60" t="s">
        <v>452</v>
      </c>
      <c r="F79" s="72" t="s">
        <v>731</v>
      </c>
      <c r="G79" s="63"/>
      <c r="H79" s="66" t="s">
        <v>538</v>
      </c>
      <c r="I79" s="66" t="s">
        <v>559</v>
      </c>
      <c r="J79" s="66" t="s">
        <v>456</v>
      </c>
      <c r="K79" s="66" t="s">
        <v>456</v>
      </c>
      <c r="L79" s="66">
        <v>32.0</v>
      </c>
      <c r="M79" s="66">
        <v>32.0</v>
      </c>
      <c r="N79" s="66" t="s">
        <v>540</v>
      </c>
      <c r="O79" s="66">
        <v>24.0</v>
      </c>
      <c r="P79" s="66" t="s">
        <v>732</v>
      </c>
      <c r="Q79" s="64" t="s">
        <v>459</v>
      </c>
      <c r="R79" s="64" t="s">
        <v>459</v>
      </c>
      <c r="S79" s="64">
        <v>305.0</v>
      </c>
      <c r="T79" s="64">
        <v>3355.0</v>
      </c>
      <c r="U79" s="64">
        <v>305.0</v>
      </c>
      <c r="V79" s="66">
        <v>3355.0</v>
      </c>
      <c r="W79" s="66">
        <v>3355.0</v>
      </c>
      <c r="X79" s="79" t="s">
        <v>460</v>
      </c>
      <c r="Y79" s="64" t="s">
        <v>461</v>
      </c>
      <c r="Z79" s="64" t="s">
        <v>462</v>
      </c>
      <c r="AA79" s="64" t="s">
        <v>463</v>
      </c>
      <c r="AB79" s="60" t="s">
        <v>464</v>
      </c>
      <c r="AC79" s="60" t="s">
        <v>451</v>
      </c>
      <c r="AD79" s="66" t="s">
        <v>561</v>
      </c>
      <c r="AE79" s="66" t="s">
        <v>562</v>
      </c>
      <c r="AF79" s="66" t="s">
        <v>562</v>
      </c>
      <c r="AG79" s="64" t="s">
        <v>467</v>
      </c>
      <c r="AH79" s="64" t="s">
        <v>467</v>
      </c>
      <c r="AI79" s="60">
        <v>325.0</v>
      </c>
      <c r="AJ79" s="60">
        <v>28.4</v>
      </c>
      <c r="AK79" s="67">
        <v>9213.75</v>
      </c>
      <c r="AL79" s="63"/>
      <c r="AM79" s="63"/>
      <c r="AN79" s="64">
        <v>28.35</v>
      </c>
      <c r="AO79" s="64" t="s">
        <v>468</v>
      </c>
      <c r="AP79" s="63"/>
      <c r="AQ79" s="63"/>
      <c r="AR79" s="63"/>
      <c r="AS79" s="63"/>
      <c r="AT79" s="63"/>
      <c r="AU79" s="63"/>
      <c r="AV79" s="63"/>
      <c r="AW79" s="58" t="s">
        <v>512</v>
      </c>
      <c r="AX79" s="69">
        <v>9213.75</v>
      </c>
      <c r="AY79" s="70"/>
      <c r="AZ79" s="70"/>
      <c r="BA79" s="70"/>
      <c r="BB79" s="70"/>
      <c r="BC79" s="58" t="s">
        <v>469</v>
      </c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</row>
    <row r="80">
      <c r="A80" s="59">
        <v>45812.0</v>
      </c>
      <c r="B80" s="66" t="s">
        <v>451</v>
      </c>
      <c r="C80" s="61">
        <v>45812.0</v>
      </c>
      <c r="D80" s="61">
        <v>45812.0</v>
      </c>
      <c r="E80" s="60" t="s">
        <v>452</v>
      </c>
      <c r="F80" s="71" t="s">
        <v>733</v>
      </c>
      <c r="G80" s="77"/>
      <c r="H80" s="64" t="s">
        <v>538</v>
      </c>
      <c r="I80" s="64" t="s">
        <v>564</v>
      </c>
      <c r="J80" s="64" t="s">
        <v>456</v>
      </c>
      <c r="K80" s="64" t="s">
        <v>456</v>
      </c>
      <c r="L80" s="64">
        <v>32.0</v>
      </c>
      <c r="M80" s="64">
        <v>32.0</v>
      </c>
      <c r="N80" s="64" t="s">
        <v>540</v>
      </c>
      <c r="O80" s="64">
        <v>24.0</v>
      </c>
      <c r="P80" s="75">
        <v>2.42E8</v>
      </c>
      <c r="Q80" s="66" t="s">
        <v>459</v>
      </c>
      <c r="R80" s="66" t="s">
        <v>459</v>
      </c>
      <c r="S80" s="66">
        <v>226.0</v>
      </c>
      <c r="T80" s="66">
        <v>2486.0</v>
      </c>
      <c r="U80" s="66">
        <v>226.0</v>
      </c>
      <c r="V80" s="64">
        <v>2486.0</v>
      </c>
      <c r="W80" s="64">
        <v>2486.0</v>
      </c>
      <c r="X80" s="76" t="s">
        <v>460</v>
      </c>
      <c r="Y80" s="64" t="s">
        <v>461</v>
      </c>
      <c r="Z80" s="64" t="s">
        <v>462</v>
      </c>
      <c r="AA80" s="64" t="s">
        <v>463</v>
      </c>
      <c r="AB80" s="60" t="s">
        <v>464</v>
      </c>
      <c r="AC80" s="60" t="s">
        <v>451</v>
      </c>
      <c r="AD80" s="64" t="s">
        <v>566</v>
      </c>
      <c r="AE80" s="64" t="s">
        <v>567</v>
      </c>
      <c r="AF80" s="64" t="s">
        <v>567</v>
      </c>
      <c r="AG80" s="64" t="s">
        <v>467</v>
      </c>
      <c r="AH80" s="64" t="s">
        <v>467</v>
      </c>
      <c r="AI80" s="64">
        <v>475.0</v>
      </c>
      <c r="AJ80" s="64">
        <v>28.35</v>
      </c>
      <c r="AK80" s="67">
        <v>13466.25</v>
      </c>
      <c r="AL80" s="63"/>
      <c r="AM80" s="63"/>
      <c r="AN80" s="64">
        <v>28.35</v>
      </c>
      <c r="AO80" s="64" t="s">
        <v>468</v>
      </c>
      <c r="AP80" s="63"/>
      <c r="AQ80" s="63"/>
      <c r="AR80" s="63"/>
      <c r="AS80" s="63"/>
      <c r="AT80" s="63"/>
      <c r="AU80" s="63"/>
      <c r="AV80" s="63"/>
      <c r="AW80" s="58" t="s">
        <v>512</v>
      </c>
      <c r="AX80" s="69">
        <v>13466.25</v>
      </c>
      <c r="AY80" s="70"/>
      <c r="AZ80" s="70"/>
      <c r="BA80" s="70"/>
      <c r="BB80" s="70"/>
      <c r="BC80" s="58" t="s">
        <v>469</v>
      </c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</row>
    <row r="81">
      <c r="A81" s="59">
        <v>45812.0</v>
      </c>
      <c r="B81" s="64" t="s">
        <v>451</v>
      </c>
      <c r="C81" s="61">
        <v>45812.0</v>
      </c>
      <c r="D81" s="61">
        <v>45812.0</v>
      </c>
      <c r="E81" s="60" t="s">
        <v>452</v>
      </c>
      <c r="F81" s="72" t="s">
        <v>734</v>
      </c>
      <c r="G81" s="63"/>
      <c r="H81" s="66" t="s">
        <v>492</v>
      </c>
      <c r="I81" s="66" t="s">
        <v>626</v>
      </c>
      <c r="J81" s="66" t="s">
        <v>456</v>
      </c>
      <c r="K81" s="66" t="s">
        <v>456</v>
      </c>
      <c r="L81" s="66">
        <v>22.0</v>
      </c>
      <c r="M81" s="66">
        <v>22.0</v>
      </c>
      <c r="N81" s="66" t="s">
        <v>457</v>
      </c>
      <c r="O81" s="66">
        <v>24.0</v>
      </c>
      <c r="P81" s="66" t="s">
        <v>735</v>
      </c>
      <c r="Q81" s="64" t="s">
        <v>459</v>
      </c>
      <c r="R81" s="64" t="s">
        <v>459</v>
      </c>
      <c r="S81" s="64">
        <v>259.0</v>
      </c>
      <c r="T81" s="64">
        <v>2849.0</v>
      </c>
      <c r="U81" s="64">
        <v>259.0</v>
      </c>
      <c r="V81" s="66">
        <v>2849.0</v>
      </c>
      <c r="W81" s="66">
        <v>2849.0</v>
      </c>
      <c r="X81" s="79" t="s">
        <v>460</v>
      </c>
      <c r="Y81" s="64" t="s">
        <v>461</v>
      </c>
      <c r="Z81" s="64" t="s">
        <v>462</v>
      </c>
      <c r="AA81" s="64" t="s">
        <v>463</v>
      </c>
      <c r="AB81" s="60" t="s">
        <v>464</v>
      </c>
      <c r="AC81" s="60" t="s">
        <v>451</v>
      </c>
      <c r="AD81" s="66" t="s">
        <v>571</v>
      </c>
      <c r="AE81" s="66" t="s">
        <v>572</v>
      </c>
      <c r="AF81" s="66" t="s">
        <v>572</v>
      </c>
      <c r="AG81" s="64" t="s">
        <v>467</v>
      </c>
      <c r="AH81" s="64" t="s">
        <v>467</v>
      </c>
      <c r="AI81" s="66">
        <v>655.0</v>
      </c>
      <c r="AJ81" s="66">
        <v>21.5</v>
      </c>
      <c r="AK81" s="67">
        <v>14082.5</v>
      </c>
      <c r="AL81" s="63"/>
      <c r="AM81" s="63"/>
      <c r="AN81" s="64">
        <v>21.5</v>
      </c>
      <c r="AO81" s="60" t="s">
        <v>468</v>
      </c>
      <c r="AP81" s="63"/>
      <c r="AQ81" s="63"/>
      <c r="AR81" s="63"/>
      <c r="AS81" s="63"/>
      <c r="AT81" s="63"/>
      <c r="AU81" s="63"/>
      <c r="AV81" s="68"/>
      <c r="AW81" s="58" t="s">
        <v>512</v>
      </c>
      <c r="AX81" s="69">
        <v>14082.5</v>
      </c>
      <c r="AY81" s="70"/>
      <c r="AZ81" s="70"/>
      <c r="BA81" s="70"/>
      <c r="BB81" s="70"/>
      <c r="BC81" s="58" t="s">
        <v>469</v>
      </c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</row>
    <row r="82">
      <c r="A82" s="59">
        <v>45812.0</v>
      </c>
      <c r="B82" s="66" t="s">
        <v>451</v>
      </c>
      <c r="C82" s="61">
        <v>45812.0</v>
      </c>
      <c r="D82" s="61">
        <v>45812.0</v>
      </c>
      <c r="E82" s="60" t="s">
        <v>452</v>
      </c>
      <c r="F82" s="71" t="s">
        <v>736</v>
      </c>
      <c r="G82" s="77"/>
      <c r="H82" s="64" t="s">
        <v>472</v>
      </c>
      <c r="I82" s="64" t="s">
        <v>629</v>
      </c>
      <c r="J82" s="64" t="s">
        <v>456</v>
      </c>
      <c r="K82" s="64" t="s">
        <v>456</v>
      </c>
      <c r="L82" s="64">
        <v>22.0</v>
      </c>
      <c r="M82" s="64">
        <v>22.0</v>
      </c>
      <c r="N82" s="64" t="s">
        <v>457</v>
      </c>
      <c r="O82" s="64">
        <v>24.0</v>
      </c>
      <c r="P82" s="75">
        <v>2.42E8</v>
      </c>
      <c r="Q82" s="66" t="s">
        <v>459</v>
      </c>
      <c r="R82" s="66" t="s">
        <v>459</v>
      </c>
      <c r="S82" s="66">
        <v>162.0</v>
      </c>
      <c r="T82" s="66">
        <v>1782.0</v>
      </c>
      <c r="U82" s="66">
        <v>162.0</v>
      </c>
      <c r="V82" s="64">
        <v>1782.0</v>
      </c>
      <c r="W82" s="64">
        <v>1782.0</v>
      </c>
      <c r="X82" s="76" t="s">
        <v>460</v>
      </c>
      <c r="Y82" s="64" t="s">
        <v>461</v>
      </c>
      <c r="Z82" s="64" t="s">
        <v>462</v>
      </c>
      <c r="AA82" s="64" t="s">
        <v>463</v>
      </c>
      <c r="AB82" s="60" t="s">
        <v>464</v>
      </c>
      <c r="AC82" s="60" t="s">
        <v>451</v>
      </c>
      <c r="AD82" s="64" t="s">
        <v>577</v>
      </c>
      <c r="AE82" s="64" t="s">
        <v>578</v>
      </c>
      <c r="AF82" s="64" t="s">
        <v>578</v>
      </c>
      <c r="AG82" s="64" t="s">
        <v>467</v>
      </c>
      <c r="AH82" s="64" t="s">
        <v>467</v>
      </c>
      <c r="AI82" s="66">
        <v>396.0</v>
      </c>
      <c r="AJ82" s="64">
        <v>21.5</v>
      </c>
      <c r="AK82" s="67">
        <v>8514.0</v>
      </c>
      <c r="AL82" s="63"/>
      <c r="AM82" s="63"/>
      <c r="AN82" s="64">
        <v>21.5</v>
      </c>
      <c r="AO82" s="64" t="s">
        <v>468</v>
      </c>
      <c r="AP82" s="63"/>
      <c r="AQ82" s="63"/>
      <c r="AR82" s="63"/>
      <c r="AS82" s="63"/>
      <c r="AT82" s="63"/>
      <c r="AU82" s="63"/>
      <c r="AV82" s="63"/>
      <c r="AW82" s="58" t="s">
        <v>512</v>
      </c>
      <c r="AX82" s="69">
        <v>8514.0</v>
      </c>
      <c r="AY82" s="70"/>
      <c r="AZ82" s="70"/>
      <c r="BA82" s="70"/>
      <c r="BB82" s="70"/>
      <c r="BC82" s="58" t="s">
        <v>469</v>
      </c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</row>
    <row r="83">
      <c r="A83" s="59">
        <v>45812.0</v>
      </c>
      <c r="B83" s="64" t="s">
        <v>451</v>
      </c>
      <c r="C83" s="61">
        <v>45812.0</v>
      </c>
      <c r="D83" s="61">
        <v>45812.0</v>
      </c>
      <c r="E83" s="60" t="s">
        <v>452</v>
      </c>
      <c r="F83" s="72" t="s">
        <v>737</v>
      </c>
      <c r="G83" s="63"/>
      <c r="H83" s="66" t="s">
        <v>472</v>
      </c>
      <c r="I83" s="66" t="s">
        <v>636</v>
      </c>
      <c r="J83" s="66" t="s">
        <v>456</v>
      </c>
      <c r="K83" s="66" t="s">
        <v>456</v>
      </c>
      <c r="L83" s="66">
        <v>22.0</v>
      </c>
      <c r="M83" s="66">
        <v>22.0</v>
      </c>
      <c r="N83" s="66" t="s">
        <v>457</v>
      </c>
      <c r="O83" s="66">
        <v>24.0</v>
      </c>
      <c r="P83" s="80">
        <v>2.42E8</v>
      </c>
      <c r="Q83" s="64" t="s">
        <v>459</v>
      </c>
      <c r="R83" s="64" t="s">
        <v>459</v>
      </c>
      <c r="S83" s="64">
        <v>102.0</v>
      </c>
      <c r="T83" s="64">
        <v>1122.0</v>
      </c>
      <c r="U83" s="64">
        <v>102.0</v>
      </c>
      <c r="V83" s="66">
        <v>1122.0</v>
      </c>
      <c r="W83" s="66">
        <v>1122.0</v>
      </c>
      <c r="X83" s="79" t="s">
        <v>460</v>
      </c>
      <c r="Y83" s="64" t="s">
        <v>461</v>
      </c>
      <c r="Z83" s="64" t="s">
        <v>462</v>
      </c>
      <c r="AA83" s="64" t="s">
        <v>463</v>
      </c>
      <c r="AB83" s="60" t="s">
        <v>464</v>
      </c>
      <c r="AC83" s="60" t="s">
        <v>451</v>
      </c>
      <c r="AD83" s="66" t="s">
        <v>634</v>
      </c>
      <c r="AE83" s="66" t="s">
        <v>617</v>
      </c>
      <c r="AF83" s="66" t="s">
        <v>617</v>
      </c>
      <c r="AG83" s="64" t="s">
        <v>467</v>
      </c>
      <c r="AH83" s="64" t="s">
        <v>467</v>
      </c>
      <c r="AI83" s="64">
        <v>330.0</v>
      </c>
      <c r="AJ83" s="64">
        <v>21.5</v>
      </c>
      <c r="AK83" s="67">
        <v>7095.0</v>
      </c>
      <c r="AL83" s="63"/>
      <c r="AM83" s="63"/>
      <c r="AN83" s="64">
        <v>21.5</v>
      </c>
      <c r="AO83" s="64" t="s">
        <v>468</v>
      </c>
      <c r="AP83" s="63"/>
      <c r="AQ83" s="63"/>
      <c r="AR83" s="63"/>
      <c r="AS83" s="63"/>
      <c r="AT83" s="63"/>
      <c r="AU83" s="63"/>
      <c r="AV83" s="63"/>
      <c r="AW83" s="58" t="s">
        <v>512</v>
      </c>
      <c r="AX83" s="69">
        <v>7095.0</v>
      </c>
      <c r="AY83" s="70"/>
      <c r="AZ83" s="70"/>
      <c r="BA83" s="70"/>
      <c r="BB83" s="70"/>
      <c r="BC83" s="58" t="s">
        <v>469</v>
      </c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</row>
    <row r="84">
      <c r="A84" s="59">
        <v>45812.0</v>
      </c>
      <c r="B84" s="66" t="s">
        <v>451</v>
      </c>
      <c r="C84" s="61">
        <v>45812.0</v>
      </c>
      <c r="D84" s="61">
        <v>45812.0</v>
      </c>
      <c r="E84" s="60" t="s">
        <v>452</v>
      </c>
      <c r="F84" s="71" t="s">
        <v>738</v>
      </c>
      <c r="G84" s="77"/>
      <c r="H84" s="64" t="s">
        <v>472</v>
      </c>
      <c r="I84" s="64" t="s">
        <v>575</v>
      </c>
      <c r="J84" s="64" t="s">
        <v>456</v>
      </c>
      <c r="K84" s="64" t="s">
        <v>456</v>
      </c>
      <c r="L84" s="64">
        <v>22.0</v>
      </c>
      <c r="M84" s="64">
        <v>22.0</v>
      </c>
      <c r="N84" s="64" t="s">
        <v>457</v>
      </c>
      <c r="O84" s="64">
        <v>24.0</v>
      </c>
      <c r="P84" s="75">
        <v>2.42E8</v>
      </c>
      <c r="Q84" s="66" t="s">
        <v>459</v>
      </c>
      <c r="R84" s="66" t="s">
        <v>459</v>
      </c>
      <c r="S84" s="66">
        <v>124.0</v>
      </c>
      <c r="T84" s="66">
        <v>1364.0</v>
      </c>
      <c r="U84" s="66">
        <v>124.0</v>
      </c>
      <c r="V84" s="64">
        <v>1364.0</v>
      </c>
      <c r="W84" s="64">
        <v>1364.0</v>
      </c>
      <c r="X84" s="76" t="s">
        <v>460</v>
      </c>
      <c r="Y84" s="64" t="s">
        <v>461</v>
      </c>
      <c r="Z84" s="64" t="s">
        <v>462</v>
      </c>
      <c r="AA84" s="64" t="s">
        <v>463</v>
      </c>
      <c r="AB84" s="60" t="s">
        <v>464</v>
      </c>
      <c r="AC84" s="60" t="s">
        <v>451</v>
      </c>
      <c r="AD84" s="64" t="s">
        <v>638</v>
      </c>
      <c r="AE84" s="64" t="s">
        <v>531</v>
      </c>
      <c r="AF84" s="64" t="s">
        <v>531</v>
      </c>
      <c r="AG84" s="64" t="s">
        <v>467</v>
      </c>
      <c r="AH84" s="64" t="s">
        <v>467</v>
      </c>
      <c r="AI84" s="66">
        <v>510.0</v>
      </c>
      <c r="AJ84" s="66">
        <v>21.5</v>
      </c>
      <c r="AK84" s="67">
        <v>10965.0</v>
      </c>
      <c r="AL84" s="63"/>
      <c r="AM84" s="63"/>
      <c r="AN84" s="64">
        <v>21.5</v>
      </c>
      <c r="AO84" s="64" t="s">
        <v>468</v>
      </c>
      <c r="AP84" s="63"/>
      <c r="AQ84" s="63"/>
      <c r="AR84" s="63"/>
      <c r="AS84" s="63"/>
      <c r="AT84" s="63"/>
      <c r="AU84" s="63"/>
      <c r="AV84" s="68"/>
      <c r="AW84" s="58" t="s">
        <v>512</v>
      </c>
      <c r="AX84" s="69">
        <v>10965.0</v>
      </c>
      <c r="AY84" s="70"/>
      <c r="AZ84" s="70"/>
      <c r="BA84" s="70"/>
      <c r="BB84" s="70"/>
      <c r="BC84" s="58" t="s">
        <v>469</v>
      </c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</row>
    <row r="85">
      <c r="A85" s="59">
        <v>45813.0</v>
      </c>
      <c r="B85" s="64" t="s">
        <v>451</v>
      </c>
      <c r="C85" s="61">
        <v>45813.0</v>
      </c>
      <c r="D85" s="61">
        <v>45813.0</v>
      </c>
      <c r="E85" s="60" t="s">
        <v>452</v>
      </c>
      <c r="F85" s="72" t="s">
        <v>739</v>
      </c>
      <c r="G85" s="63"/>
      <c r="H85" s="66" t="s">
        <v>454</v>
      </c>
      <c r="I85" s="66" t="s">
        <v>641</v>
      </c>
      <c r="J85" s="66" t="s">
        <v>456</v>
      </c>
      <c r="K85" s="66" t="s">
        <v>456</v>
      </c>
      <c r="L85" s="66">
        <v>22.0</v>
      </c>
      <c r="M85" s="66">
        <v>22.0</v>
      </c>
      <c r="N85" s="66" t="s">
        <v>457</v>
      </c>
      <c r="O85" s="66">
        <v>24.0</v>
      </c>
      <c r="P85" s="66" t="s">
        <v>740</v>
      </c>
      <c r="Q85" s="64" t="s">
        <v>459</v>
      </c>
      <c r="R85" s="64" t="s">
        <v>459</v>
      </c>
      <c r="S85" s="64">
        <v>299.0</v>
      </c>
      <c r="T85" s="64">
        <v>3289.0</v>
      </c>
      <c r="U85" s="64">
        <v>299.0</v>
      </c>
      <c r="V85" s="66">
        <v>3289.0</v>
      </c>
      <c r="W85" s="66">
        <v>3289.0</v>
      </c>
      <c r="X85" s="79" t="s">
        <v>460</v>
      </c>
      <c r="Y85" s="64" t="s">
        <v>461</v>
      </c>
      <c r="Z85" s="64" t="s">
        <v>462</v>
      </c>
      <c r="AA85" s="64" t="s">
        <v>463</v>
      </c>
      <c r="AB85" s="60" t="s">
        <v>464</v>
      </c>
      <c r="AC85" s="60" t="s">
        <v>451</v>
      </c>
      <c r="AD85" s="66" t="s">
        <v>465</v>
      </c>
      <c r="AE85" s="66" t="s">
        <v>466</v>
      </c>
      <c r="AF85" s="66" t="s">
        <v>466</v>
      </c>
      <c r="AG85" s="64" t="s">
        <v>467</v>
      </c>
      <c r="AH85" s="64" t="s">
        <v>467</v>
      </c>
      <c r="AI85" s="66">
        <v>735.0</v>
      </c>
      <c r="AJ85" s="66">
        <v>21.5</v>
      </c>
      <c r="AK85" s="67">
        <v>15802.5</v>
      </c>
      <c r="AL85" s="63"/>
      <c r="AM85" s="63"/>
      <c r="AN85" s="64">
        <v>21.5</v>
      </c>
      <c r="AO85" s="60" t="s">
        <v>468</v>
      </c>
      <c r="AP85" s="63"/>
      <c r="AQ85" s="63"/>
      <c r="AR85" s="63"/>
      <c r="AS85" s="63"/>
      <c r="AT85" s="63"/>
      <c r="AU85" s="63"/>
      <c r="AV85" s="68"/>
      <c r="AW85" s="58" t="s">
        <v>512</v>
      </c>
      <c r="AX85" s="69">
        <v>15802.5</v>
      </c>
      <c r="AY85" s="70"/>
      <c r="AZ85" s="70"/>
      <c r="BA85" s="70"/>
      <c r="BB85" s="70"/>
      <c r="BC85" s="58" t="s">
        <v>469</v>
      </c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</row>
    <row r="86">
      <c r="A86" s="59">
        <v>45813.0</v>
      </c>
      <c r="B86" s="66" t="s">
        <v>451</v>
      </c>
      <c r="C86" s="61">
        <v>45813.0</v>
      </c>
      <c r="D86" s="61">
        <v>45813.0</v>
      </c>
      <c r="E86" s="60" t="s">
        <v>452</v>
      </c>
      <c r="F86" s="71" t="s">
        <v>741</v>
      </c>
      <c r="G86" s="77"/>
      <c r="H86" s="64" t="s">
        <v>472</v>
      </c>
      <c r="I86" s="64" t="s">
        <v>473</v>
      </c>
      <c r="J86" s="64" t="s">
        <v>456</v>
      </c>
      <c r="K86" s="64" t="s">
        <v>456</v>
      </c>
      <c r="L86" s="64">
        <v>22.0</v>
      </c>
      <c r="M86" s="64">
        <v>22.0</v>
      </c>
      <c r="N86" s="64" t="s">
        <v>457</v>
      </c>
      <c r="O86" s="64">
        <v>24.0</v>
      </c>
      <c r="P86" s="64" t="s">
        <v>742</v>
      </c>
      <c r="Q86" s="66" t="s">
        <v>459</v>
      </c>
      <c r="R86" s="66" t="s">
        <v>459</v>
      </c>
      <c r="S86" s="66">
        <v>206.0</v>
      </c>
      <c r="T86" s="66">
        <v>2266.0</v>
      </c>
      <c r="U86" s="66">
        <v>206.0</v>
      </c>
      <c r="V86" s="64">
        <v>2266.0</v>
      </c>
      <c r="W86" s="64">
        <v>2266.0</v>
      </c>
      <c r="X86" s="76" t="s">
        <v>460</v>
      </c>
      <c r="Y86" s="64" t="s">
        <v>461</v>
      </c>
      <c r="Z86" s="64" t="s">
        <v>462</v>
      </c>
      <c r="AA86" s="64" t="s">
        <v>463</v>
      </c>
      <c r="AB86" s="60" t="s">
        <v>464</v>
      </c>
      <c r="AC86" s="60" t="s">
        <v>451</v>
      </c>
      <c r="AD86" s="64" t="s">
        <v>475</v>
      </c>
      <c r="AE86" s="64" t="s">
        <v>476</v>
      </c>
      <c r="AF86" s="64" t="s">
        <v>476</v>
      </c>
      <c r="AG86" s="64" t="s">
        <v>467</v>
      </c>
      <c r="AH86" s="64" t="s">
        <v>467</v>
      </c>
      <c r="AI86" s="64">
        <v>650.0</v>
      </c>
      <c r="AJ86" s="66">
        <v>21.5</v>
      </c>
      <c r="AK86" s="67">
        <v>13975.0</v>
      </c>
      <c r="AL86" s="63"/>
      <c r="AM86" s="63"/>
      <c r="AN86" s="64">
        <v>21.5</v>
      </c>
      <c r="AO86" s="64" t="s">
        <v>468</v>
      </c>
      <c r="AP86" s="63"/>
      <c r="AQ86" s="63"/>
      <c r="AR86" s="63"/>
      <c r="AS86" s="63"/>
      <c r="AT86" s="63"/>
      <c r="AU86" s="63"/>
      <c r="AV86" s="63"/>
      <c r="AW86" s="58" t="s">
        <v>512</v>
      </c>
      <c r="AX86" s="69">
        <v>13975.0</v>
      </c>
      <c r="AY86" s="70"/>
      <c r="AZ86" s="70"/>
      <c r="BA86" s="70"/>
      <c r="BB86" s="70"/>
      <c r="BC86" s="58" t="s">
        <v>469</v>
      </c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</row>
    <row r="87">
      <c r="A87" s="59">
        <v>45813.0</v>
      </c>
      <c r="B87" s="64" t="s">
        <v>451</v>
      </c>
      <c r="C87" s="61">
        <v>45813.0</v>
      </c>
      <c r="D87" s="61">
        <v>45813.0</v>
      </c>
      <c r="E87" s="60" t="s">
        <v>452</v>
      </c>
      <c r="F87" s="72" t="s">
        <v>743</v>
      </c>
      <c r="G87" s="63"/>
      <c r="H87" s="66" t="s">
        <v>472</v>
      </c>
      <c r="I87" s="66" t="s">
        <v>479</v>
      </c>
      <c r="J87" s="66" t="s">
        <v>456</v>
      </c>
      <c r="K87" s="66" t="s">
        <v>456</v>
      </c>
      <c r="L87" s="66">
        <v>22.0</v>
      </c>
      <c r="M87" s="66">
        <v>22.0</v>
      </c>
      <c r="N87" s="66" t="s">
        <v>457</v>
      </c>
      <c r="O87" s="66">
        <v>24.0</v>
      </c>
      <c r="P87" s="66" t="s">
        <v>744</v>
      </c>
      <c r="Q87" s="64" t="s">
        <v>459</v>
      </c>
      <c r="R87" s="64" t="s">
        <v>459</v>
      </c>
      <c r="S87" s="64">
        <v>294.0</v>
      </c>
      <c r="T87" s="64">
        <v>3234.0</v>
      </c>
      <c r="U87" s="64">
        <v>294.0</v>
      </c>
      <c r="V87" s="66">
        <v>3234.0</v>
      </c>
      <c r="W87" s="66">
        <v>3234.0</v>
      </c>
      <c r="X87" s="79" t="s">
        <v>460</v>
      </c>
      <c r="Y87" s="64" t="s">
        <v>461</v>
      </c>
      <c r="Z87" s="64" t="s">
        <v>462</v>
      </c>
      <c r="AA87" s="64" t="s">
        <v>463</v>
      </c>
      <c r="AB87" s="60" t="s">
        <v>464</v>
      </c>
      <c r="AC87" s="60" t="s">
        <v>451</v>
      </c>
      <c r="AD87" s="66" t="s">
        <v>481</v>
      </c>
      <c r="AE87" s="66" t="s">
        <v>482</v>
      </c>
      <c r="AF87" s="66" t="s">
        <v>482</v>
      </c>
      <c r="AG87" s="64" t="s">
        <v>467</v>
      </c>
      <c r="AH87" s="64" t="s">
        <v>467</v>
      </c>
      <c r="AI87" s="64">
        <v>655.0</v>
      </c>
      <c r="AJ87" s="64">
        <v>21.5</v>
      </c>
      <c r="AK87" s="67">
        <v>14082.5</v>
      </c>
      <c r="AL87" s="63"/>
      <c r="AM87" s="63"/>
      <c r="AN87" s="64">
        <v>21.5</v>
      </c>
      <c r="AO87" s="64" t="s">
        <v>468</v>
      </c>
      <c r="AP87" s="63"/>
      <c r="AQ87" s="63"/>
      <c r="AR87" s="63"/>
      <c r="AS87" s="63"/>
      <c r="AT87" s="63"/>
      <c r="AU87" s="63"/>
      <c r="AV87" s="68"/>
      <c r="AW87" s="58" t="s">
        <v>512</v>
      </c>
      <c r="AX87" s="69">
        <v>14082.5</v>
      </c>
      <c r="AY87" s="70"/>
      <c r="AZ87" s="70"/>
      <c r="BA87" s="70"/>
      <c r="BB87" s="70"/>
      <c r="BC87" s="58" t="s">
        <v>469</v>
      </c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</row>
    <row r="88">
      <c r="A88" s="59">
        <v>45813.0</v>
      </c>
      <c r="B88" s="66" t="s">
        <v>451</v>
      </c>
      <c r="C88" s="61">
        <v>45813.0</v>
      </c>
      <c r="D88" s="61">
        <v>45813.0</v>
      </c>
      <c r="E88" s="60" t="s">
        <v>452</v>
      </c>
      <c r="F88" s="71" t="s">
        <v>745</v>
      </c>
      <c r="G88" s="77"/>
      <c r="H88" s="64" t="s">
        <v>492</v>
      </c>
      <c r="I88" s="64" t="s">
        <v>493</v>
      </c>
      <c r="J88" s="64" t="s">
        <v>456</v>
      </c>
      <c r="K88" s="64" t="s">
        <v>456</v>
      </c>
      <c r="L88" s="64">
        <v>28.0</v>
      </c>
      <c r="M88" s="64">
        <v>28.0</v>
      </c>
      <c r="N88" s="64" t="s">
        <v>457</v>
      </c>
      <c r="O88" s="64">
        <v>24.0</v>
      </c>
      <c r="P88" s="64" t="s">
        <v>746</v>
      </c>
      <c r="Q88" s="66" t="s">
        <v>459</v>
      </c>
      <c r="R88" s="66" t="s">
        <v>459</v>
      </c>
      <c r="S88" s="66">
        <v>511.0</v>
      </c>
      <c r="T88" s="66">
        <v>5621.0</v>
      </c>
      <c r="U88" s="66">
        <v>511.0</v>
      </c>
      <c r="V88" s="64">
        <v>5621.0</v>
      </c>
      <c r="W88" s="64">
        <v>5621.0</v>
      </c>
      <c r="X88" s="76" t="s">
        <v>460</v>
      </c>
      <c r="Y88" s="64" t="s">
        <v>461</v>
      </c>
      <c r="Z88" s="64" t="s">
        <v>462</v>
      </c>
      <c r="AA88" s="64" t="s">
        <v>463</v>
      </c>
      <c r="AB88" s="60" t="s">
        <v>464</v>
      </c>
      <c r="AC88" s="60" t="s">
        <v>451</v>
      </c>
      <c r="AD88" s="64" t="s">
        <v>495</v>
      </c>
      <c r="AE88" s="64" t="s">
        <v>496</v>
      </c>
      <c r="AF88" s="64" t="s">
        <v>496</v>
      </c>
      <c r="AG88" s="64" t="s">
        <v>467</v>
      </c>
      <c r="AH88" s="64" t="s">
        <v>467</v>
      </c>
      <c r="AI88" s="64">
        <v>570.0</v>
      </c>
      <c r="AJ88" s="60">
        <v>23.5</v>
      </c>
      <c r="AK88" s="67">
        <v>13395.0</v>
      </c>
      <c r="AL88" s="63"/>
      <c r="AM88" s="63"/>
      <c r="AN88" s="64">
        <v>23.5</v>
      </c>
      <c r="AO88" s="64" t="s">
        <v>468</v>
      </c>
      <c r="AP88" s="63"/>
      <c r="AQ88" s="63"/>
      <c r="AR88" s="63"/>
      <c r="AS88" s="63"/>
      <c r="AT88" s="63"/>
      <c r="AU88" s="63"/>
      <c r="AV88" s="63"/>
      <c r="AW88" s="58" t="s">
        <v>512</v>
      </c>
      <c r="AX88" s="69">
        <v>13395.0</v>
      </c>
      <c r="AY88" s="70"/>
      <c r="AZ88" s="70"/>
      <c r="BA88" s="70"/>
      <c r="BB88" s="70"/>
      <c r="BC88" s="58" t="s">
        <v>469</v>
      </c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</row>
    <row r="89">
      <c r="A89" s="59">
        <v>45813.0</v>
      </c>
      <c r="B89" s="64" t="s">
        <v>451</v>
      </c>
      <c r="C89" s="61">
        <v>45813.0</v>
      </c>
      <c r="D89" s="61">
        <v>45813.0</v>
      </c>
      <c r="E89" s="60" t="s">
        <v>452</v>
      </c>
      <c r="F89" s="72" t="s">
        <v>747</v>
      </c>
      <c r="G89" s="63"/>
      <c r="H89" s="66" t="s">
        <v>454</v>
      </c>
      <c r="I89" s="66" t="s">
        <v>485</v>
      </c>
      <c r="J89" s="66" t="s">
        <v>486</v>
      </c>
      <c r="K89" s="66" t="s">
        <v>486</v>
      </c>
      <c r="L89" s="66">
        <v>22.0</v>
      </c>
      <c r="M89" s="66">
        <v>22.0</v>
      </c>
      <c r="N89" s="66" t="s">
        <v>457</v>
      </c>
      <c r="O89" s="66">
        <v>24.0</v>
      </c>
      <c r="P89" s="66" t="s">
        <v>748</v>
      </c>
      <c r="Q89" s="64" t="s">
        <v>459</v>
      </c>
      <c r="R89" s="64" t="s">
        <v>459</v>
      </c>
      <c r="S89" s="64">
        <v>200.0</v>
      </c>
      <c r="T89" s="64">
        <v>2200.0</v>
      </c>
      <c r="U89" s="64">
        <v>200.0</v>
      </c>
      <c r="V89" s="66">
        <v>2200.0</v>
      </c>
      <c r="W89" s="66">
        <v>2200.0</v>
      </c>
      <c r="X89" s="79" t="s">
        <v>460</v>
      </c>
      <c r="Y89" s="64" t="s">
        <v>461</v>
      </c>
      <c r="Z89" s="64" t="s">
        <v>462</v>
      </c>
      <c r="AA89" s="64" t="s">
        <v>463</v>
      </c>
      <c r="AB89" s="60" t="s">
        <v>464</v>
      </c>
      <c r="AC89" s="60" t="s">
        <v>451</v>
      </c>
      <c r="AD89" s="66" t="s">
        <v>488</v>
      </c>
      <c r="AE89" s="66" t="s">
        <v>489</v>
      </c>
      <c r="AF89" s="66" t="s">
        <v>489</v>
      </c>
      <c r="AG89" s="64" t="s">
        <v>467</v>
      </c>
      <c r="AH89" s="64" t="s">
        <v>467</v>
      </c>
      <c r="AI89" s="64">
        <v>760.0</v>
      </c>
      <c r="AJ89" s="64">
        <v>23.5</v>
      </c>
      <c r="AK89" s="67">
        <v>17860.0</v>
      </c>
      <c r="AL89" s="63"/>
      <c r="AM89" s="63"/>
      <c r="AN89" s="64">
        <v>23.5</v>
      </c>
      <c r="AO89" s="60" t="s">
        <v>468</v>
      </c>
      <c r="AP89" s="63"/>
      <c r="AQ89" s="63"/>
      <c r="AR89" s="63"/>
      <c r="AS89" s="63"/>
      <c r="AT89" s="63"/>
      <c r="AU89" s="63"/>
      <c r="AV89" s="63"/>
      <c r="AW89" s="58" t="s">
        <v>512</v>
      </c>
      <c r="AX89" s="69">
        <v>17860.0</v>
      </c>
      <c r="AY89" s="70"/>
      <c r="AZ89" s="70"/>
      <c r="BA89" s="70"/>
      <c r="BB89" s="70"/>
      <c r="BC89" s="58" t="s">
        <v>469</v>
      </c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</row>
    <row r="90">
      <c r="A90" s="59">
        <v>45813.0</v>
      </c>
      <c r="B90" s="66" t="s">
        <v>451</v>
      </c>
      <c r="C90" s="61">
        <v>45813.0</v>
      </c>
      <c r="D90" s="61">
        <v>45813.0</v>
      </c>
      <c r="E90" s="60" t="s">
        <v>452</v>
      </c>
      <c r="F90" s="71" t="s">
        <v>749</v>
      </c>
      <c r="G90" s="77"/>
      <c r="H90" s="64" t="s">
        <v>521</v>
      </c>
      <c r="I90" s="64" t="s">
        <v>555</v>
      </c>
      <c r="J90" s="64" t="s">
        <v>486</v>
      </c>
      <c r="K90" s="64" t="s">
        <v>486</v>
      </c>
      <c r="L90" s="64">
        <v>22.0</v>
      </c>
      <c r="M90" s="64">
        <v>22.0</v>
      </c>
      <c r="N90" s="64" t="s">
        <v>457</v>
      </c>
      <c r="O90" s="64">
        <v>24.0</v>
      </c>
      <c r="P90" s="64" t="s">
        <v>750</v>
      </c>
      <c r="Q90" s="66" t="s">
        <v>459</v>
      </c>
      <c r="R90" s="66" t="s">
        <v>459</v>
      </c>
      <c r="S90" s="66">
        <v>172.0</v>
      </c>
      <c r="T90" s="66">
        <v>1892.0</v>
      </c>
      <c r="U90" s="66">
        <v>172.0</v>
      </c>
      <c r="V90" s="64">
        <v>1892.0</v>
      </c>
      <c r="W90" s="64">
        <v>1892.0</v>
      </c>
      <c r="X90" s="76" t="s">
        <v>460</v>
      </c>
      <c r="Y90" s="64" t="s">
        <v>461</v>
      </c>
      <c r="Z90" s="64" t="s">
        <v>462</v>
      </c>
      <c r="AA90" s="64" t="s">
        <v>463</v>
      </c>
      <c r="AB90" s="60" t="s">
        <v>464</v>
      </c>
      <c r="AC90" s="60" t="s">
        <v>451</v>
      </c>
      <c r="AD90" s="64" t="s">
        <v>501</v>
      </c>
      <c r="AE90" s="64" t="s">
        <v>470</v>
      </c>
      <c r="AF90" s="64" t="s">
        <v>470</v>
      </c>
      <c r="AG90" s="64" t="s">
        <v>467</v>
      </c>
      <c r="AH90" s="64" t="s">
        <v>467</v>
      </c>
      <c r="AI90" s="64">
        <v>380.0</v>
      </c>
      <c r="AJ90" s="64">
        <v>23.5</v>
      </c>
      <c r="AK90" s="67">
        <v>8930.0</v>
      </c>
      <c r="AL90" s="63"/>
      <c r="AM90" s="63"/>
      <c r="AN90" s="64">
        <v>23.5</v>
      </c>
      <c r="AO90" s="64" t="s">
        <v>468</v>
      </c>
      <c r="AP90" s="63"/>
      <c r="AQ90" s="63"/>
      <c r="AR90" s="63"/>
      <c r="AS90" s="63"/>
      <c r="AT90" s="63"/>
      <c r="AU90" s="63"/>
      <c r="AV90" s="68"/>
      <c r="AW90" s="58" t="s">
        <v>512</v>
      </c>
      <c r="AX90" s="69">
        <v>8930.0</v>
      </c>
      <c r="AY90" s="70"/>
      <c r="AZ90" s="70"/>
      <c r="BA90" s="70"/>
      <c r="BB90" s="70"/>
      <c r="BC90" s="58" t="s">
        <v>469</v>
      </c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</row>
    <row r="91">
      <c r="A91" s="59">
        <v>45813.0</v>
      </c>
      <c r="B91" s="64" t="s">
        <v>451</v>
      </c>
      <c r="C91" s="61">
        <v>45813.0</v>
      </c>
      <c r="D91" s="61">
        <v>45813.0</v>
      </c>
      <c r="E91" s="60" t="s">
        <v>452</v>
      </c>
      <c r="F91" s="72" t="s">
        <v>751</v>
      </c>
      <c r="G91" s="63"/>
      <c r="H91" s="66" t="s">
        <v>504</v>
      </c>
      <c r="I91" s="66" t="s">
        <v>505</v>
      </c>
      <c r="J91" s="66" t="s">
        <v>456</v>
      </c>
      <c r="K91" s="66" t="s">
        <v>456</v>
      </c>
      <c r="L91" s="66">
        <v>22.0</v>
      </c>
      <c r="M91" s="66">
        <v>22.0</v>
      </c>
      <c r="N91" s="66" t="s">
        <v>457</v>
      </c>
      <c r="O91" s="66">
        <v>24.0</v>
      </c>
      <c r="P91" s="66" t="s">
        <v>752</v>
      </c>
      <c r="Q91" s="64" t="s">
        <v>459</v>
      </c>
      <c r="R91" s="64" t="s">
        <v>459</v>
      </c>
      <c r="S91" s="64">
        <v>200.0</v>
      </c>
      <c r="T91" s="64">
        <v>2200.0</v>
      </c>
      <c r="U91" s="64">
        <v>200.0</v>
      </c>
      <c r="V91" s="66">
        <v>2200.0</v>
      </c>
      <c r="W91" s="66">
        <v>2200.0</v>
      </c>
      <c r="X91" s="79" t="s">
        <v>460</v>
      </c>
      <c r="Y91" s="64" t="s">
        <v>461</v>
      </c>
      <c r="Z91" s="64" t="s">
        <v>462</v>
      </c>
      <c r="AA91" s="64" t="s">
        <v>463</v>
      </c>
      <c r="AB91" s="60" t="s">
        <v>464</v>
      </c>
      <c r="AC91" s="60" t="s">
        <v>451</v>
      </c>
      <c r="AD91" s="66" t="s">
        <v>507</v>
      </c>
      <c r="AE91" s="66" t="s">
        <v>508</v>
      </c>
      <c r="AF91" s="66" t="s">
        <v>509</v>
      </c>
      <c r="AG91" s="64" t="s">
        <v>467</v>
      </c>
      <c r="AH91" s="64" t="s">
        <v>467</v>
      </c>
      <c r="AI91" s="66">
        <v>790.0</v>
      </c>
      <c r="AJ91" s="66">
        <v>21.5</v>
      </c>
      <c r="AK91" s="67">
        <v>16985.0</v>
      </c>
      <c r="AL91" s="63"/>
      <c r="AM91" s="63"/>
      <c r="AN91" s="64">
        <v>21.5</v>
      </c>
      <c r="AO91" s="64" t="s">
        <v>468</v>
      </c>
      <c r="AP91" s="63"/>
      <c r="AQ91" s="63"/>
      <c r="AR91" s="63"/>
      <c r="AS91" s="73">
        <v>0.5</v>
      </c>
      <c r="AT91" s="64">
        <v>8492.5</v>
      </c>
      <c r="AU91" s="60" t="s">
        <v>510</v>
      </c>
      <c r="AV91" s="74" t="s">
        <v>511</v>
      </c>
      <c r="AW91" s="58" t="s">
        <v>512</v>
      </c>
      <c r="AX91" s="69">
        <v>8492.5</v>
      </c>
      <c r="AY91" s="70"/>
      <c r="AZ91" s="70"/>
      <c r="BA91" s="69">
        <v>8492.5</v>
      </c>
      <c r="BB91" s="70"/>
      <c r="BC91" s="58" t="s">
        <v>469</v>
      </c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</row>
    <row r="92">
      <c r="A92" s="83">
        <v>45813.0</v>
      </c>
      <c r="B92" s="66" t="s">
        <v>451</v>
      </c>
      <c r="C92" s="61">
        <v>45813.0</v>
      </c>
      <c r="D92" s="61">
        <v>45813.0</v>
      </c>
      <c r="E92" s="60" t="s">
        <v>452</v>
      </c>
      <c r="F92" s="71" t="s">
        <v>753</v>
      </c>
      <c r="G92" s="77"/>
      <c r="H92" s="64" t="s">
        <v>504</v>
      </c>
      <c r="I92" s="64" t="s">
        <v>515</v>
      </c>
      <c r="J92" s="64" t="s">
        <v>456</v>
      </c>
      <c r="K92" s="64" t="s">
        <v>456</v>
      </c>
      <c r="L92" s="64">
        <v>22.0</v>
      </c>
      <c r="M92" s="64">
        <v>22.0</v>
      </c>
      <c r="N92" s="64" t="s">
        <v>457</v>
      </c>
      <c r="O92" s="64">
        <v>24.0</v>
      </c>
      <c r="P92" s="75">
        <v>2.42E8</v>
      </c>
      <c r="Q92" s="66" t="s">
        <v>459</v>
      </c>
      <c r="R92" s="66" t="s">
        <v>459</v>
      </c>
      <c r="S92" s="66">
        <v>238.0</v>
      </c>
      <c r="T92" s="66">
        <v>2618.0</v>
      </c>
      <c r="U92" s="66">
        <v>238.0</v>
      </c>
      <c r="V92" s="64">
        <v>2618.0</v>
      </c>
      <c r="W92" s="64">
        <v>2618.0</v>
      </c>
      <c r="X92" s="76" t="s">
        <v>460</v>
      </c>
      <c r="Y92" s="64" t="s">
        <v>461</v>
      </c>
      <c r="Z92" s="64" t="s">
        <v>462</v>
      </c>
      <c r="AA92" s="64" t="s">
        <v>463</v>
      </c>
      <c r="AB92" s="60" t="s">
        <v>464</v>
      </c>
      <c r="AC92" s="60" t="s">
        <v>451</v>
      </c>
      <c r="AD92" s="64" t="s">
        <v>517</v>
      </c>
      <c r="AE92" s="64" t="s">
        <v>518</v>
      </c>
      <c r="AF92" s="64" t="s">
        <v>518</v>
      </c>
      <c r="AG92" s="64" t="s">
        <v>467</v>
      </c>
      <c r="AH92" s="64" t="s">
        <v>467</v>
      </c>
      <c r="AI92" s="64">
        <v>815.0</v>
      </c>
      <c r="AJ92" s="64">
        <v>21.5</v>
      </c>
      <c r="AK92" s="67">
        <v>17522.5</v>
      </c>
      <c r="AL92" s="63"/>
      <c r="AM92" s="63"/>
      <c r="AN92" s="64">
        <v>21.5</v>
      </c>
      <c r="AO92" s="64" t="s">
        <v>468</v>
      </c>
      <c r="AP92" s="63"/>
      <c r="AQ92" s="63"/>
      <c r="AR92" s="63"/>
      <c r="AS92" s="63"/>
      <c r="AT92" s="63"/>
      <c r="AU92" s="63"/>
      <c r="AV92" s="68"/>
      <c r="AW92" s="58" t="s">
        <v>512</v>
      </c>
      <c r="AX92" s="69">
        <v>17522.5</v>
      </c>
      <c r="AY92" s="70"/>
      <c r="AZ92" s="70"/>
      <c r="BA92" s="70"/>
      <c r="BB92" s="70"/>
      <c r="BC92" s="58" t="s">
        <v>469</v>
      </c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</row>
    <row r="93">
      <c r="A93" s="83">
        <v>45813.0</v>
      </c>
      <c r="B93" s="64" t="s">
        <v>451</v>
      </c>
      <c r="C93" s="61">
        <v>45813.0</v>
      </c>
      <c r="D93" s="61">
        <v>45813.0</v>
      </c>
      <c r="E93" s="60" t="s">
        <v>452</v>
      </c>
      <c r="F93" s="72" t="s">
        <v>754</v>
      </c>
      <c r="G93" s="63"/>
      <c r="H93" s="66" t="s">
        <v>521</v>
      </c>
      <c r="I93" s="66" t="s">
        <v>615</v>
      </c>
      <c r="J93" s="66" t="s">
        <v>456</v>
      </c>
      <c r="K93" s="66" t="s">
        <v>456</v>
      </c>
      <c r="L93" s="66">
        <v>22.0</v>
      </c>
      <c r="M93" s="66">
        <v>22.0</v>
      </c>
      <c r="N93" s="66" t="s">
        <v>457</v>
      </c>
      <c r="O93" s="66">
        <v>24.0</v>
      </c>
      <c r="P93" s="66" t="s">
        <v>755</v>
      </c>
      <c r="Q93" s="64" t="s">
        <v>459</v>
      </c>
      <c r="R93" s="64" t="s">
        <v>459</v>
      </c>
      <c r="S93" s="64">
        <v>299.0</v>
      </c>
      <c r="T93" s="64">
        <v>3289.0</v>
      </c>
      <c r="U93" s="64">
        <v>299.0</v>
      </c>
      <c r="V93" s="66">
        <v>3289.0</v>
      </c>
      <c r="W93" s="66">
        <v>3289.0</v>
      </c>
      <c r="X93" s="79" t="s">
        <v>460</v>
      </c>
      <c r="Y93" s="64" t="s">
        <v>461</v>
      </c>
      <c r="Z93" s="64" t="s">
        <v>462</v>
      </c>
      <c r="AA93" s="64" t="s">
        <v>463</v>
      </c>
      <c r="AB93" s="60" t="s">
        <v>464</v>
      </c>
      <c r="AC93" s="60" t="s">
        <v>451</v>
      </c>
      <c r="AD93" s="66" t="s">
        <v>524</v>
      </c>
      <c r="AE93" s="66" t="s">
        <v>483</v>
      </c>
      <c r="AF93" s="66" t="s">
        <v>483</v>
      </c>
      <c r="AG93" s="64" t="s">
        <v>467</v>
      </c>
      <c r="AH93" s="64" t="s">
        <v>467</v>
      </c>
      <c r="AI93" s="66">
        <v>600.0</v>
      </c>
      <c r="AJ93" s="66">
        <v>21.5</v>
      </c>
      <c r="AK93" s="67">
        <v>12900.0</v>
      </c>
      <c r="AL93" s="63"/>
      <c r="AM93" s="63"/>
      <c r="AN93" s="64">
        <v>21.5</v>
      </c>
      <c r="AO93" s="64" t="s">
        <v>468</v>
      </c>
      <c r="AP93" s="63"/>
      <c r="AQ93" s="63"/>
      <c r="AR93" s="63"/>
      <c r="AS93" s="63"/>
      <c r="AT93" s="63"/>
      <c r="AU93" s="63"/>
      <c r="AV93" s="68"/>
      <c r="AW93" s="58" t="s">
        <v>512</v>
      </c>
      <c r="AX93" s="69">
        <v>12900.0</v>
      </c>
      <c r="AY93" s="70"/>
      <c r="AZ93" s="70"/>
      <c r="BA93" s="70"/>
      <c r="BB93" s="70"/>
      <c r="BC93" s="58" t="s">
        <v>469</v>
      </c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</row>
    <row r="94">
      <c r="A94" s="83">
        <v>45813.0</v>
      </c>
      <c r="B94" s="66" t="s">
        <v>451</v>
      </c>
      <c r="C94" s="61">
        <v>45813.0</v>
      </c>
      <c r="D94" s="61">
        <v>45813.0</v>
      </c>
      <c r="E94" s="60" t="s">
        <v>452</v>
      </c>
      <c r="F94" s="71" t="s">
        <v>756</v>
      </c>
      <c r="G94" s="77"/>
      <c r="H94" s="64" t="s">
        <v>492</v>
      </c>
      <c r="I94" s="64" t="s">
        <v>527</v>
      </c>
      <c r="J94" s="64" t="s">
        <v>456</v>
      </c>
      <c r="K94" s="64" t="s">
        <v>456</v>
      </c>
      <c r="L94" s="64">
        <v>22.0</v>
      </c>
      <c r="M94" s="64">
        <v>22.0</v>
      </c>
      <c r="N94" s="64" t="s">
        <v>457</v>
      </c>
      <c r="O94" s="64">
        <v>24.0</v>
      </c>
      <c r="P94" s="64" t="s">
        <v>757</v>
      </c>
      <c r="Q94" s="66" t="s">
        <v>459</v>
      </c>
      <c r="R94" s="66" t="s">
        <v>459</v>
      </c>
      <c r="S94" s="66">
        <v>245.0</v>
      </c>
      <c r="T94" s="66">
        <v>2695.0</v>
      </c>
      <c r="U94" s="66">
        <v>245.0</v>
      </c>
      <c r="V94" s="64">
        <v>2695.0</v>
      </c>
      <c r="W94" s="64">
        <v>2695.0</v>
      </c>
      <c r="X94" s="76" t="s">
        <v>460</v>
      </c>
      <c r="Y94" s="64" t="s">
        <v>461</v>
      </c>
      <c r="Z94" s="64" t="s">
        <v>462</v>
      </c>
      <c r="AA94" s="64" t="s">
        <v>463</v>
      </c>
      <c r="AB94" s="60" t="s">
        <v>464</v>
      </c>
      <c r="AC94" s="60" t="s">
        <v>451</v>
      </c>
      <c r="AD94" s="64" t="s">
        <v>529</v>
      </c>
      <c r="AE94" s="64" t="s">
        <v>530</v>
      </c>
      <c r="AF94" s="64" t="s">
        <v>530</v>
      </c>
      <c r="AG94" s="64" t="s">
        <v>467</v>
      </c>
      <c r="AH94" s="64" t="s">
        <v>467</v>
      </c>
      <c r="AI94" s="64">
        <v>510.0</v>
      </c>
      <c r="AJ94" s="64">
        <v>21.5</v>
      </c>
      <c r="AK94" s="67">
        <v>10965.0</v>
      </c>
      <c r="AL94" s="63"/>
      <c r="AM94" s="63"/>
      <c r="AN94" s="64">
        <v>21.5</v>
      </c>
      <c r="AO94" s="64" t="s">
        <v>468</v>
      </c>
      <c r="AP94" s="63"/>
      <c r="AQ94" s="63"/>
      <c r="AR94" s="63"/>
      <c r="AS94" s="63"/>
      <c r="AT94" s="63"/>
      <c r="AU94" s="63"/>
      <c r="AV94" s="68"/>
      <c r="AW94" s="58" t="s">
        <v>512</v>
      </c>
      <c r="AX94" s="69">
        <v>10965.0</v>
      </c>
      <c r="AY94" s="70"/>
      <c r="AZ94" s="70"/>
      <c r="BA94" s="70"/>
      <c r="BB94" s="70"/>
      <c r="BC94" s="58" t="s">
        <v>469</v>
      </c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</row>
    <row r="95">
      <c r="A95" s="61">
        <v>45813.0</v>
      </c>
      <c r="B95" s="64" t="s">
        <v>451</v>
      </c>
      <c r="C95" s="61">
        <v>45813.0</v>
      </c>
      <c r="D95" s="61">
        <v>45813.0</v>
      </c>
      <c r="E95" s="60" t="s">
        <v>452</v>
      </c>
      <c r="F95" s="72" t="s">
        <v>758</v>
      </c>
      <c r="G95" s="63"/>
      <c r="H95" s="66" t="s">
        <v>492</v>
      </c>
      <c r="I95" s="66" t="s">
        <v>533</v>
      </c>
      <c r="J95" s="66" t="s">
        <v>486</v>
      </c>
      <c r="K95" s="66" t="s">
        <v>486</v>
      </c>
      <c r="L95" s="66">
        <v>22.0</v>
      </c>
      <c r="M95" s="66">
        <v>22.0</v>
      </c>
      <c r="N95" s="66" t="s">
        <v>457</v>
      </c>
      <c r="O95" s="66">
        <v>24.0</v>
      </c>
      <c r="P95" s="66" t="s">
        <v>759</v>
      </c>
      <c r="Q95" s="64" t="s">
        <v>459</v>
      </c>
      <c r="R95" s="64" t="s">
        <v>459</v>
      </c>
      <c r="S95" s="64">
        <v>80.0</v>
      </c>
      <c r="T95" s="64">
        <v>880.0</v>
      </c>
      <c r="U95" s="64">
        <v>80.0</v>
      </c>
      <c r="V95" s="66">
        <v>880.0</v>
      </c>
      <c r="W95" s="66">
        <v>880.0</v>
      </c>
      <c r="X95" s="79" t="s">
        <v>460</v>
      </c>
      <c r="Y95" s="64" t="s">
        <v>461</v>
      </c>
      <c r="Z95" s="64" t="s">
        <v>462</v>
      </c>
      <c r="AA95" s="64" t="s">
        <v>463</v>
      </c>
      <c r="AB95" s="60" t="s">
        <v>464</v>
      </c>
      <c r="AC95" s="60" t="s">
        <v>451</v>
      </c>
      <c r="AD95" s="66" t="s">
        <v>529</v>
      </c>
      <c r="AE95" s="66" t="s">
        <v>535</v>
      </c>
      <c r="AF95" s="66" t="s">
        <v>535</v>
      </c>
      <c r="AG95" s="64" t="s">
        <v>467</v>
      </c>
      <c r="AH95" s="64" t="s">
        <v>467</v>
      </c>
      <c r="AI95" s="66">
        <v>510.0</v>
      </c>
      <c r="AJ95" s="66">
        <v>23.5</v>
      </c>
      <c r="AK95" s="84">
        <v>11985.0</v>
      </c>
      <c r="AL95" s="63"/>
      <c r="AM95" s="63"/>
      <c r="AN95" s="64">
        <v>23.5</v>
      </c>
      <c r="AO95" s="64" t="s">
        <v>468</v>
      </c>
      <c r="AP95" s="63"/>
      <c r="AQ95" s="63"/>
      <c r="AR95" s="63"/>
      <c r="AS95" s="63"/>
      <c r="AT95" s="63"/>
      <c r="AU95" s="63"/>
      <c r="AV95" s="68"/>
      <c r="AW95" s="58" t="s">
        <v>512</v>
      </c>
      <c r="AX95" s="69">
        <v>11985.0</v>
      </c>
      <c r="AY95" s="70"/>
      <c r="AZ95" s="70"/>
      <c r="BA95" s="70"/>
      <c r="BB95" s="70"/>
      <c r="BC95" s="58" t="s">
        <v>469</v>
      </c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</row>
    <row r="96">
      <c r="A96" s="59">
        <v>45813.0</v>
      </c>
      <c r="B96" s="66" t="s">
        <v>451</v>
      </c>
      <c r="C96" s="61">
        <v>45813.0</v>
      </c>
      <c r="D96" s="61">
        <v>45813.0</v>
      </c>
      <c r="E96" s="60" t="s">
        <v>452</v>
      </c>
      <c r="F96" s="71" t="s">
        <v>760</v>
      </c>
      <c r="G96" s="77"/>
      <c r="H96" s="64" t="s">
        <v>538</v>
      </c>
      <c r="I96" s="64" t="s">
        <v>539</v>
      </c>
      <c r="J96" s="64" t="s">
        <v>456</v>
      </c>
      <c r="K96" s="64" t="s">
        <v>456</v>
      </c>
      <c r="L96" s="64">
        <v>32.0</v>
      </c>
      <c r="M96" s="64">
        <v>32.0</v>
      </c>
      <c r="N96" s="64" t="s">
        <v>540</v>
      </c>
      <c r="O96" s="64">
        <v>24.0</v>
      </c>
      <c r="P96" s="64" t="s">
        <v>761</v>
      </c>
      <c r="Q96" s="66" t="s">
        <v>459</v>
      </c>
      <c r="R96" s="66" t="s">
        <v>459</v>
      </c>
      <c r="S96" s="66">
        <v>192.0</v>
      </c>
      <c r="T96" s="66">
        <v>2112.0</v>
      </c>
      <c r="U96" s="66">
        <v>192.0</v>
      </c>
      <c r="V96" s="64">
        <v>2112.0</v>
      </c>
      <c r="W96" s="64">
        <v>2112.0</v>
      </c>
      <c r="X96" s="76" t="s">
        <v>460</v>
      </c>
      <c r="Y96" s="64" t="s">
        <v>461</v>
      </c>
      <c r="Z96" s="64" t="s">
        <v>462</v>
      </c>
      <c r="AA96" s="64" t="s">
        <v>463</v>
      </c>
      <c r="AB96" s="60" t="s">
        <v>464</v>
      </c>
      <c r="AC96" s="60" t="s">
        <v>451</v>
      </c>
      <c r="AD96" s="64" t="s">
        <v>541</v>
      </c>
      <c r="AE96" s="64" t="s">
        <v>490</v>
      </c>
      <c r="AF96" s="64" t="s">
        <v>490</v>
      </c>
      <c r="AG96" s="64" t="s">
        <v>467</v>
      </c>
      <c r="AH96" s="64" t="s">
        <v>467</v>
      </c>
      <c r="AI96" s="64">
        <v>325.0</v>
      </c>
      <c r="AJ96" s="64">
        <v>28.4</v>
      </c>
      <c r="AK96" s="67">
        <v>9213.75</v>
      </c>
      <c r="AL96" s="63"/>
      <c r="AM96" s="63"/>
      <c r="AN96" s="64">
        <v>28.35</v>
      </c>
      <c r="AO96" s="64" t="s">
        <v>468</v>
      </c>
      <c r="AP96" s="63"/>
      <c r="AQ96" s="63"/>
      <c r="AR96" s="63"/>
      <c r="AS96" s="63"/>
      <c r="AT96" s="63"/>
      <c r="AU96" s="63"/>
      <c r="AV96" s="68"/>
      <c r="AW96" s="58" t="s">
        <v>512</v>
      </c>
      <c r="AX96" s="69">
        <v>9213.75</v>
      </c>
      <c r="AY96" s="70"/>
      <c r="AZ96" s="70"/>
      <c r="BA96" s="70"/>
      <c r="BB96" s="70"/>
      <c r="BC96" s="58" t="s">
        <v>469</v>
      </c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</row>
    <row r="97">
      <c r="A97" s="59">
        <v>45813.0</v>
      </c>
      <c r="B97" s="64" t="s">
        <v>451</v>
      </c>
      <c r="C97" s="61">
        <v>45813.0</v>
      </c>
      <c r="D97" s="61">
        <v>45813.0</v>
      </c>
      <c r="E97" s="60" t="s">
        <v>452</v>
      </c>
      <c r="F97" s="72" t="s">
        <v>762</v>
      </c>
      <c r="G97" s="63"/>
      <c r="H97" s="66" t="s">
        <v>498</v>
      </c>
      <c r="I97" s="66" t="s">
        <v>549</v>
      </c>
      <c r="J97" s="66" t="s">
        <v>456</v>
      </c>
      <c r="K97" s="66" t="s">
        <v>456</v>
      </c>
      <c r="L97" s="66">
        <v>22.0</v>
      </c>
      <c r="M97" s="66">
        <v>22.0</v>
      </c>
      <c r="N97" s="66" t="s">
        <v>457</v>
      </c>
      <c r="O97" s="66">
        <v>24.0</v>
      </c>
      <c r="P97" s="66" t="s">
        <v>763</v>
      </c>
      <c r="Q97" s="64" t="s">
        <v>459</v>
      </c>
      <c r="R97" s="64" t="s">
        <v>459</v>
      </c>
      <c r="S97" s="64">
        <v>200.0</v>
      </c>
      <c r="T97" s="64">
        <v>2200.0</v>
      </c>
      <c r="U97" s="64">
        <v>200.0</v>
      </c>
      <c r="V97" s="66">
        <v>2200.0</v>
      </c>
      <c r="W97" s="66">
        <v>2200.0</v>
      </c>
      <c r="X97" s="79" t="s">
        <v>460</v>
      </c>
      <c r="Y97" s="64" t="s">
        <v>461</v>
      </c>
      <c r="Z97" s="64" t="s">
        <v>462</v>
      </c>
      <c r="AA97" s="64" t="s">
        <v>463</v>
      </c>
      <c r="AB97" s="60" t="s">
        <v>464</v>
      </c>
      <c r="AC97" s="60" t="s">
        <v>451</v>
      </c>
      <c r="AD97" s="66" t="s">
        <v>544</v>
      </c>
      <c r="AE97" s="66" t="s">
        <v>545</v>
      </c>
      <c r="AF97" s="66" t="s">
        <v>546</v>
      </c>
      <c r="AG97" s="64" t="s">
        <v>467</v>
      </c>
      <c r="AH97" s="64" t="s">
        <v>467</v>
      </c>
      <c r="AI97" s="66">
        <v>440.0</v>
      </c>
      <c r="AJ97" s="66">
        <v>21.5</v>
      </c>
      <c r="AK97" s="84">
        <v>9460.0</v>
      </c>
      <c r="AL97" s="63"/>
      <c r="AM97" s="63"/>
      <c r="AN97" s="64">
        <v>21.5</v>
      </c>
      <c r="AO97" s="60" t="s">
        <v>468</v>
      </c>
      <c r="AP97" s="63"/>
      <c r="AQ97" s="63"/>
      <c r="AR97" s="63"/>
      <c r="AS97" s="63"/>
      <c r="AT97" s="63"/>
      <c r="AU97" s="63"/>
      <c r="AV97" s="63"/>
      <c r="AW97" s="58" t="s">
        <v>512</v>
      </c>
      <c r="AX97" s="69">
        <v>9460.0</v>
      </c>
      <c r="AY97" s="70"/>
      <c r="AZ97" s="70"/>
      <c r="BA97" s="70"/>
      <c r="BB97" s="70"/>
      <c r="BC97" s="58" t="s">
        <v>469</v>
      </c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</row>
    <row r="98">
      <c r="A98" s="59">
        <v>45813.0</v>
      </c>
      <c r="B98" s="66" t="s">
        <v>451</v>
      </c>
      <c r="C98" s="61">
        <v>45813.0</v>
      </c>
      <c r="D98" s="61">
        <v>45813.0</v>
      </c>
      <c r="E98" s="60" t="s">
        <v>452</v>
      </c>
      <c r="F98" s="71" t="s">
        <v>764</v>
      </c>
      <c r="G98" s="77"/>
      <c r="H98" s="64" t="s">
        <v>498</v>
      </c>
      <c r="I98" s="64" t="s">
        <v>691</v>
      </c>
      <c r="J98" s="64" t="s">
        <v>456</v>
      </c>
      <c r="K98" s="64" t="s">
        <v>456</v>
      </c>
      <c r="L98" s="64">
        <v>22.0</v>
      </c>
      <c r="M98" s="64">
        <v>22.0</v>
      </c>
      <c r="N98" s="64" t="s">
        <v>457</v>
      </c>
      <c r="O98" s="64">
        <v>24.0</v>
      </c>
      <c r="P98" s="75">
        <v>2.42E8</v>
      </c>
      <c r="Q98" s="66" t="s">
        <v>459</v>
      </c>
      <c r="R98" s="66" t="s">
        <v>459</v>
      </c>
      <c r="S98" s="66">
        <v>214.0</v>
      </c>
      <c r="T98" s="66">
        <v>2354.0</v>
      </c>
      <c r="U98" s="66">
        <v>214.0</v>
      </c>
      <c r="V98" s="64">
        <v>2354.0</v>
      </c>
      <c r="W98" s="64">
        <v>2354.0</v>
      </c>
      <c r="X98" s="76" t="s">
        <v>460</v>
      </c>
      <c r="Y98" s="64" t="s">
        <v>461</v>
      </c>
      <c r="Z98" s="64" t="s">
        <v>462</v>
      </c>
      <c r="AA98" s="64" t="s">
        <v>463</v>
      </c>
      <c r="AB98" s="60" t="s">
        <v>464</v>
      </c>
      <c r="AC98" s="60" t="s">
        <v>451</v>
      </c>
      <c r="AD98" s="64" t="s">
        <v>765</v>
      </c>
      <c r="AE98" s="64" t="s">
        <v>660</v>
      </c>
      <c r="AF98" s="64" t="s">
        <v>660</v>
      </c>
      <c r="AG98" s="64" t="s">
        <v>467</v>
      </c>
      <c r="AH98" s="64" t="s">
        <v>467</v>
      </c>
      <c r="AI98" s="64">
        <v>330.0</v>
      </c>
      <c r="AJ98" s="64">
        <v>21.5</v>
      </c>
      <c r="AK98" s="67">
        <v>7095.0</v>
      </c>
      <c r="AL98" s="63"/>
      <c r="AM98" s="63"/>
      <c r="AN98" s="64">
        <v>21.5</v>
      </c>
      <c r="AO98" s="64" t="s">
        <v>468</v>
      </c>
      <c r="AP98" s="63"/>
      <c r="AQ98" s="63"/>
      <c r="AR98" s="63"/>
      <c r="AS98" s="63"/>
      <c r="AT98" s="63"/>
      <c r="AU98" s="63"/>
      <c r="AV98" s="63"/>
      <c r="AW98" s="58" t="s">
        <v>512</v>
      </c>
      <c r="AX98" s="69">
        <v>7095.0</v>
      </c>
      <c r="AY98" s="70"/>
      <c r="AZ98" s="70"/>
      <c r="BA98" s="70"/>
      <c r="BB98" s="70"/>
      <c r="BC98" s="58" t="s">
        <v>469</v>
      </c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</row>
    <row r="99">
      <c r="A99" s="59">
        <v>45813.0</v>
      </c>
      <c r="B99" s="64" t="s">
        <v>451</v>
      </c>
      <c r="C99" s="61">
        <v>45813.0</v>
      </c>
      <c r="D99" s="61">
        <v>45813.0</v>
      </c>
      <c r="E99" s="60" t="s">
        <v>452</v>
      </c>
      <c r="F99" s="72" t="s">
        <v>766</v>
      </c>
      <c r="G99" s="63"/>
      <c r="H99" s="66" t="s">
        <v>521</v>
      </c>
      <c r="I99" s="66" t="s">
        <v>676</v>
      </c>
      <c r="J99" s="66" t="s">
        <v>486</v>
      </c>
      <c r="K99" s="64" t="s">
        <v>486</v>
      </c>
      <c r="L99" s="66">
        <v>22.0</v>
      </c>
      <c r="M99" s="66">
        <v>22.0</v>
      </c>
      <c r="N99" s="66" t="s">
        <v>457</v>
      </c>
      <c r="O99" s="66">
        <v>24.0</v>
      </c>
      <c r="P99" s="64" t="s">
        <v>767</v>
      </c>
      <c r="Q99" s="64" t="s">
        <v>459</v>
      </c>
      <c r="R99" s="64" t="s">
        <v>459</v>
      </c>
      <c r="S99" s="64">
        <v>322.0</v>
      </c>
      <c r="T99" s="64">
        <v>3542.0</v>
      </c>
      <c r="U99" s="64">
        <v>322.0</v>
      </c>
      <c r="V99" s="64">
        <v>3542.0</v>
      </c>
      <c r="W99" s="64">
        <v>3542.0</v>
      </c>
      <c r="X99" s="76" t="s">
        <v>460</v>
      </c>
      <c r="Y99" s="64" t="s">
        <v>461</v>
      </c>
      <c r="Z99" s="64" t="s">
        <v>462</v>
      </c>
      <c r="AA99" s="64" t="s">
        <v>463</v>
      </c>
      <c r="AB99" s="60" t="s">
        <v>464</v>
      </c>
      <c r="AC99" s="60" t="s">
        <v>451</v>
      </c>
      <c r="AD99" s="66" t="s">
        <v>678</v>
      </c>
      <c r="AE99" s="66" t="s">
        <v>643</v>
      </c>
      <c r="AF99" s="66" t="s">
        <v>643</v>
      </c>
      <c r="AG99" s="64" t="s">
        <v>467</v>
      </c>
      <c r="AH99" s="64" t="s">
        <v>467</v>
      </c>
      <c r="AI99" s="64">
        <v>805.0</v>
      </c>
      <c r="AJ99" s="64">
        <v>23.5</v>
      </c>
      <c r="AK99" s="67">
        <v>18917.5</v>
      </c>
      <c r="AL99" s="63"/>
      <c r="AM99" s="63"/>
      <c r="AN99" s="64">
        <v>23.5</v>
      </c>
      <c r="AO99" s="66" t="s">
        <v>468</v>
      </c>
      <c r="AP99" s="63"/>
      <c r="AQ99" s="63"/>
      <c r="AR99" s="63"/>
      <c r="AS99" s="63"/>
      <c r="AT99" s="63"/>
      <c r="AU99" s="63"/>
      <c r="AV99" s="68"/>
      <c r="AW99" s="58" t="s">
        <v>512</v>
      </c>
      <c r="AX99" s="69">
        <v>18917.5</v>
      </c>
      <c r="AY99" s="70"/>
      <c r="AZ99" s="70"/>
      <c r="BA99" s="70"/>
      <c r="BB99" s="70"/>
      <c r="BC99" s="58" t="s">
        <v>469</v>
      </c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</row>
    <row r="100">
      <c r="A100" s="59">
        <v>45813.0</v>
      </c>
      <c r="B100" s="66" t="s">
        <v>451</v>
      </c>
      <c r="C100" s="61">
        <v>45813.0</v>
      </c>
      <c r="D100" s="61">
        <v>45813.0</v>
      </c>
      <c r="E100" s="60" t="s">
        <v>452</v>
      </c>
      <c r="F100" s="71" t="s">
        <v>768</v>
      </c>
      <c r="G100" s="77"/>
      <c r="H100" s="64" t="s">
        <v>521</v>
      </c>
      <c r="I100" s="64" t="s">
        <v>769</v>
      </c>
      <c r="J100" s="64" t="s">
        <v>456</v>
      </c>
      <c r="K100" s="64" t="s">
        <v>456</v>
      </c>
      <c r="L100" s="66">
        <v>22.0</v>
      </c>
      <c r="M100" s="66">
        <v>22.0</v>
      </c>
      <c r="N100" s="66" t="s">
        <v>457</v>
      </c>
      <c r="O100" s="66">
        <v>24.0</v>
      </c>
      <c r="P100" s="75">
        <v>2.42E8</v>
      </c>
      <c r="Q100" s="64" t="s">
        <v>459</v>
      </c>
      <c r="R100" s="64" t="s">
        <v>459</v>
      </c>
      <c r="S100" s="64">
        <v>151.0</v>
      </c>
      <c r="T100" s="64">
        <v>1661.0</v>
      </c>
      <c r="U100" s="64">
        <v>151.0</v>
      </c>
      <c r="V100" s="64">
        <v>1661.0</v>
      </c>
      <c r="W100" s="64">
        <v>1661.0</v>
      </c>
      <c r="X100" s="76" t="s">
        <v>460</v>
      </c>
      <c r="Y100" s="64" t="s">
        <v>461</v>
      </c>
      <c r="Z100" s="64" t="s">
        <v>462</v>
      </c>
      <c r="AA100" s="64" t="s">
        <v>463</v>
      </c>
      <c r="AB100" s="60" t="s">
        <v>464</v>
      </c>
      <c r="AC100" s="60" t="s">
        <v>451</v>
      </c>
      <c r="AD100" s="66" t="s">
        <v>557</v>
      </c>
      <c r="AE100" s="64" t="s">
        <v>525</v>
      </c>
      <c r="AF100" s="64" t="s">
        <v>525</v>
      </c>
      <c r="AG100" s="64" t="s">
        <v>467</v>
      </c>
      <c r="AH100" s="64" t="s">
        <v>467</v>
      </c>
      <c r="AI100" s="66">
        <v>800.0</v>
      </c>
      <c r="AJ100" s="64">
        <v>21.5</v>
      </c>
      <c r="AK100" s="67">
        <v>17200.0</v>
      </c>
      <c r="AL100" s="63"/>
      <c r="AM100" s="63"/>
      <c r="AN100" s="64">
        <v>21.5</v>
      </c>
      <c r="AO100" s="66" t="s">
        <v>468</v>
      </c>
      <c r="AP100" s="63"/>
      <c r="AQ100" s="63"/>
      <c r="AR100" s="63"/>
      <c r="AS100" s="63"/>
      <c r="AT100" s="63"/>
      <c r="AU100" s="63"/>
      <c r="AV100" s="68"/>
      <c r="AW100" s="58" t="s">
        <v>512</v>
      </c>
      <c r="AX100" s="69">
        <v>17200.0</v>
      </c>
      <c r="AY100" s="70"/>
      <c r="AZ100" s="70"/>
      <c r="BA100" s="70"/>
      <c r="BB100" s="70"/>
      <c r="BC100" s="58" t="s">
        <v>469</v>
      </c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</row>
    <row r="101">
      <c r="A101" s="59">
        <v>45813.0</v>
      </c>
      <c r="B101" s="64" t="s">
        <v>451</v>
      </c>
      <c r="C101" s="61">
        <v>45813.0</v>
      </c>
      <c r="D101" s="61">
        <v>45813.0</v>
      </c>
      <c r="E101" s="60" t="s">
        <v>452</v>
      </c>
      <c r="F101" s="72" t="s">
        <v>770</v>
      </c>
      <c r="G101" s="63"/>
      <c r="H101" s="66" t="s">
        <v>771</v>
      </c>
      <c r="I101" s="66" t="s">
        <v>772</v>
      </c>
      <c r="J101" s="66" t="s">
        <v>456</v>
      </c>
      <c r="K101" s="66" t="s">
        <v>456</v>
      </c>
      <c r="L101" s="66">
        <v>22.0</v>
      </c>
      <c r="M101" s="66">
        <v>22.0</v>
      </c>
      <c r="N101" s="66" t="s">
        <v>457</v>
      </c>
      <c r="O101" s="66">
        <v>24.0</v>
      </c>
      <c r="P101" s="66" t="s">
        <v>773</v>
      </c>
      <c r="Q101" s="64" t="s">
        <v>459</v>
      </c>
      <c r="R101" s="64" t="s">
        <v>459</v>
      </c>
      <c r="S101" s="64">
        <v>295.0</v>
      </c>
      <c r="T101" s="64">
        <v>3245.0</v>
      </c>
      <c r="U101" s="64">
        <v>295.0</v>
      </c>
      <c r="V101" s="66">
        <v>3245.0</v>
      </c>
      <c r="W101" s="66">
        <v>3245.0</v>
      </c>
      <c r="X101" s="79" t="s">
        <v>460</v>
      </c>
      <c r="Y101" s="64" t="s">
        <v>461</v>
      </c>
      <c r="Z101" s="64" t="s">
        <v>462</v>
      </c>
      <c r="AA101" s="64" t="s">
        <v>463</v>
      </c>
      <c r="AB101" s="60" t="s">
        <v>464</v>
      </c>
      <c r="AC101" s="60" t="s">
        <v>451</v>
      </c>
      <c r="AD101" s="66" t="s">
        <v>561</v>
      </c>
      <c r="AE101" s="66" t="s">
        <v>562</v>
      </c>
      <c r="AF101" s="66" t="s">
        <v>562</v>
      </c>
      <c r="AG101" s="64" t="s">
        <v>467</v>
      </c>
      <c r="AH101" s="64" t="s">
        <v>467</v>
      </c>
      <c r="AI101" s="66">
        <v>325.0</v>
      </c>
      <c r="AJ101" s="66">
        <v>21.5</v>
      </c>
      <c r="AK101" s="84">
        <v>6987.5</v>
      </c>
      <c r="AL101" s="63"/>
      <c r="AM101" s="63"/>
      <c r="AN101" s="64">
        <v>21.5</v>
      </c>
      <c r="AO101" s="64" t="s">
        <v>468</v>
      </c>
      <c r="AP101" s="63"/>
      <c r="AQ101" s="63"/>
      <c r="AR101" s="63"/>
      <c r="AS101" s="63"/>
      <c r="AT101" s="63"/>
      <c r="AU101" s="63"/>
      <c r="AV101" s="63"/>
      <c r="AW101" s="58" t="s">
        <v>512</v>
      </c>
      <c r="AX101" s="69">
        <v>6987.5</v>
      </c>
      <c r="AY101" s="70"/>
      <c r="AZ101" s="70"/>
      <c r="BA101" s="70"/>
      <c r="BB101" s="70"/>
      <c r="BC101" s="58" t="s">
        <v>469</v>
      </c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</row>
    <row r="102">
      <c r="A102" s="59">
        <v>45813.0</v>
      </c>
      <c r="B102" s="66" t="s">
        <v>451</v>
      </c>
      <c r="C102" s="61">
        <v>45813.0</v>
      </c>
      <c r="D102" s="61">
        <v>45813.0</v>
      </c>
      <c r="E102" s="60" t="s">
        <v>452</v>
      </c>
      <c r="F102" s="71" t="s">
        <v>774</v>
      </c>
      <c r="G102" s="77"/>
      <c r="H102" s="64" t="s">
        <v>771</v>
      </c>
      <c r="I102" s="64" t="s">
        <v>775</v>
      </c>
      <c r="J102" s="64" t="s">
        <v>456</v>
      </c>
      <c r="K102" s="64" t="s">
        <v>456</v>
      </c>
      <c r="L102" s="64">
        <v>22.0</v>
      </c>
      <c r="M102" s="64">
        <v>22.0</v>
      </c>
      <c r="N102" s="64" t="s">
        <v>457</v>
      </c>
      <c r="O102" s="64">
        <v>24.0</v>
      </c>
      <c r="P102" s="75">
        <v>2.42E8</v>
      </c>
      <c r="Q102" s="66" t="s">
        <v>459</v>
      </c>
      <c r="R102" s="66" t="s">
        <v>459</v>
      </c>
      <c r="S102" s="66">
        <v>246.0</v>
      </c>
      <c r="T102" s="66">
        <v>2706.0</v>
      </c>
      <c r="U102" s="66">
        <v>246.0</v>
      </c>
      <c r="V102" s="64">
        <v>2706.0</v>
      </c>
      <c r="W102" s="64">
        <v>2706.0</v>
      </c>
      <c r="X102" s="76" t="s">
        <v>460</v>
      </c>
      <c r="Y102" s="64" t="s">
        <v>461</v>
      </c>
      <c r="Z102" s="64" t="s">
        <v>462</v>
      </c>
      <c r="AA102" s="64" t="s">
        <v>463</v>
      </c>
      <c r="AB102" s="60" t="s">
        <v>464</v>
      </c>
      <c r="AC102" s="60" t="s">
        <v>451</v>
      </c>
      <c r="AD102" s="64" t="s">
        <v>566</v>
      </c>
      <c r="AE102" s="64" t="s">
        <v>567</v>
      </c>
      <c r="AF102" s="64" t="s">
        <v>567</v>
      </c>
      <c r="AG102" s="64" t="s">
        <v>467</v>
      </c>
      <c r="AH102" s="64" t="s">
        <v>467</v>
      </c>
      <c r="AI102" s="64">
        <v>475.0</v>
      </c>
      <c r="AJ102" s="64">
        <v>21.5</v>
      </c>
      <c r="AK102" s="67">
        <v>10212.5</v>
      </c>
      <c r="AL102" s="63"/>
      <c r="AM102" s="63"/>
      <c r="AN102" s="64">
        <v>21.5</v>
      </c>
      <c r="AO102" s="64" t="s">
        <v>468</v>
      </c>
      <c r="AP102" s="63"/>
      <c r="AQ102" s="63"/>
      <c r="AR102" s="63"/>
      <c r="AS102" s="63"/>
      <c r="AT102" s="63"/>
      <c r="AU102" s="63"/>
      <c r="AV102" s="63"/>
      <c r="AW102" s="58" t="s">
        <v>512</v>
      </c>
      <c r="AX102" s="69">
        <v>10212.5</v>
      </c>
      <c r="AY102" s="70"/>
      <c r="AZ102" s="70"/>
      <c r="BA102" s="70"/>
      <c r="BB102" s="70"/>
      <c r="BC102" s="58" t="s">
        <v>469</v>
      </c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</row>
    <row r="103">
      <c r="A103" s="59">
        <v>45813.0</v>
      </c>
      <c r="B103" s="64" t="s">
        <v>451</v>
      </c>
      <c r="C103" s="61">
        <v>45813.0</v>
      </c>
      <c r="D103" s="61">
        <v>45813.0</v>
      </c>
      <c r="E103" s="60" t="s">
        <v>452</v>
      </c>
      <c r="F103" s="72" t="s">
        <v>776</v>
      </c>
      <c r="G103" s="63"/>
      <c r="H103" s="66" t="s">
        <v>492</v>
      </c>
      <c r="I103" s="66" t="s">
        <v>569</v>
      </c>
      <c r="J103" s="66" t="s">
        <v>456</v>
      </c>
      <c r="K103" s="66" t="s">
        <v>456</v>
      </c>
      <c r="L103" s="66">
        <v>22.0</v>
      </c>
      <c r="M103" s="66">
        <v>22.0</v>
      </c>
      <c r="N103" s="66" t="s">
        <v>457</v>
      </c>
      <c r="O103" s="66">
        <v>24.0</v>
      </c>
      <c r="P103" s="66" t="s">
        <v>777</v>
      </c>
      <c r="Q103" s="64" t="s">
        <v>459</v>
      </c>
      <c r="R103" s="64" t="s">
        <v>459</v>
      </c>
      <c r="S103" s="64">
        <v>245.0</v>
      </c>
      <c r="T103" s="64">
        <v>2695.0</v>
      </c>
      <c r="U103" s="64">
        <v>245.0</v>
      </c>
      <c r="V103" s="66">
        <v>2695.0</v>
      </c>
      <c r="W103" s="66">
        <v>2695.0</v>
      </c>
      <c r="X103" s="79" t="s">
        <v>460</v>
      </c>
      <c r="Y103" s="64" t="s">
        <v>461</v>
      </c>
      <c r="Z103" s="64" t="s">
        <v>462</v>
      </c>
      <c r="AA103" s="64" t="s">
        <v>463</v>
      </c>
      <c r="AB103" s="60" t="s">
        <v>464</v>
      </c>
      <c r="AC103" s="60" t="s">
        <v>451</v>
      </c>
      <c r="AD103" s="66" t="s">
        <v>571</v>
      </c>
      <c r="AE103" s="66" t="s">
        <v>572</v>
      </c>
      <c r="AF103" s="66" t="s">
        <v>572</v>
      </c>
      <c r="AG103" s="64" t="s">
        <v>467</v>
      </c>
      <c r="AH103" s="64" t="s">
        <v>467</v>
      </c>
      <c r="AI103" s="66">
        <v>655.0</v>
      </c>
      <c r="AJ103" s="66">
        <v>21.5</v>
      </c>
      <c r="AK103" s="84">
        <v>14082.5</v>
      </c>
      <c r="AL103" s="63"/>
      <c r="AM103" s="63"/>
      <c r="AN103" s="64">
        <v>21.5</v>
      </c>
      <c r="AO103" s="60" t="s">
        <v>468</v>
      </c>
      <c r="AP103" s="63"/>
      <c r="AQ103" s="63"/>
      <c r="AR103" s="63"/>
      <c r="AS103" s="63"/>
      <c r="AT103" s="63"/>
      <c r="AU103" s="63"/>
      <c r="AV103" s="68"/>
      <c r="AW103" s="58" t="s">
        <v>512</v>
      </c>
      <c r="AX103" s="69">
        <v>14082.5</v>
      </c>
      <c r="AY103" s="70"/>
      <c r="AZ103" s="70"/>
      <c r="BA103" s="70"/>
      <c r="BB103" s="70"/>
      <c r="BC103" s="58" t="s">
        <v>469</v>
      </c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</row>
    <row r="104">
      <c r="A104" s="59">
        <v>45813.0</v>
      </c>
      <c r="B104" s="66" t="s">
        <v>451</v>
      </c>
      <c r="C104" s="61">
        <v>45813.0</v>
      </c>
      <c r="D104" s="61">
        <v>45813.0</v>
      </c>
      <c r="E104" s="60" t="s">
        <v>452</v>
      </c>
      <c r="F104" s="71" t="s">
        <v>778</v>
      </c>
      <c r="G104" s="77"/>
      <c r="H104" s="64" t="s">
        <v>472</v>
      </c>
      <c r="I104" s="64" t="s">
        <v>779</v>
      </c>
      <c r="J104" s="64" t="s">
        <v>456</v>
      </c>
      <c r="K104" s="64" t="s">
        <v>456</v>
      </c>
      <c r="L104" s="64">
        <v>22.0</v>
      </c>
      <c r="M104" s="64">
        <v>22.0</v>
      </c>
      <c r="N104" s="64" t="s">
        <v>457</v>
      </c>
      <c r="O104" s="64">
        <v>24.0</v>
      </c>
      <c r="P104" s="75">
        <v>2.42E8</v>
      </c>
      <c r="Q104" s="66" t="s">
        <v>459</v>
      </c>
      <c r="R104" s="66" t="s">
        <v>459</v>
      </c>
      <c r="S104" s="66">
        <v>247.0</v>
      </c>
      <c r="T104" s="66">
        <v>2717.0</v>
      </c>
      <c r="U104" s="66">
        <v>247.0</v>
      </c>
      <c r="V104" s="64">
        <v>2717.0</v>
      </c>
      <c r="W104" s="64">
        <v>2717.0</v>
      </c>
      <c r="X104" s="76" t="s">
        <v>460</v>
      </c>
      <c r="Y104" s="64" t="s">
        <v>461</v>
      </c>
      <c r="Z104" s="64" t="s">
        <v>462</v>
      </c>
      <c r="AA104" s="64" t="s">
        <v>463</v>
      </c>
      <c r="AB104" s="60" t="s">
        <v>464</v>
      </c>
      <c r="AC104" s="60" t="s">
        <v>451</v>
      </c>
      <c r="AD104" s="64" t="s">
        <v>577</v>
      </c>
      <c r="AE104" s="64" t="s">
        <v>578</v>
      </c>
      <c r="AF104" s="64" t="s">
        <v>578</v>
      </c>
      <c r="AG104" s="64" t="s">
        <v>467</v>
      </c>
      <c r="AH104" s="64" t="s">
        <v>467</v>
      </c>
      <c r="AI104" s="64">
        <v>396.0</v>
      </c>
      <c r="AJ104" s="64">
        <v>21.5</v>
      </c>
      <c r="AK104" s="67">
        <v>8514.0</v>
      </c>
      <c r="AL104" s="63"/>
      <c r="AM104" s="63"/>
      <c r="AN104" s="64">
        <v>21.5</v>
      </c>
      <c r="AO104" s="64" t="s">
        <v>468</v>
      </c>
      <c r="AP104" s="63"/>
      <c r="AQ104" s="63"/>
      <c r="AR104" s="63"/>
      <c r="AS104" s="63"/>
      <c r="AT104" s="63"/>
      <c r="AU104" s="63"/>
      <c r="AV104" s="63"/>
      <c r="AW104" s="58" t="s">
        <v>512</v>
      </c>
      <c r="AX104" s="69">
        <v>8514.0</v>
      </c>
      <c r="AY104" s="70"/>
      <c r="AZ104" s="70"/>
      <c r="BA104" s="70"/>
      <c r="BB104" s="70"/>
      <c r="BC104" s="58" t="s">
        <v>469</v>
      </c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</row>
    <row r="105">
      <c r="A105" s="59">
        <v>45813.0</v>
      </c>
      <c r="B105" s="64" t="s">
        <v>451</v>
      </c>
      <c r="C105" s="61">
        <v>45813.0</v>
      </c>
      <c r="D105" s="61">
        <v>45813.0</v>
      </c>
      <c r="E105" s="60" t="s">
        <v>452</v>
      </c>
      <c r="F105" s="72" t="s">
        <v>780</v>
      </c>
      <c r="G105" s="63"/>
      <c r="H105" s="66" t="s">
        <v>472</v>
      </c>
      <c r="I105" s="66" t="s">
        <v>636</v>
      </c>
      <c r="J105" s="66" t="s">
        <v>456</v>
      </c>
      <c r="K105" s="66" t="s">
        <v>456</v>
      </c>
      <c r="L105" s="66">
        <v>22.0</v>
      </c>
      <c r="M105" s="66">
        <v>22.0</v>
      </c>
      <c r="N105" s="66" t="s">
        <v>457</v>
      </c>
      <c r="O105" s="66">
        <v>24.0</v>
      </c>
      <c r="P105" s="66" t="s">
        <v>781</v>
      </c>
      <c r="Q105" s="64" t="s">
        <v>459</v>
      </c>
      <c r="R105" s="64" t="s">
        <v>459</v>
      </c>
      <c r="S105" s="64">
        <v>152.0</v>
      </c>
      <c r="T105" s="64">
        <v>1672.0</v>
      </c>
      <c r="U105" s="64">
        <v>152.0</v>
      </c>
      <c r="V105" s="66">
        <v>1672.0</v>
      </c>
      <c r="W105" s="66">
        <v>1672.0</v>
      </c>
      <c r="X105" s="79" t="s">
        <v>460</v>
      </c>
      <c r="Y105" s="64" t="s">
        <v>461</v>
      </c>
      <c r="Z105" s="64" t="s">
        <v>462</v>
      </c>
      <c r="AA105" s="64" t="s">
        <v>463</v>
      </c>
      <c r="AB105" s="60" t="s">
        <v>464</v>
      </c>
      <c r="AC105" s="60" t="s">
        <v>451</v>
      </c>
      <c r="AD105" s="66" t="s">
        <v>638</v>
      </c>
      <c r="AE105" s="66" t="s">
        <v>531</v>
      </c>
      <c r="AF105" s="66" t="s">
        <v>531</v>
      </c>
      <c r="AG105" s="64" t="s">
        <v>467</v>
      </c>
      <c r="AH105" s="64" t="s">
        <v>467</v>
      </c>
      <c r="AI105" s="66">
        <v>510.0</v>
      </c>
      <c r="AJ105" s="66">
        <v>21.5</v>
      </c>
      <c r="AK105" s="84">
        <v>10965.0</v>
      </c>
      <c r="AL105" s="63"/>
      <c r="AM105" s="63"/>
      <c r="AN105" s="64">
        <v>21.5</v>
      </c>
      <c r="AO105" s="64" t="s">
        <v>468</v>
      </c>
      <c r="AP105" s="63"/>
      <c r="AQ105" s="63"/>
      <c r="AR105" s="63"/>
      <c r="AS105" s="63"/>
      <c r="AT105" s="63"/>
      <c r="AU105" s="63"/>
      <c r="AV105" s="68"/>
      <c r="AW105" s="58" t="s">
        <v>512</v>
      </c>
      <c r="AX105" s="69">
        <v>10965.0</v>
      </c>
      <c r="AY105" s="70"/>
      <c r="AZ105" s="70"/>
      <c r="BA105" s="70"/>
      <c r="BB105" s="70"/>
      <c r="BC105" s="58" t="s">
        <v>469</v>
      </c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</row>
    <row r="106">
      <c r="A106" s="59">
        <v>45813.0</v>
      </c>
      <c r="B106" s="66" t="s">
        <v>451</v>
      </c>
      <c r="C106" s="61">
        <v>45813.0</v>
      </c>
      <c r="D106" s="61">
        <v>45813.0</v>
      </c>
      <c r="E106" s="60" t="s">
        <v>452</v>
      </c>
      <c r="F106" s="71" t="s">
        <v>782</v>
      </c>
      <c r="G106" s="77"/>
      <c r="H106" s="64" t="s">
        <v>472</v>
      </c>
      <c r="I106" s="64" t="s">
        <v>632</v>
      </c>
      <c r="J106" s="64" t="s">
        <v>456</v>
      </c>
      <c r="K106" s="64" t="s">
        <v>456</v>
      </c>
      <c r="L106" s="64">
        <v>22.0</v>
      </c>
      <c r="M106" s="64">
        <v>22.0</v>
      </c>
      <c r="N106" s="64" t="s">
        <v>457</v>
      </c>
      <c r="O106" s="64">
        <v>24.0</v>
      </c>
      <c r="P106" s="75">
        <v>2.42E8</v>
      </c>
      <c r="Q106" s="66" t="s">
        <v>459</v>
      </c>
      <c r="R106" s="66" t="s">
        <v>459</v>
      </c>
      <c r="S106" s="66">
        <v>95.0</v>
      </c>
      <c r="T106" s="66">
        <v>1045.0</v>
      </c>
      <c r="U106" s="66">
        <v>95.0</v>
      </c>
      <c r="V106" s="64">
        <v>1045.0</v>
      </c>
      <c r="W106" s="64">
        <v>1045.0</v>
      </c>
      <c r="X106" s="76" t="s">
        <v>460</v>
      </c>
      <c r="Y106" s="64" t="s">
        <v>461</v>
      </c>
      <c r="Z106" s="64" t="s">
        <v>462</v>
      </c>
      <c r="AA106" s="64" t="s">
        <v>463</v>
      </c>
      <c r="AB106" s="60" t="s">
        <v>464</v>
      </c>
      <c r="AC106" s="60" t="s">
        <v>451</v>
      </c>
      <c r="AD106" s="64" t="s">
        <v>634</v>
      </c>
      <c r="AE106" s="64" t="s">
        <v>617</v>
      </c>
      <c r="AF106" s="64" t="s">
        <v>617</v>
      </c>
      <c r="AG106" s="64" t="s">
        <v>467</v>
      </c>
      <c r="AH106" s="64" t="s">
        <v>467</v>
      </c>
      <c r="AI106" s="64">
        <v>330.0</v>
      </c>
      <c r="AJ106" s="64">
        <v>21.5</v>
      </c>
      <c r="AK106" s="67">
        <v>7095.0</v>
      </c>
      <c r="AL106" s="63"/>
      <c r="AM106" s="63"/>
      <c r="AN106" s="64">
        <v>21.5</v>
      </c>
      <c r="AO106" s="64" t="s">
        <v>468</v>
      </c>
      <c r="AP106" s="63"/>
      <c r="AQ106" s="63"/>
      <c r="AR106" s="63"/>
      <c r="AS106" s="63"/>
      <c r="AT106" s="63"/>
      <c r="AU106" s="63"/>
      <c r="AV106" s="63"/>
      <c r="AW106" s="58" t="s">
        <v>512</v>
      </c>
      <c r="AX106" s="69">
        <v>7095.0</v>
      </c>
      <c r="AY106" s="70"/>
      <c r="AZ106" s="70"/>
      <c r="BA106" s="70"/>
      <c r="BB106" s="70"/>
      <c r="BC106" s="58" t="s">
        <v>469</v>
      </c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</row>
    <row r="107">
      <c r="A107" s="59">
        <v>45814.0</v>
      </c>
      <c r="B107" s="60" t="s">
        <v>451</v>
      </c>
      <c r="C107" s="61">
        <v>45814.0</v>
      </c>
      <c r="D107" s="61">
        <v>45814.0</v>
      </c>
      <c r="E107" s="60" t="s">
        <v>452</v>
      </c>
      <c r="F107" s="72" t="s">
        <v>783</v>
      </c>
      <c r="G107" s="63"/>
      <c r="H107" s="66" t="s">
        <v>454</v>
      </c>
      <c r="I107" s="66" t="s">
        <v>455</v>
      </c>
      <c r="J107" s="66" t="s">
        <v>456</v>
      </c>
      <c r="K107" s="66" t="s">
        <v>456</v>
      </c>
      <c r="L107" s="66">
        <v>22.0</v>
      </c>
      <c r="M107" s="66">
        <v>22.0</v>
      </c>
      <c r="N107" s="66" t="s">
        <v>457</v>
      </c>
      <c r="O107" s="66">
        <v>24.0</v>
      </c>
      <c r="P107" s="66" t="s">
        <v>459</v>
      </c>
      <c r="Q107" s="64" t="s">
        <v>459</v>
      </c>
      <c r="R107" s="64" t="s">
        <v>459</v>
      </c>
      <c r="S107" s="64">
        <v>312.0</v>
      </c>
      <c r="T107" s="64">
        <v>3432.0</v>
      </c>
      <c r="U107" s="64">
        <v>312.0</v>
      </c>
      <c r="V107" s="66">
        <v>3432.0</v>
      </c>
      <c r="W107" s="66">
        <v>3432.0</v>
      </c>
      <c r="X107" s="79" t="s">
        <v>460</v>
      </c>
      <c r="Y107" s="64" t="s">
        <v>461</v>
      </c>
      <c r="Z107" s="64" t="s">
        <v>462</v>
      </c>
      <c r="AA107" s="64" t="s">
        <v>463</v>
      </c>
      <c r="AB107" s="64" t="s">
        <v>464</v>
      </c>
      <c r="AC107" s="64" t="s">
        <v>451</v>
      </c>
      <c r="AD107" s="66" t="s">
        <v>465</v>
      </c>
      <c r="AE107" s="66" t="s">
        <v>466</v>
      </c>
      <c r="AF107" s="66" t="s">
        <v>466</v>
      </c>
      <c r="AG107" s="64" t="s">
        <v>467</v>
      </c>
      <c r="AH107" s="64" t="s">
        <v>467</v>
      </c>
      <c r="AI107" s="66">
        <v>735.0</v>
      </c>
      <c r="AJ107" s="66">
        <v>21.5</v>
      </c>
      <c r="AK107" s="84">
        <v>15802.5</v>
      </c>
      <c r="AL107" s="63"/>
      <c r="AM107" s="63"/>
      <c r="AN107" s="64">
        <v>21.5</v>
      </c>
      <c r="AO107" s="60" t="s">
        <v>468</v>
      </c>
      <c r="AP107" s="63"/>
      <c r="AQ107" s="63"/>
      <c r="AR107" s="63"/>
      <c r="AS107" s="63"/>
      <c r="AT107" s="63"/>
      <c r="AU107" s="63"/>
      <c r="AV107" s="68"/>
      <c r="AW107" s="58" t="s">
        <v>512</v>
      </c>
      <c r="AX107" s="69">
        <v>15802.5</v>
      </c>
      <c r="AY107" s="70"/>
      <c r="AZ107" s="70"/>
      <c r="BA107" s="70"/>
      <c r="BB107" s="70"/>
      <c r="BC107" s="58" t="s">
        <v>469</v>
      </c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</row>
    <row r="108">
      <c r="A108" s="59">
        <v>45814.0</v>
      </c>
      <c r="B108" s="60" t="s">
        <v>451</v>
      </c>
      <c r="C108" s="61">
        <v>45814.0</v>
      </c>
      <c r="D108" s="61">
        <v>45814.0</v>
      </c>
      <c r="E108" s="60" t="s">
        <v>452</v>
      </c>
      <c r="F108" s="71" t="s">
        <v>784</v>
      </c>
      <c r="G108" s="77"/>
      <c r="H108" s="64" t="s">
        <v>472</v>
      </c>
      <c r="I108" s="64" t="s">
        <v>588</v>
      </c>
      <c r="J108" s="64" t="s">
        <v>456</v>
      </c>
      <c r="K108" s="64" t="s">
        <v>456</v>
      </c>
      <c r="L108" s="64">
        <v>22.0</v>
      </c>
      <c r="M108" s="64">
        <v>22.0</v>
      </c>
      <c r="N108" s="64" t="s">
        <v>457</v>
      </c>
      <c r="O108" s="64">
        <v>24.0</v>
      </c>
      <c r="P108" s="64" t="s">
        <v>785</v>
      </c>
      <c r="Q108" s="66" t="s">
        <v>459</v>
      </c>
      <c r="R108" s="66" t="s">
        <v>459</v>
      </c>
      <c r="S108" s="66">
        <v>227.0</v>
      </c>
      <c r="T108" s="66">
        <v>2497.0</v>
      </c>
      <c r="U108" s="66">
        <v>227.0</v>
      </c>
      <c r="V108" s="64">
        <v>2497.0</v>
      </c>
      <c r="W108" s="64">
        <v>2497.0</v>
      </c>
      <c r="X108" s="76" t="s">
        <v>460</v>
      </c>
      <c r="Y108" s="66" t="s">
        <v>461</v>
      </c>
      <c r="Z108" s="66" t="s">
        <v>462</v>
      </c>
      <c r="AA108" s="66" t="s">
        <v>463</v>
      </c>
      <c r="AB108" s="66" t="s">
        <v>464</v>
      </c>
      <c r="AC108" s="66" t="s">
        <v>451</v>
      </c>
      <c r="AD108" s="64" t="s">
        <v>475</v>
      </c>
      <c r="AE108" s="64" t="s">
        <v>476</v>
      </c>
      <c r="AF108" s="64" t="s">
        <v>476</v>
      </c>
      <c r="AG108" s="64" t="s">
        <v>467</v>
      </c>
      <c r="AH108" s="64" t="s">
        <v>467</v>
      </c>
      <c r="AI108" s="64">
        <v>650.0</v>
      </c>
      <c r="AJ108" s="64">
        <v>21.5</v>
      </c>
      <c r="AK108" s="67">
        <v>13975.0</v>
      </c>
      <c r="AL108" s="63"/>
      <c r="AM108" s="63"/>
      <c r="AN108" s="64">
        <v>21.5</v>
      </c>
      <c r="AO108" s="64" t="s">
        <v>468</v>
      </c>
      <c r="AP108" s="63"/>
      <c r="AQ108" s="63"/>
      <c r="AR108" s="63"/>
      <c r="AS108" s="63"/>
      <c r="AT108" s="63"/>
      <c r="AU108" s="63"/>
      <c r="AV108" s="63"/>
      <c r="AW108" s="58" t="s">
        <v>512</v>
      </c>
      <c r="AX108" s="69">
        <v>13975.0</v>
      </c>
      <c r="AY108" s="70"/>
      <c r="AZ108" s="70"/>
      <c r="BA108" s="70"/>
      <c r="BB108" s="70"/>
      <c r="BC108" s="58" t="s">
        <v>469</v>
      </c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</row>
    <row r="109">
      <c r="A109" s="59">
        <v>45814.0</v>
      </c>
      <c r="B109" s="60" t="s">
        <v>451</v>
      </c>
      <c r="C109" s="61">
        <v>45814.0</v>
      </c>
      <c r="D109" s="61">
        <v>45814.0</v>
      </c>
      <c r="E109" s="60" t="s">
        <v>452</v>
      </c>
      <c r="F109" s="72" t="s">
        <v>786</v>
      </c>
      <c r="G109" s="63"/>
      <c r="H109" s="66" t="s">
        <v>472</v>
      </c>
      <c r="I109" s="66" t="s">
        <v>590</v>
      </c>
      <c r="J109" s="66" t="s">
        <v>456</v>
      </c>
      <c r="K109" s="66" t="s">
        <v>456</v>
      </c>
      <c r="L109" s="66">
        <v>22.0</v>
      </c>
      <c r="M109" s="66">
        <v>22.0</v>
      </c>
      <c r="N109" s="66" t="s">
        <v>457</v>
      </c>
      <c r="O109" s="66">
        <v>24.0</v>
      </c>
      <c r="P109" s="66" t="s">
        <v>787</v>
      </c>
      <c r="Q109" s="64" t="s">
        <v>459</v>
      </c>
      <c r="R109" s="64" t="s">
        <v>459</v>
      </c>
      <c r="S109" s="64">
        <v>276.0</v>
      </c>
      <c r="T109" s="64">
        <v>3036.0</v>
      </c>
      <c r="U109" s="64">
        <v>276.0</v>
      </c>
      <c r="V109" s="66">
        <v>3036.0</v>
      </c>
      <c r="W109" s="66">
        <v>3036.0</v>
      </c>
      <c r="X109" s="79" t="s">
        <v>460</v>
      </c>
      <c r="Y109" s="64" t="s">
        <v>461</v>
      </c>
      <c r="Z109" s="64" t="s">
        <v>462</v>
      </c>
      <c r="AA109" s="64" t="s">
        <v>463</v>
      </c>
      <c r="AB109" s="64" t="s">
        <v>464</v>
      </c>
      <c r="AC109" s="64" t="s">
        <v>451</v>
      </c>
      <c r="AD109" s="66" t="s">
        <v>481</v>
      </c>
      <c r="AE109" s="66" t="s">
        <v>482</v>
      </c>
      <c r="AF109" s="66" t="s">
        <v>482</v>
      </c>
      <c r="AG109" s="64" t="s">
        <v>467</v>
      </c>
      <c r="AH109" s="64" t="s">
        <v>467</v>
      </c>
      <c r="AI109" s="66">
        <v>655.0</v>
      </c>
      <c r="AJ109" s="66">
        <v>21.5</v>
      </c>
      <c r="AK109" s="84">
        <v>14082.5</v>
      </c>
      <c r="AL109" s="63"/>
      <c r="AM109" s="63"/>
      <c r="AN109" s="64">
        <v>21.5</v>
      </c>
      <c r="AO109" s="64" t="s">
        <v>468</v>
      </c>
      <c r="AP109" s="63"/>
      <c r="AQ109" s="63"/>
      <c r="AR109" s="63"/>
      <c r="AS109" s="63"/>
      <c r="AT109" s="63"/>
      <c r="AU109" s="63"/>
      <c r="AV109" s="68"/>
      <c r="AW109" s="58" t="s">
        <v>512</v>
      </c>
      <c r="AX109" s="69">
        <v>14082.5</v>
      </c>
      <c r="AY109" s="70"/>
      <c r="AZ109" s="70"/>
      <c r="BA109" s="70"/>
      <c r="BB109" s="70"/>
      <c r="BC109" s="58" t="s">
        <v>469</v>
      </c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</row>
    <row r="110">
      <c r="A110" s="59">
        <v>45814.0</v>
      </c>
      <c r="B110" s="60" t="s">
        <v>451</v>
      </c>
      <c r="C110" s="61">
        <v>45814.0</v>
      </c>
      <c r="D110" s="61">
        <v>45814.0</v>
      </c>
      <c r="E110" s="60" t="s">
        <v>452</v>
      </c>
      <c r="F110" s="71" t="s">
        <v>788</v>
      </c>
      <c r="G110" s="77"/>
      <c r="H110" s="64" t="s">
        <v>492</v>
      </c>
      <c r="I110" s="64" t="s">
        <v>593</v>
      </c>
      <c r="J110" s="64" t="s">
        <v>456</v>
      </c>
      <c r="K110" s="64" t="s">
        <v>456</v>
      </c>
      <c r="L110" s="64">
        <v>28.0</v>
      </c>
      <c r="M110" s="64">
        <v>28.0</v>
      </c>
      <c r="N110" s="64" t="s">
        <v>457</v>
      </c>
      <c r="O110" s="64">
        <v>24.0</v>
      </c>
      <c r="P110" s="64" t="s">
        <v>789</v>
      </c>
      <c r="Q110" s="66" t="s">
        <v>459</v>
      </c>
      <c r="R110" s="66" t="s">
        <v>459</v>
      </c>
      <c r="S110" s="66">
        <v>511.0</v>
      </c>
      <c r="T110" s="66">
        <v>5621.0</v>
      </c>
      <c r="U110" s="66">
        <v>511.0</v>
      </c>
      <c r="V110" s="64">
        <v>5621.0</v>
      </c>
      <c r="W110" s="64">
        <v>5621.0</v>
      </c>
      <c r="X110" s="76" t="s">
        <v>460</v>
      </c>
      <c r="Y110" s="66" t="s">
        <v>461</v>
      </c>
      <c r="Z110" s="66" t="s">
        <v>462</v>
      </c>
      <c r="AA110" s="66" t="s">
        <v>463</v>
      </c>
      <c r="AB110" s="66" t="s">
        <v>464</v>
      </c>
      <c r="AC110" s="66" t="s">
        <v>451</v>
      </c>
      <c r="AD110" s="64" t="s">
        <v>495</v>
      </c>
      <c r="AE110" s="64" t="s">
        <v>496</v>
      </c>
      <c r="AF110" s="64" t="s">
        <v>496</v>
      </c>
      <c r="AG110" s="64" t="s">
        <v>467</v>
      </c>
      <c r="AH110" s="64" t="s">
        <v>467</v>
      </c>
      <c r="AI110" s="64">
        <v>570.0</v>
      </c>
      <c r="AJ110" s="64">
        <v>23.5</v>
      </c>
      <c r="AK110" s="67">
        <v>13395.0</v>
      </c>
      <c r="AL110" s="63"/>
      <c r="AM110" s="63"/>
      <c r="AN110" s="64">
        <v>23.5</v>
      </c>
      <c r="AO110" s="64" t="s">
        <v>468</v>
      </c>
      <c r="AP110" s="63"/>
      <c r="AQ110" s="63"/>
      <c r="AR110" s="63"/>
      <c r="AS110" s="63"/>
      <c r="AT110" s="63"/>
      <c r="AU110" s="63"/>
      <c r="AV110" s="63"/>
      <c r="AW110" s="58" t="s">
        <v>512</v>
      </c>
      <c r="AX110" s="69">
        <v>13395.0</v>
      </c>
      <c r="AY110" s="70"/>
      <c r="AZ110" s="70"/>
      <c r="BA110" s="70"/>
      <c r="BB110" s="70"/>
      <c r="BC110" s="58" t="s">
        <v>469</v>
      </c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</row>
    <row r="111">
      <c r="A111" s="59">
        <v>45814.0</v>
      </c>
      <c r="B111" s="60" t="s">
        <v>451</v>
      </c>
      <c r="C111" s="61">
        <v>45814.0</v>
      </c>
      <c r="D111" s="61">
        <v>45814.0</v>
      </c>
      <c r="E111" s="60" t="s">
        <v>452</v>
      </c>
      <c r="F111" s="72" t="s">
        <v>790</v>
      </c>
      <c r="G111" s="63"/>
      <c r="H111" s="66" t="s">
        <v>498</v>
      </c>
      <c r="I111" s="66" t="s">
        <v>596</v>
      </c>
      <c r="J111" s="66" t="s">
        <v>456</v>
      </c>
      <c r="K111" s="66" t="s">
        <v>456</v>
      </c>
      <c r="L111" s="66">
        <v>22.0</v>
      </c>
      <c r="M111" s="66">
        <v>22.0</v>
      </c>
      <c r="N111" s="66" t="s">
        <v>457</v>
      </c>
      <c r="O111" s="66">
        <v>24.0</v>
      </c>
      <c r="P111" s="66" t="s">
        <v>791</v>
      </c>
      <c r="Q111" s="64" t="s">
        <v>459</v>
      </c>
      <c r="R111" s="64" t="s">
        <v>459</v>
      </c>
      <c r="S111" s="64">
        <v>245.0</v>
      </c>
      <c r="T111" s="64">
        <v>2695.0</v>
      </c>
      <c r="U111" s="64">
        <v>245.0</v>
      </c>
      <c r="V111" s="66">
        <v>2695.0</v>
      </c>
      <c r="W111" s="66">
        <v>2695.0</v>
      </c>
      <c r="X111" s="79" t="s">
        <v>460</v>
      </c>
      <c r="Y111" s="64" t="s">
        <v>461</v>
      </c>
      <c r="Z111" s="64" t="s">
        <v>462</v>
      </c>
      <c r="AA111" s="64" t="s">
        <v>463</v>
      </c>
      <c r="AB111" s="64" t="s">
        <v>464</v>
      </c>
      <c r="AC111" s="64" t="s">
        <v>451</v>
      </c>
      <c r="AD111" s="66" t="s">
        <v>501</v>
      </c>
      <c r="AE111" s="66" t="s">
        <v>470</v>
      </c>
      <c r="AF111" s="66" t="s">
        <v>470</v>
      </c>
      <c r="AG111" s="64" t="s">
        <v>467</v>
      </c>
      <c r="AH111" s="64" t="s">
        <v>467</v>
      </c>
      <c r="AI111" s="66">
        <v>380.0</v>
      </c>
      <c r="AJ111" s="66">
        <v>21.5</v>
      </c>
      <c r="AK111" s="84">
        <v>8170.0</v>
      </c>
      <c r="AL111" s="63"/>
      <c r="AM111" s="63"/>
      <c r="AN111" s="64">
        <v>21.5</v>
      </c>
      <c r="AO111" s="64" t="s">
        <v>468</v>
      </c>
      <c r="AP111" s="63"/>
      <c r="AQ111" s="63"/>
      <c r="AR111" s="63"/>
      <c r="AS111" s="63"/>
      <c r="AT111" s="63"/>
      <c r="AU111" s="63"/>
      <c r="AV111" s="68"/>
      <c r="AW111" s="58" t="s">
        <v>512</v>
      </c>
      <c r="AX111" s="69">
        <v>8170.0</v>
      </c>
      <c r="AY111" s="70"/>
      <c r="AZ111" s="70"/>
      <c r="BA111" s="70"/>
      <c r="BB111" s="70"/>
      <c r="BC111" s="58" t="s">
        <v>469</v>
      </c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</row>
    <row r="112">
      <c r="A112" s="59">
        <v>45814.0</v>
      </c>
      <c r="B112" s="60" t="s">
        <v>451</v>
      </c>
      <c r="C112" s="61">
        <v>45814.0</v>
      </c>
      <c r="D112" s="61">
        <v>45814.0</v>
      </c>
      <c r="E112" s="60" t="s">
        <v>452</v>
      </c>
      <c r="F112" s="71" t="s">
        <v>792</v>
      </c>
      <c r="G112" s="77"/>
      <c r="H112" s="64" t="s">
        <v>492</v>
      </c>
      <c r="I112" s="64" t="s">
        <v>793</v>
      </c>
      <c r="J112" s="64" t="s">
        <v>456</v>
      </c>
      <c r="K112" s="64" t="s">
        <v>456</v>
      </c>
      <c r="L112" s="64">
        <v>22.0</v>
      </c>
      <c r="M112" s="64">
        <v>22.0</v>
      </c>
      <c r="N112" s="64" t="s">
        <v>457</v>
      </c>
      <c r="O112" s="64">
        <v>24.0</v>
      </c>
      <c r="P112" s="64" t="s">
        <v>794</v>
      </c>
      <c r="Q112" s="66" t="s">
        <v>459</v>
      </c>
      <c r="R112" s="66" t="s">
        <v>459</v>
      </c>
      <c r="S112" s="66">
        <v>255.0</v>
      </c>
      <c r="T112" s="66">
        <v>2805.0</v>
      </c>
      <c r="U112" s="66">
        <v>255.0</v>
      </c>
      <c r="V112" s="64">
        <v>2805.0</v>
      </c>
      <c r="W112" s="64">
        <v>2805.0</v>
      </c>
      <c r="X112" s="76" t="s">
        <v>460</v>
      </c>
      <c r="Y112" s="66" t="s">
        <v>461</v>
      </c>
      <c r="Z112" s="66" t="s">
        <v>462</v>
      </c>
      <c r="AA112" s="66" t="s">
        <v>463</v>
      </c>
      <c r="AB112" s="66" t="s">
        <v>464</v>
      </c>
      <c r="AC112" s="66" t="s">
        <v>451</v>
      </c>
      <c r="AD112" s="64" t="s">
        <v>601</v>
      </c>
      <c r="AE112" s="64" t="s">
        <v>547</v>
      </c>
      <c r="AF112" s="64" t="s">
        <v>547</v>
      </c>
      <c r="AG112" s="64" t="s">
        <v>467</v>
      </c>
      <c r="AH112" s="64" t="s">
        <v>467</v>
      </c>
      <c r="AI112" s="64">
        <v>770.0</v>
      </c>
      <c r="AJ112" s="64">
        <v>21.5</v>
      </c>
      <c r="AK112" s="67">
        <v>16555.0</v>
      </c>
      <c r="AL112" s="63"/>
      <c r="AM112" s="63"/>
      <c r="AN112" s="64">
        <v>21.5</v>
      </c>
      <c r="AO112" s="64" t="s">
        <v>468</v>
      </c>
      <c r="AP112" s="63"/>
      <c r="AQ112" s="63"/>
      <c r="AR112" s="63"/>
      <c r="AS112" s="63"/>
      <c r="AT112" s="63"/>
      <c r="AU112" s="63"/>
      <c r="AV112" s="63"/>
      <c r="AW112" s="58" t="s">
        <v>512</v>
      </c>
      <c r="AX112" s="69">
        <v>16555.0</v>
      </c>
      <c r="AY112" s="70"/>
      <c r="AZ112" s="70"/>
      <c r="BA112" s="70"/>
      <c r="BB112" s="70"/>
      <c r="BC112" s="58" t="s">
        <v>469</v>
      </c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</row>
    <row r="113">
      <c r="A113" s="59">
        <v>45814.0</v>
      </c>
      <c r="B113" s="60" t="s">
        <v>451</v>
      </c>
      <c r="C113" s="61">
        <v>45814.0</v>
      </c>
      <c r="D113" s="61">
        <v>45814.0</v>
      </c>
      <c r="E113" s="60" t="s">
        <v>452</v>
      </c>
      <c r="F113" s="72" t="s">
        <v>795</v>
      </c>
      <c r="G113" s="63"/>
      <c r="H113" s="66" t="s">
        <v>504</v>
      </c>
      <c r="I113" s="66" t="s">
        <v>603</v>
      </c>
      <c r="J113" s="66" t="s">
        <v>456</v>
      </c>
      <c r="K113" s="66" t="s">
        <v>456</v>
      </c>
      <c r="L113" s="66">
        <v>22.0</v>
      </c>
      <c r="M113" s="66">
        <v>22.0</v>
      </c>
      <c r="N113" s="66" t="s">
        <v>457</v>
      </c>
      <c r="O113" s="66">
        <v>24.0</v>
      </c>
      <c r="P113" s="66" t="s">
        <v>796</v>
      </c>
      <c r="Q113" s="64" t="s">
        <v>459</v>
      </c>
      <c r="R113" s="64" t="s">
        <v>459</v>
      </c>
      <c r="S113" s="64">
        <v>213.0</v>
      </c>
      <c r="T113" s="64">
        <v>2343.0</v>
      </c>
      <c r="U113" s="64">
        <v>213.0</v>
      </c>
      <c r="V113" s="66">
        <v>2343.0</v>
      </c>
      <c r="W113" s="66">
        <v>2343.0</v>
      </c>
      <c r="X113" s="79" t="s">
        <v>460</v>
      </c>
      <c r="Y113" s="64" t="s">
        <v>461</v>
      </c>
      <c r="Z113" s="64" t="s">
        <v>462</v>
      </c>
      <c r="AA113" s="64" t="s">
        <v>463</v>
      </c>
      <c r="AB113" s="64" t="s">
        <v>464</v>
      </c>
      <c r="AC113" s="64" t="s">
        <v>451</v>
      </c>
      <c r="AD113" s="66" t="s">
        <v>507</v>
      </c>
      <c r="AE113" s="66" t="s">
        <v>508</v>
      </c>
      <c r="AF113" s="66" t="s">
        <v>509</v>
      </c>
      <c r="AG113" s="64" t="s">
        <v>467</v>
      </c>
      <c r="AH113" s="64" t="s">
        <v>467</v>
      </c>
      <c r="AI113" s="66">
        <v>790.0</v>
      </c>
      <c r="AJ113" s="66">
        <v>21.5</v>
      </c>
      <c r="AK113" s="84">
        <v>16985.0</v>
      </c>
      <c r="AL113" s="63"/>
      <c r="AM113" s="63"/>
      <c r="AN113" s="64">
        <v>21.5</v>
      </c>
      <c r="AO113" s="64" t="s">
        <v>468</v>
      </c>
      <c r="AP113" s="63"/>
      <c r="AQ113" s="63"/>
      <c r="AR113" s="63"/>
      <c r="AS113" s="73">
        <v>0.5</v>
      </c>
      <c r="AT113" s="64">
        <v>8492.5</v>
      </c>
      <c r="AU113" s="60" t="s">
        <v>510</v>
      </c>
      <c r="AV113" s="74" t="s">
        <v>511</v>
      </c>
      <c r="AW113" s="58" t="s">
        <v>512</v>
      </c>
      <c r="AX113" s="69">
        <v>8492.5</v>
      </c>
      <c r="AY113" s="70"/>
      <c r="AZ113" s="70"/>
      <c r="BA113" s="69">
        <v>8492.5</v>
      </c>
      <c r="BB113" s="70"/>
      <c r="BC113" s="58" t="s">
        <v>469</v>
      </c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</row>
    <row r="114">
      <c r="A114" s="59">
        <v>45814.0</v>
      </c>
      <c r="B114" s="60" t="s">
        <v>451</v>
      </c>
      <c r="C114" s="61">
        <v>45814.0</v>
      </c>
      <c r="D114" s="61">
        <v>45814.0</v>
      </c>
      <c r="E114" s="60" t="s">
        <v>452</v>
      </c>
      <c r="F114" s="71" t="s">
        <v>797</v>
      </c>
      <c r="G114" s="77"/>
      <c r="H114" s="64" t="s">
        <v>504</v>
      </c>
      <c r="I114" s="64" t="s">
        <v>606</v>
      </c>
      <c r="J114" s="64" t="s">
        <v>456</v>
      </c>
      <c r="K114" s="64" t="s">
        <v>456</v>
      </c>
      <c r="L114" s="64">
        <v>22.0</v>
      </c>
      <c r="M114" s="64">
        <v>22.0</v>
      </c>
      <c r="N114" s="64" t="s">
        <v>457</v>
      </c>
      <c r="O114" s="64">
        <v>24.0</v>
      </c>
      <c r="P114" s="75">
        <v>2.42E8</v>
      </c>
      <c r="Q114" s="66" t="s">
        <v>459</v>
      </c>
      <c r="R114" s="66" t="s">
        <v>459</v>
      </c>
      <c r="S114" s="66">
        <v>190.0</v>
      </c>
      <c r="T114" s="66">
        <v>2090.0</v>
      </c>
      <c r="U114" s="66">
        <v>190.0</v>
      </c>
      <c r="V114" s="64">
        <v>2090.0</v>
      </c>
      <c r="W114" s="64">
        <v>2090.0</v>
      </c>
      <c r="X114" s="76" t="s">
        <v>460</v>
      </c>
      <c r="Y114" s="66" t="s">
        <v>461</v>
      </c>
      <c r="Z114" s="66" t="s">
        <v>462</v>
      </c>
      <c r="AA114" s="66" t="s">
        <v>463</v>
      </c>
      <c r="AB114" s="66" t="s">
        <v>464</v>
      </c>
      <c r="AC114" s="66" t="s">
        <v>451</v>
      </c>
      <c r="AD114" s="64" t="s">
        <v>517</v>
      </c>
      <c r="AE114" s="64" t="s">
        <v>518</v>
      </c>
      <c r="AF114" s="64" t="s">
        <v>518</v>
      </c>
      <c r="AG114" s="64" t="s">
        <v>467</v>
      </c>
      <c r="AH114" s="64" t="s">
        <v>467</v>
      </c>
      <c r="AI114" s="64">
        <v>815.0</v>
      </c>
      <c r="AJ114" s="64">
        <v>21.5</v>
      </c>
      <c r="AK114" s="67">
        <v>17522.5</v>
      </c>
      <c r="AL114" s="63"/>
      <c r="AM114" s="63"/>
      <c r="AN114" s="64">
        <v>21.5</v>
      </c>
      <c r="AO114" s="64" t="s">
        <v>468</v>
      </c>
      <c r="AP114" s="63"/>
      <c r="AQ114" s="63"/>
      <c r="AR114" s="63"/>
      <c r="AS114" s="63"/>
      <c r="AT114" s="63"/>
      <c r="AU114" s="63"/>
      <c r="AV114" s="68"/>
      <c r="AW114" s="58" t="s">
        <v>512</v>
      </c>
      <c r="AX114" s="69">
        <v>17522.5</v>
      </c>
      <c r="AY114" s="70"/>
      <c r="AZ114" s="70"/>
      <c r="BA114" s="70"/>
      <c r="BB114" s="70"/>
      <c r="BC114" s="58" t="s">
        <v>469</v>
      </c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</row>
    <row r="115">
      <c r="A115" s="59">
        <v>45814.0</v>
      </c>
      <c r="B115" s="60" t="s">
        <v>451</v>
      </c>
      <c r="C115" s="61">
        <v>45814.0</v>
      </c>
      <c r="D115" s="61">
        <v>45814.0</v>
      </c>
      <c r="E115" s="60" t="s">
        <v>452</v>
      </c>
      <c r="F115" s="72" t="s">
        <v>798</v>
      </c>
      <c r="G115" s="63"/>
      <c r="H115" s="66" t="s">
        <v>521</v>
      </c>
      <c r="I115" s="66" t="s">
        <v>608</v>
      </c>
      <c r="J115" s="66" t="s">
        <v>456</v>
      </c>
      <c r="K115" s="66" t="s">
        <v>456</v>
      </c>
      <c r="L115" s="66">
        <v>22.0</v>
      </c>
      <c r="M115" s="66">
        <v>22.0</v>
      </c>
      <c r="N115" s="66" t="s">
        <v>457</v>
      </c>
      <c r="O115" s="66">
        <v>24.0</v>
      </c>
      <c r="P115" s="66" t="s">
        <v>799</v>
      </c>
      <c r="Q115" s="64" t="s">
        <v>459</v>
      </c>
      <c r="R115" s="64" t="s">
        <v>459</v>
      </c>
      <c r="S115" s="64">
        <v>235.0</v>
      </c>
      <c r="T115" s="64">
        <v>2585.0</v>
      </c>
      <c r="U115" s="64">
        <v>235.0</v>
      </c>
      <c r="V115" s="66">
        <v>2585.0</v>
      </c>
      <c r="W115" s="66">
        <v>2585.0</v>
      </c>
      <c r="X115" s="79" t="s">
        <v>460</v>
      </c>
      <c r="Y115" s="64" t="s">
        <v>461</v>
      </c>
      <c r="Z115" s="64" t="s">
        <v>462</v>
      </c>
      <c r="AA115" s="64" t="s">
        <v>463</v>
      </c>
      <c r="AB115" s="64" t="s">
        <v>464</v>
      </c>
      <c r="AC115" s="64" t="s">
        <v>451</v>
      </c>
      <c r="AD115" s="66" t="s">
        <v>524</v>
      </c>
      <c r="AE115" s="66" t="s">
        <v>483</v>
      </c>
      <c r="AF115" s="66" t="s">
        <v>483</v>
      </c>
      <c r="AG115" s="64" t="s">
        <v>467</v>
      </c>
      <c r="AH115" s="64" t="s">
        <v>467</v>
      </c>
      <c r="AI115" s="66">
        <v>600.0</v>
      </c>
      <c r="AJ115" s="66">
        <v>21.5</v>
      </c>
      <c r="AK115" s="84">
        <v>12900.0</v>
      </c>
      <c r="AL115" s="63"/>
      <c r="AM115" s="63"/>
      <c r="AN115" s="64">
        <v>21.5</v>
      </c>
      <c r="AO115" s="64" t="s">
        <v>468</v>
      </c>
      <c r="AP115" s="63"/>
      <c r="AQ115" s="63"/>
      <c r="AR115" s="63"/>
      <c r="AS115" s="63"/>
      <c r="AT115" s="63"/>
      <c r="AU115" s="63"/>
      <c r="AV115" s="68"/>
      <c r="AW115" s="58" t="s">
        <v>512</v>
      </c>
      <c r="AX115" s="69">
        <v>12900.0</v>
      </c>
      <c r="AY115" s="70"/>
      <c r="AZ115" s="70"/>
      <c r="BA115" s="70"/>
      <c r="BB115" s="70"/>
      <c r="BC115" s="58" t="s">
        <v>469</v>
      </c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</row>
    <row r="116">
      <c r="A116" s="59">
        <v>45814.0</v>
      </c>
      <c r="B116" s="60" t="s">
        <v>451</v>
      </c>
      <c r="C116" s="61">
        <v>45814.0</v>
      </c>
      <c r="D116" s="61">
        <v>45814.0</v>
      </c>
      <c r="E116" s="60" t="s">
        <v>452</v>
      </c>
      <c r="F116" s="71" t="s">
        <v>800</v>
      </c>
      <c r="G116" s="77"/>
      <c r="H116" s="64" t="s">
        <v>492</v>
      </c>
      <c r="I116" s="64" t="s">
        <v>527</v>
      </c>
      <c r="J116" s="64" t="s">
        <v>456</v>
      </c>
      <c r="K116" s="64" t="s">
        <v>456</v>
      </c>
      <c r="L116" s="64">
        <v>22.0</v>
      </c>
      <c r="M116" s="64">
        <v>22.0</v>
      </c>
      <c r="N116" s="64" t="s">
        <v>457</v>
      </c>
      <c r="O116" s="64">
        <v>24.0</v>
      </c>
      <c r="P116" s="64" t="s">
        <v>801</v>
      </c>
      <c r="Q116" s="66" t="s">
        <v>459</v>
      </c>
      <c r="R116" s="66" t="s">
        <v>459</v>
      </c>
      <c r="S116" s="66">
        <v>239.0</v>
      </c>
      <c r="T116" s="66">
        <v>2629.0</v>
      </c>
      <c r="U116" s="66">
        <v>239.0</v>
      </c>
      <c r="V116" s="64">
        <v>2629.0</v>
      </c>
      <c r="W116" s="64">
        <v>2629.0</v>
      </c>
      <c r="X116" s="76" t="s">
        <v>460</v>
      </c>
      <c r="Y116" s="66" t="s">
        <v>461</v>
      </c>
      <c r="Z116" s="66" t="s">
        <v>462</v>
      </c>
      <c r="AA116" s="66" t="s">
        <v>463</v>
      </c>
      <c r="AB116" s="66" t="s">
        <v>464</v>
      </c>
      <c r="AC116" s="66" t="s">
        <v>451</v>
      </c>
      <c r="AD116" s="64" t="s">
        <v>529</v>
      </c>
      <c r="AE116" s="64" t="s">
        <v>530</v>
      </c>
      <c r="AF116" s="64" t="s">
        <v>530</v>
      </c>
      <c r="AG116" s="64" t="s">
        <v>467</v>
      </c>
      <c r="AH116" s="64" t="s">
        <v>467</v>
      </c>
      <c r="AI116" s="64">
        <v>510.0</v>
      </c>
      <c r="AJ116" s="64">
        <v>21.5</v>
      </c>
      <c r="AK116" s="67">
        <v>10965.0</v>
      </c>
      <c r="AL116" s="63"/>
      <c r="AM116" s="63"/>
      <c r="AN116" s="64">
        <v>21.5</v>
      </c>
      <c r="AO116" s="64" t="s">
        <v>468</v>
      </c>
      <c r="AP116" s="63"/>
      <c r="AQ116" s="63"/>
      <c r="AR116" s="63"/>
      <c r="AS116" s="63"/>
      <c r="AT116" s="63"/>
      <c r="AU116" s="63"/>
      <c r="AV116" s="68"/>
      <c r="AW116" s="58" t="s">
        <v>512</v>
      </c>
      <c r="AX116" s="69">
        <v>10965.0</v>
      </c>
      <c r="AY116" s="70"/>
      <c r="AZ116" s="70"/>
      <c r="BA116" s="70"/>
      <c r="BB116" s="70"/>
      <c r="BC116" s="58" t="s">
        <v>469</v>
      </c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</row>
    <row r="117">
      <c r="A117" s="59">
        <v>45814.0</v>
      </c>
      <c r="B117" s="60" t="s">
        <v>451</v>
      </c>
      <c r="C117" s="61">
        <v>45814.0</v>
      </c>
      <c r="D117" s="61">
        <v>45814.0</v>
      </c>
      <c r="E117" s="60" t="s">
        <v>452</v>
      </c>
      <c r="F117" s="72" t="s">
        <v>802</v>
      </c>
      <c r="G117" s="63"/>
      <c r="H117" s="66" t="s">
        <v>538</v>
      </c>
      <c r="I117" s="66" t="s">
        <v>539</v>
      </c>
      <c r="J117" s="66" t="s">
        <v>456</v>
      </c>
      <c r="K117" s="66" t="s">
        <v>456</v>
      </c>
      <c r="L117" s="66">
        <v>32.0</v>
      </c>
      <c r="M117" s="66">
        <v>32.0</v>
      </c>
      <c r="N117" s="66" t="s">
        <v>540</v>
      </c>
      <c r="O117" s="66">
        <v>24.0</v>
      </c>
      <c r="P117" s="66" t="s">
        <v>803</v>
      </c>
      <c r="Q117" s="64" t="s">
        <v>459</v>
      </c>
      <c r="R117" s="64" t="s">
        <v>459</v>
      </c>
      <c r="S117" s="64">
        <v>130.0</v>
      </c>
      <c r="T117" s="64">
        <v>1430.0</v>
      </c>
      <c r="U117" s="64">
        <v>130.0</v>
      </c>
      <c r="V117" s="66">
        <v>1430.0</v>
      </c>
      <c r="W117" s="66">
        <v>1430.0</v>
      </c>
      <c r="X117" s="79" t="s">
        <v>460</v>
      </c>
      <c r="Y117" s="64" t="s">
        <v>461</v>
      </c>
      <c r="Z117" s="64" t="s">
        <v>462</v>
      </c>
      <c r="AA117" s="64" t="s">
        <v>463</v>
      </c>
      <c r="AB117" s="64" t="s">
        <v>464</v>
      </c>
      <c r="AC117" s="64" t="s">
        <v>451</v>
      </c>
      <c r="AD117" s="66" t="s">
        <v>541</v>
      </c>
      <c r="AE117" s="66" t="s">
        <v>490</v>
      </c>
      <c r="AF117" s="66" t="s">
        <v>490</v>
      </c>
      <c r="AG117" s="64" t="s">
        <v>467</v>
      </c>
      <c r="AH117" s="64" t="s">
        <v>467</v>
      </c>
      <c r="AI117" s="66">
        <v>325.0</v>
      </c>
      <c r="AJ117" s="66">
        <v>28.4</v>
      </c>
      <c r="AK117" s="84">
        <v>9213.75</v>
      </c>
      <c r="AL117" s="63"/>
      <c r="AM117" s="63"/>
      <c r="AN117" s="64">
        <v>28.35</v>
      </c>
      <c r="AO117" s="64" t="s">
        <v>468</v>
      </c>
      <c r="AP117" s="63"/>
      <c r="AQ117" s="63"/>
      <c r="AR117" s="63"/>
      <c r="AS117" s="63"/>
      <c r="AT117" s="63"/>
      <c r="AU117" s="63"/>
      <c r="AV117" s="68"/>
      <c r="AW117" s="58" t="s">
        <v>512</v>
      </c>
      <c r="AX117" s="69">
        <v>9213.75</v>
      </c>
      <c r="AY117" s="70"/>
      <c r="AZ117" s="70"/>
      <c r="BA117" s="70"/>
      <c r="BB117" s="70"/>
      <c r="BC117" s="58" t="s">
        <v>469</v>
      </c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</row>
    <row r="118">
      <c r="A118" s="59">
        <v>45814.0</v>
      </c>
      <c r="B118" s="60" t="s">
        <v>451</v>
      </c>
      <c r="C118" s="61">
        <v>45814.0</v>
      </c>
      <c r="D118" s="61">
        <v>45814.0</v>
      </c>
      <c r="E118" s="60" t="s">
        <v>452</v>
      </c>
      <c r="F118" s="71" t="s">
        <v>804</v>
      </c>
      <c r="G118" s="77"/>
      <c r="H118" s="64" t="s">
        <v>521</v>
      </c>
      <c r="I118" s="64" t="s">
        <v>619</v>
      </c>
      <c r="J118" s="64" t="s">
        <v>486</v>
      </c>
      <c r="K118" s="64" t="s">
        <v>486</v>
      </c>
      <c r="L118" s="66">
        <v>22.0</v>
      </c>
      <c r="M118" s="66">
        <v>22.0</v>
      </c>
      <c r="N118" s="66" t="s">
        <v>457</v>
      </c>
      <c r="O118" s="66">
        <v>24.0</v>
      </c>
      <c r="P118" s="64" t="s">
        <v>805</v>
      </c>
      <c r="Q118" s="64" t="s">
        <v>459</v>
      </c>
      <c r="R118" s="64" t="s">
        <v>459</v>
      </c>
      <c r="S118" s="64">
        <v>150.0</v>
      </c>
      <c r="T118" s="64">
        <v>1650.0</v>
      </c>
      <c r="U118" s="64">
        <v>150.0</v>
      </c>
      <c r="V118" s="64">
        <v>1650.0</v>
      </c>
      <c r="W118" s="64">
        <v>1650.0</v>
      </c>
      <c r="X118" s="76" t="s">
        <v>460</v>
      </c>
      <c r="Y118" s="64" t="s">
        <v>461</v>
      </c>
      <c r="Z118" s="64" t="s">
        <v>462</v>
      </c>
      <c r="AA118" s="64" t="s">
        <v>463</v>
      </c>
      <c r="AB118" s="66" t="s">
        <v>464</v>
      </c>
      <c r="AC118" s="64" t="s">
        <v>451</v>
      </c>
      <c r="AD118" s="66" t="s">
        <v>678</v>
      </c>
      <c r="AE118" s="66" t="s">
        <v>643</v>
      </c>
      <c r="AF118" s="66" t="s">
        <v>643</v>
      </c>
      <c r="AG118" s="64" t="s">
        <v>467</v>
      </c>
      <c r="AH118" s="64" t="s">
        <v>467</v>
      </c>
      <c r="AI118" s="64">
        <v>805.0</v>
      </c>
      <c r="AJ118" s="64">
        <v>23.5</v>
      </c>
      <c r="AK118" s="67">
        <v>18917.5</v>
      </c>
      <c r="AL118" s="63"/>
      <c r="AM118" s="63"/>
      <c r="AN118" s="64">
        <v>23.5</v>
      </c>
      <c r="AO118" s="66" t="s">
        <v>468</v>
      </c>
      <c r="AP118" s="63"/>
      <c r="AQ118" s="63"/>
      <c r="AR118" s="63"/>
      <c r="AS118" s="63"/>
      <c r="AT118" s="63"/>
      <c r="AU118" s="63"/>
      <c r="AV118" s="68"/>
      <c r="AW118" s="58" t="s">
        <v>512</v>
      </c>
      <c r="AX118" s="69">
        <v>18917.5</v>
      </c>
      <c r="AY118" s="70"/>
      <c r="AZ118" s="70"/>
      <c r="BA118" s="70"/>
      <c r="BB118" s="70"/>
      <c r="BC118" s="58" t="s">
        <v>469</v>
      </c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</row>
    <row r="119">
      <c r="A119" s="59">
        <v>45814.0</v>
      </c>
      <c r="B119" s="60" t="s">
        <v>451</v>
      </c>
      <c r="C119" s="61">
        <v>45814.0</v>
      </c>
      <c r="D119" s="61">
        <v>45814.0</v>
      </c>
      <c r="E119" s="60" t="s">
        <v>452</v>
      </c>
      <c r="F119" s="72" t="s">
        <v>806</v>
      </c>
      <c r="G119" s="63"/>
      <c r="H119" s="66" t="s">
        <v>521</v>
      </c>
      <c r="I119" s="66" t="s">
        <v>713</v>
      </c>
      <c r="J119" s="64" t="s">
        <v>456</v>
      </c>
      <c r="K119" s="64" t="s">
        <v>456</v>
      </c>
      <c r="L119" s="66">
        <v>22.0</v>
      </c>
      <c r="M119" s="66">
        <v>22.0</v>
      </c>
      <c r="N119" s="66" t="s">
        <v>457</v>
      </c>
      <c r="O119" s="66">
        <v>24.0</v>
      </c>
      <c r="P119" s="64" t="s">
        <v>807</v>
      </c>
      <c r="Q119" s="64" t="s">
        <v>459</v>
      </c>
      <c r="R119" s="64" t="s">
        <v>459</v>
      </c>
      <c r="S119" s="64">
        <v>200.0</v>
      </c>
      <c r="T119" s="64">
        <v>2200.0</v>
      </c>
      <c r="U119" s="64">
        <v>200.0</v>
      </c>
      <c r="V119" s="64">
        <v>2200.0</v>
      </c>
      <c r="W119" s="64">
        <v>2200.0</v>
      </c>
      <c r="X119" s="76" t="s">
        <v>460</v>
      </c>
      <c r="Y119" s="64" t="s">
        <v>461</v>
      </c>
      <c r="Z119" s="64" t="s">
        <v>462</v>
      </c>
      <c r="AA119" s="64" t="s">
        <v>463</v>
      </c>
      <c r="AB119" s="64" t="s">
        <v>464</v>
      </c>
      <c r="AC119" s="66" t="s">
        <v>451</v>
      </c>
      <c r="AD119" s="66" t="s">
        <v>557</v>
      </c>
      <c r="AE119" s="64" t="s">
        <v>525</v>
      </c>
      <c r="AF119" s="64" t="s">
        <v>525</v>
      </c>
      <c r="AG119" s="64" t="s">
        <v>467</v>
      </c>
      <c r="AH119" s="64" t="s">
        <v>467</v>
      </c>
      <c r="AI119" s="66">
        <v>800.0</v>
      </c>
      <c r="AJ119" s="64">
        <v>21.5</v>
      </c>
      <c r="AK119" s="67">
        <v>17200.0</v>
      </c>
      <c r="AL119" s="63"/>
      <c r="AM119" s="63"/>
      <c r="AN119" s="64">
        <v>21.5</v>
      </c>
      <c r="AO119" s="66" t="s">
        <v>468</v>
      </c>
      <c r="AP119" s="63"/>
      <c r="AQ119" s="63"/>
      <c r="AR119" s="63"/>
      <c r="AS119" s="63"/>
      <c r="AT119" s="63"/>
      <c r="AU119" s="63"/>
      <c r="AV119" s="68"/>
      <c r="AW119" s="58" t="s">
        <v>512</v>
      </c>
      <c r="AX119" s="69">
        <v>17200.0</v>
      </c>
      <c r="AY119" s="70"/>
      <c r="AZ119" s="70"/>
      <c r="BA119" s="70"/>
      <c r="BB119" s="70"/>
      <c r="BC119" s="58" t="s">
        <v>469</v>
      </c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</row>
    <row r="120">
      <c r="A120" s="59">
        <v>45814.0</v>
      </c>
      <c r="B120" s="60" t="s">
        <v>451</v>
      </c>
      <c r="C120" s="61">
        <v>45814.0</v>
      </c>
      <c r="D120" s="61">
        <v>45814.0</v>
      </c>
      <c r="E120" s="60" t="s">
        <v>452</v>
      </c>
      <c r="F120" s="71" t="s">
        <v>808</v>
      </c>
      <c r="G120" s="77"/>
      <c r="H120" s="64" t="s">
        <v>771</v>
      </c>
      <c r="I120" s="64" t="s">
        <v>772</v>
      </c>
      <c r="J120" s="64" t="s">
        <v>456</v>
      </c>
      <c r="K120" s="64" t="s">
        <v>456</v>
      </c>
      <c r="L120" s="64">
        <v>22.0</v>
      </c>
      <c r="M120" s="64">
        <v>22.0</v>
      </c>
      <c r="N120" s="64" t="s">
        <v>457</v>
      </c>
      <c r="O120" s="64">
        <v>24.0</v>
      </c>
      <c r="P120" s="64" t="s">
        <v>809</v>
      </c>
      <c r="Q120" s="66" t="s">
        <v>459</v>
      </c>
      <c r="R120" s="66" t="s">
        <v>459</v>
      </c>
      <c r="S120" s="66">
        <v>222.0</v>
      </c>
      <c r="T120" s="66">
        <v>2442.0</v>
      </c>
      <c r="U120" s="66">
        <v>222.0</v>
      </c>
      <c r="V120" s="64">
        <v>2442.0</v>
      </c>
      <c r="W120" s="64">
        <v>2442.0</v>
      </c>
      <c r="X120" s="76" t="s">
        <v>460</v>
      </c>
      <c r="Y120" s="66" t="s">
        <v>461</v>
      </c>
      <c r="Z120" s="66" t="s">
        <v>462</v>
      </c>
      <c r="AA120" s="66" t="s">
        <v>463</v>
      </c>
      <c r="AB120" s="66" t="s">
        <v>464</v>
      </c>
      <c r="AC120" s="66" t="s">
        <v>451</v>
      </c>
      <c r="AD120" s="64" t="s">
        <v>561</v>
      </c>
      <c r="AE120" s="64" t="s">
        <v>562</v>
      </c>
      <c r="AF120" s="64" t="s">
        <v>562</v>
      </c>
      <c r="AG120" s="64" t="s">
        <v>467</v>
      </c>
      <c r="AH120" s="64" t="s">
        <v>467</v>
      </c>
      <c r="AI120" s="64">
        <v>325.0</v>
      </c>
      <c r="AJ120" s="64">
        <v>21.5</v>
      </c>
      <c r="AK120" s="67">
        <v>6987.5</v>
      </c>
      <c r="AL120" s="63"/>
      <c r="AM120" s="63"/>
      <c r="AN120" s="64">
        <v>21.5</v>
      </c>
      <c r="AO120" s="64" t="s">
        <v>468</v>
      </c>
      <c r="AP120" s="63"/>
      <c r="AQ120" s="63"/>
      <c r="AR120" s="63"/>
      <c r="AS120" s="63"/>
      <c r="AT120" s="63"/>
      <c r="AU120" s="63"/>
      <c r="AV120" s="63"/>
      <c r="AW120" s="58" t="s">
        <v>512</v>
      </c>
      <c r="AX120" s="69">
        <v>6987.5</v>
      </c>
      <c r="AY120" s="70"/>
      <c r="AZ120" s="70"/>
      <c r="BA120" s="70"/>
      <c r="BB120" s="70"/>
      <c r="BC120" s="58" t="s">
        <v>469</v>
      </c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</row>
    <row r="121">
      <c r="A121" s="59">
        <v>45814.0</v>
      </c>
      <c r="B121" s="60" t="s">
        <v>451</v>
      </c>
      <c r="C121" s="61">
        <v>45814.0</v>
      </c>
      <c r="D121" s="61">
        <v>45814.0</v>
      </c>
      <c r="E121" s="60" t="s">
        <v>452</v>
      </c>
      <c r="F121" s="72" t="s">
        <v>810</v>
      </c>
      <c r="G121" s="63"/>
      <c r="H121" s="66" t="s">
        <v>771</v>
      </c>
      <c r="I121" s="66" t="s">
        <v>775</v>
      </c>
      <c r="J121" s="66" t="s">
        <v>456</v>
      </c>
      <c r="K121" s="66" t="s">
        <v>456</v>
      </c>
      <c r="L121" s="66">
        <v>22.0</v>
      </c>
      <c r="M121" s="66">
        <v>22.0</v>
      </c>
      <c r="N121" s="66" t="s">
        <v>457</v>
      </c>
      <c r="O121" s="66">
        <v>24.0</v>
      </c>
      <c r="P121" s="66" t="s">
        <v>811</v>
      </c>
      <c r="Q121" s="64" t="s">
        <v>459</v>
      </c>
      <c r="R121" s="64" t="s">
        <v>459</v>
      </c>
      <c r="S121" s="64">
        <v>242.0</v>
      </c>
      <c r="T121" s="64">
        <v>2662.0</v>
      </c>
      <c r="U121" s="64">
        <v>242.0</v>
      </c>
      <c r="V121" s="66">
        <v>2662.0</v>
      </c>
      <c r="W121" s="66">
        <v>2662.0</v>
      </c>
      <c r="X121" s="79" t="s">
        <v>460</v>
      </c>
      <c r="Y121" s="64" t="s">
        <v>461</v>
      </c>
      <c r="Z121" s="64" t="s">
        <v>462</v>
      </c>
      <c r="AA121" s="64" t="s">
        <v>463</v>
      </c>
      <c r="AB121" s="64" t="s">
        <v>464</v>
      </c>
      <c r="AC121" s="64" t="s">
        <v>451</v>
      </c>
      <c r="AD121" s="66" t="s">
        <v>566</v>
      </c>
      <c r="AE121" s="66" t="s">
        <v>567</v>
      </c>
      <c r="AF121" s="66" t="s">
        <v>567</v>
      </c>
      <c r="AG121" s="64" t="s">
        <v>467</v>
      </c>
      <c r="AH121" s="64" t="s">
        <v>467</v>
      </c>
      <c r="AI121" s="66">
        <v>475.0</v>
      </c>
      <c r="AJ121" s="66">
        <v>21.5</v>
      </c>
      <c r="AK121" s="84">
        <v>10212.5</v>
      </c>
      <c r="AL121" s="63"/>
      <c r="AM121" s="63"/>
      <c r="AN121" s="64">
        <v>21.5</v>
      </c>
      <c r="AO121" s="64" t="s">
        <v>468</v>
      </c>
      <c r="AP121" s="63"/>
      <c r="AQ121" s="63"/>
      <c r="AR121" s="63"/>
      <c r="AS121" s="63"/>
      <c r="AT121" s="63"/>
      <c r="AU121" s="63"/>
      <c r="AV121" s="63"/>
      <c r="AW121" s="58" t="s">
        <v>512</v>
      </c>
      <c r="AX121" s="69">
        <v>10212.5</v>
      </c>
      <c r="AY121" s="70"/>
      <c r="AZ121" s="70"/>
      <c r="BA121" s="70"/>
      <c r="BB121" s="70"/>
      <c r="BC121" s="58" t="s">
        <v>469</v>
      </c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</row>
    <row r="122">
      <c r="A122" s="59">
        <v>45814.0</v>
      </c>
      <c r="B122" s="60" t="s">
        <v>451</v>
      </c>
      <c r="C122" s="61">
        <v>45814.0</v>
      </c>
      <c r="D122" s="61">
        <v>45814.0</v>
      </c>
      <c r="E122" s="60" t="s">
        <v>452</v>
      </c>
      <c r="F122" s="71" t="s">
        <v>812</v>
      </c>
      <c r="G122" s="77"/>
      <c r="H122" s="64" t="s">
        <v>492</v>
      </c>
      <c r="I122" s="64" t="s">
        <v>626</v>
      </c>
      <c r="J122" s="64" t="s">
        <v>456</v>
      </c>
      <c r="K122" s="64" t="s">
        <v>456</v>
      </c>
      <c r="L122" s="64">
        <v>22.0</v>
      </c>
      <c r="M122" s="64">
        <v>22.0</v>
      </c>
      <c r="N122" s="64" t="s">
        <v>457</v>
      </c>
      <c r="O122" s="64">
        <v>24.0</v>
      </c>
      <c r="P122" s="64" t="s">
        <v>813</v>
      </c>
      <c r="Q122" s="66" t="s">
        <v>459</v>
      </c>
      <c r="R122" s="66" t="s">
        <v>459</v>
      </c>
      <c r="S122" s="66">
        <v>256.0</v>
      </c>
      <c r="T122" s="66">
        <v>2816.0</v>
      </c>
      <c r="U122" s="66">
        <v>256.0</v>
      </c>
      <c r="V122" s="64">
        <v>2816.0</v>
      </c>
      <c r="W122" s="64">
        <v>2816.0</v>
      </c>
      <c r="X122" s="76" t="s">
        <v>460</v>
      </c>
      <c r="Y122" s="66" t="s">
        <v>461</v>
      </c>
      <c r="Z122" s="66" t="s">
        <v>462</v>
      </c>
      <c r="AA122" s="66" t="s">
        <v>463</v>
      </c>
      <c r="AB122" s="66" t="s">
        <v>464</v>
      </c>
      <c r="AC122" s="66" t="s">
        <v>451</v>
      </c>
      <c r="AD122" s="64" t="s">
        <v>571</v>
      </c>
      <c r="AE122" s="64" t="s">
        <v>572</v>
      </c>
      <c r="AF122" s="64" t="s">
        <v>572</v>
      </c>
      <c r="AG122" s="64" t="s">
        <v>467</v>
      </c>
      <c r="AH122" s="64" t="s">
        <v>467</v>
      </c>
      <c r="AI122" s="64">
        <v>655.0</v>
      </c>
      <c r="AJ122" s="64">
        <v>21.5</v>
      </c>
      <c r="AK122" s="67">
        <v>14082.5</v>
      </c>
      <c r="AL122" s="63"/>
      <c r="AM122" s="63"/>
      <c r="AN122" s="64">
        <v>21.5</v>
      </c>
      <c r="AO122" s="60" t="s">
        <v>468</v>
      </c>
      <c r="AP122" s="63"/>
      <c r="AQ122" s="63"/>
      <c r="AR122" s="63"/>
      <c r="AS122" s="63"/>
      <c r="AT122" s="63"/>
      <c r="AU122" s="63"/>
      <c r="AV122" s="68"/>
      <c r="AW122" s="58" t="s">
        <v>512</v>
      </c>
      <c r="AX122" s="69">
        <v>14082.5</v>
      </c>
      <c r="AY122" s="70"/>
      <c r="AZ122" s="70"/>
      <c r="BA122" s="70"/>
      <c r="BB122" s="70"/>
      <c r="BC122" s="58" t="s">
        <v>469</v>
      </c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</row>
    <row r="123">
      <c r="A123" s="59">
        <v>45814.0</v>
      </c>
      <c r="B123" s="60" t="s">
        <v>451</v>
      </c>
      <c r="C123" s="61">
        <v>45814.0</v>
      </c>
      <c r="D123" s="61">
        <v>45814.0</v>
      </c>
      <c r="E123" s="60" t="s">
        <v>452</v>
      </c>
      <c r="F123" s="72" t="s">
        <v>814</v>
      </c>
      <c r="G123" s="63"/>
      <c r="H123" s="66" t="s">
        <v>472</v>
      </c>
      <c r="I123" s="66" t="s">
        <v>632</v>
      </c>
      <c r="J123" s="66" t="s">
        <v>456</v>
      </c>
      <c r="K123" s="66" t="s">
        <v>456</v>
      </c>
      <c r="L123" s="66">
        <v>22.0</v>
      </c>
      <c r="M123" s="66">
        <v>22.0</v>
      </c>
      <c r="N123" s="66" t="s">
        <v>457</v>
      </c>
      <c r="O123" s="66">
        <v>24.0</v>
      </c>
      <c r="P123" s="66" t="s">
        <v>815</v>
      </c>
      <c r="Q123" s="64" t="s">
        <v>459</v>
      </c>
      <c r="R123" s="64" t="s">
        <v>459</v>
      </c>
      <c r="S123" s="64">
        <v>207.0</v>
      </c>
      <c r="T123" s="64">
        <v>2277.0</v>
      </c>
      <c r="U123" s="64">
        <v>207.0</v>
      </c>
      <c r="V123" s="66">
        <v>2277.0</v>
      </c>
      <c r="W123" s="66">
        <v>2277.0</v>
      </c>
      <c r="X123" s="79" t="s">
        <v>460</v>
      </c>
      <c r="Y123" s="64" t="s">
        <v>461</v>
      </c>
      <c r="Z123" s="64" t="s">
        <v>462</v>
      </c>
      <c r="AA123" s="64" t="s">
        <v>463</v>
      </c>
      <c r="AB123" s="64" t="s">
        <v>464</v>
      </c>
      <c r="AC123" s="64" t="s">
        <v>451</v>
      </c>
      <c r="AD123" s="66" t="s">
        <v>577</v>
      </c>
      <c r="AE123" s="66" t="s">
        <v>578</v>
      </c>
      <c r="AF123" s="66" t="s">
        <v>578</v>
      </c>
      <c r="AG123" s="64" t="s">
        <v>467</v>
      </c>
      <c r="AH123" s="64" t="s">
        <v>467</v>
      </c>
      <c r="AI123" s="66">
        <v>396.0</v>
      </c>
      <c r="AJ123" s="66">
        <v>21.5</v>
      </c>
      <c r="AK123" s="84">
        <v>8514.0</v>
      </c>
      <c r="AL123" s="63"/>
      <c r="AM123" s="63"/>
      <c r="AN123" s="64">
        <v>21.5</v>
      </c>
      <c r="AO123" s="64" t="s">
        <v>468</v>
      </c>
      <c r="AP123" s="63"/>
      <c r="AQ123" s="63"/>
      <c r="AR123" s="63"/>
      <c r="AS123" s="63"/>
      <c r="AT123" s="63"/>
      <c r="AU123" s="63"/>
      <c r="AV123" s="63"/>
      <c r="AW123" s="58" t="s">
        <v>512</v>
      </c>
      <c r="AX123" s="69">
        <v>8514.0</v>
      </c>
      <c r="AY123" s="70"/>
      <c r="AZ123" s="70"/>
      <c r="BA123" s="70"/>
      <c r="BB123" s="70"/>
      <c r="BC123" s="58" t="s">
        <v>469</v>
      </c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</row>
    <row r="124">
      <c r="A124" s="59">
        <v>45814.0</v>
      </c>
      <c r="B124" s="60" t="s">
        <v>451</v>
      </c>
      <c r="C124" s="61">
        <v>45814.0</v>
      </c>
      <c r="D124" s="61">
        <v>45814.0</v>
      </c>
      <c r="E124" s="60" t="s">
        <v>452</v>
      </c>
      <c r="F124" s="71" t="s">
        <v>816</v>
      </c>
      <c r="G124" s="77"/>
      <c r="H124" s="64" t="s">
        <v>472</v>
      </c>
      <c r="I124" s="64" t="s">
        <v>817</v>
      </c>
      <c r="J124" s="64" t="s">
        <v>456</v>
      </c>
      <c r="K124" s="64" t="s">
        <v>456</v>
      </c>
      <c r="L124" s="64">
        <v>22.0</v>
      </c>
      <c r="M124" s="64">
        <v>22.0</v>
      </c>
      <c r="N124" s="64" t="s">
        <v>457</v>
      </c>
      <c r="O124" s="64">
        <v>24.0</v>
      </c>
      <c r="P124" s="75">
        <v>2.43E8</v>
      </c>
      <c r="Q124" s="66" t="s">
        <v>459</v>
      </c>
      <c r="R124" s="66" t="s">
        <v>459</v>
      </c>
      <c r="S124" s="66">
        <v>74.0</v>
      </c>
      <c r="T124" s="66">
        <v>814.0</v>
      </c>
      <c r="U124" s="66">
        <v>74.0</v>
      </c>
      <c r="V124" s="64">
        <v>814.0</v>
      </c>
      <c r="W124" s="64">
        <v>814.0</v>
      </c>
      <c r="X124" s="76" t="s">
        <v>460</v>
      </c>
      <c r="Y124" s="66" t="s">
        <v>461</v>
      </c>
      <c r="Z124" s="66" t="s">
        <v>462</v>
      </c>
      <c r="AA124" s="66" t="s">
        <v>463</v>
      </c>
      <c r="AB124" s="66" t="s">
        <v>464</v>
      </c>
      <c r="AC124" s="66" t="s">
        <v>451</v>
      </c>
      <c r="AD124" s="64" t="s">
        <v>634</v>
      </c>
      <c r="AE124" s="64" t="s">
        <v>617</v>
      </c>
      <c r="AF124" s="64" t="s">
        <v>617</v>
      </c>
      <c r="AG124" s="64" t="s">
        <v>467</v>
      </c>
      <c r="AH124" s="64" t="s">
        <v>467</v>
      </c>
      <c r="AI124" s="64">
        <v>330.0</v>
      </c>
      <c r="AJ124" s="64">
        <v>21.5</v>
      </c>
      <c r="AK124" s="67">
        <v>7095.0</v>
      </c>
      <c r="AL124" s="63"/>
      <c r="AM124" s="63"/>
      <c r="AN124" s="64">
        <v>21.5</v>
      </c>
      <c r="AO124" s="64" t="s">
        <v>468</v>
      </c>
      <c r="AP124" s="63"/>
      <c r="AQ124" s="63"/>
      <c r="AR124" s="63"/>
      <c r="AS124" s="63"/>
      <c r="AT124" s="63"/>
      <c r="AU124" s="63"/>
      <c r="AV124" s="63"/>
      <c r="AW124" s="58" t="s">
        <v>512</v>
      </c>
      <c r="AX124" s="69">
        <v>7095.0</v>
      </c>
      <c r="AY124" s="70"/>
      <c r="AZ124" s="70"/>
      <c r="BA124" s="70"/>
      <c r="BB124" s="70"/>
      <c r="BC124" s="58" t="s">
        <v>469</v>
      </c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</row>
    <row r="125">
      <c r="A125" s="59">
        <v>45814.0</v>
      </c>
      <c r="B125" s="60" t="s">
        <v>451</v>
      </c>
      <c r="C125" s="61">
        <v>45814.0</v>
      </c>
      <c r="D125" s="61">
        <v>45814.0</v>
      </c>
      <c r="E125" s="60" t="s">
        <v>452</v>
      </c>
      <c r="F125" s="72" t="s">
        <v>818</v>
      </c>
      <c r="G125" s="63"/>
      <c r="H125" s="66" t="s">
        <v>472</v>
      </c>
      <c r="I125" s="66" t="s">
        <v>575</v>
      </c>
      <c r="J125" s="66" t="s">
        <v>456</v>
      </c>
      <c r="K125" s="66" t="s">
        <v>456</v>
      </c>
      <c r="L125" s="66">
        <v>22.0</v>
      </c>
      <c r="M125" s="66">
        <v>22.0</v>
      </c>
      <c r="N125" s="66" t="s">
        <v>457</v>
      </c>
      <c r="O125" s="66">
        <v>24.0</v>
      </c>
      <c r="P125" s="66" t="s">
        <v>819</v>
      </c>
      <c r="Q125" s="64" t="s">
        <v>459</v>
      </c>
      <c r="R125" s="64" t="s">
        <v>459</v>
      </c>
      <c r="S125" s="64">
        <v>132.0</v>
      </c>
      <c r="T125" s="64">
        <v>1452.0</v>
      </c>
      <c r="U125" s="64">
        <v>132.0</v>
      </c>
      <c r="V125" s="66">
        <v>1452.0</v>
      </c>
      <c r="W125" s="66">
        <v>1452.0</v>
      </c>
      <c r="X125" s="79" t="s">
        <v>460</v>
      </c>
      <c r="Y125" s="64" t="s">
        <v>461</v>
      </c>
      <c r="Z125" s="64" t="s">
        <v>462</v>
      </c>
      <c r="AA125" s="64" t="s">
        <v>463</v>
      </c>
      <c r="AB125" s="64" t="s">
        <v>464</v>
      </c>
      <c r="AC125" s="64" t="s">
        <v>451</v>
      </c>
      <c r="AD125" s="66" t="s">
        <v>638</v>
      </c>
      <c r="AE125" s="66" t="s">
        <v>531</v>
      </c>
      <c r="AF125" s="66" t="s">
        <v>531</v>
      </c>
      <c r="AG125" s="64" t="s">
        <v>467</v>
      </c>
      <c r="AH125" s="64" t="s">
        <v>467</v>
      </c>
      <c r="AI125" s="66">
        <v>510.0</v>
      </c>
      <c r="AJ125" s="66">
        <v>21.5</v>
      </c>
      <c r="AK125" s="84">
        <v>10965.0</v>
      </c>
      <c r="AL125" s="63"/>
      <c r="AM125" s="63"/>
      <c r="AN125" s="64">
        <v>21.5</v>
      </c>
      <c r="AO125" s="64" t="s">
        <v>468</v>
      </c>
      <c r="AP125" s="63"/>
      <c r="AQ125" s="63"/>
      <c r="AR125" s="63"/>
      <c r="AS125" s="63"/>
      <c r="AT125" s="63"/>
      <c r="AU125" s="63"/>
      <c r="AV125" s="68"/>
      <c r="AW125" s="58" t="s">
        <v>512</v>
      </c>
      <c r="AX125" s="69">
        <v>10965.0</v>
      </c>
      <c r="AY125" s="70"/>
      <c r="AZ125" s="70"/>
      <c r="BA125" s="70"/>
      <c r="BB125" s="70"/>
      <c r="BC125" s="58" t="s">
        <v>469</v>
      </c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</row>
    <row r="126">
      <c r="A126" s="59">
        <v>45815.0</v>
      </c>
      <c r="B126" s="60" t="s">
        <v>451</v>
      </c>
      <c r="C126" s="61">
        <v>45815.0</v>
      </c>
      <c r="D126" s="61">
        <v>45815.0</v>
      </c>
      <c r="E126" s="60" t="s">
        <v>452</v>
      </c>
      <c r="F126" s="72" t="s">
        <v>820</v>
      </c>
      <c r="G126" s="63"/>
      <c r="H126" s="66" t="s">
        <v>454</v>
      </c>
      <c r="I126" s="66" t="s">
        <v>706</v>
      </c>
      <c r="J126" s="66" t="s">
        <v>456</v>
      </c>
      <c r="K126" s="66" t="s">
        <v>456</v>
      </c>
      <c r="L126" s="66">
        <v>22.0</v>
      </c>
      <c r="M126" s="66">
        <v>22.0</v>
      </c>
      <c r="N126" s="66" t="s">
        <v>457</v>
      </c>
      <c r="O126" s="66">
        <v>24.0</v>
      </c>
      <c r="P126" s="66" t="s">
        <v>821</v>
      </c>
      <c r="Q126" s="64" t="s">
        <v>459</v>
      </c>
      <c r="R126" s="64" t="s">
        <v>459</v>
      </c>
      <c r="S126" s="64">
        <v>355.0</v>
      </c>
      <c r="T126" s="64">
        <v>3905.0</v>
      </c>
      <c r="U126" s="64">
        <v>355.0</v>
      </c>
      <c r="V126" s="66">
        <v>3905.0</v>
      </c>
      <c r="W126" s="66">
        <v>3905.0</v>
      </c>
      <c r="X126" s="79" t="s">
        <v>460</v>
      </c>
      <c r="Y126" s="64" t="s">
        <v>461</v>
      </c>
      <c r="Z126" s="64" t="s">
        <v>462</v>
      </c>
      <c r="AA126" s="64" t="s">
        <v>463</v>
      </c>
      <c r="AB126" s="64" t="s">
        <v>464</v>
      </c>
      <c r="AC126" s="64" t="s">
        <v>451</v>
      </c>
      <c r="AD126" s="66" t="s">
        <v>465</v>
      </c>
      <c r="AE126" s="66" t="s">
        <v>466</v>
      </c>
      <c r="AF126" s="66" t="s">
        <v>466</v>
      </c>
      <c r="AG126" s="64" t="s">
        <v>467</v>
      </c>
      <c r="AH126" s="64" t="s">
        <v>467</v>
      </c>
      <c r="AI126" s="66">
        <v>735.0</v>
      </c>
      <c r="AJ126" s="66">
        <v>21.5</v>
      </c>
      <c r="AK126" s="84">
        <v>15802.5</v>
      </c>
      <c r="AL126" s="63"/>
      <c r="AM126" s="63"/>
      <c r="AN126" s="64">
        <v>21.5</v>
      </c>
      <c r="AO126" s="60" t="s">
        <v>468</v>
      </c>
      <c r="AP126" s="63"/>
      <c r="AQ126" s="63"/>
      <c r="AR126" s="63"/>
      <c r="AS126" s="63"/>
      <c r="AT126" s="63"/>
      <c r="AU126" s="63"/>
      <c r="AV126" s="68"/>
      <c r="AW126" s="58" t="s">
        <v>512</v>
      </c>
      <c r="AX126" s="69">
        <v>15802.5</v>
      </c>
      <c r="AY126" s="70"/>
      <c r="AZ126" s="70"/>
      <c r="BA126" s="70"/>
      <c r="BB126" s="70"/>
      <c r="BC126" s="58" t="s">
        <v>469</v>
      </c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</row>
    <row r="127">
      <c r="A127" s="59">
        <v>45815.0</v>
      </c>
      <c r="B127" s="60" t="s">
        <v>451</v>
      </c>
      <c r="C127" s="61">
        <v>45815.0</v>
      </c>
      <c r="D127" s="61">
        <v>45815.0</v>
      </c>
      <c r="E127" s="60" t="s">
        <v>452</v>
      </c>
      <c r="F127" s="71" t="s">
        <v>822</v>
      </c>
      <c r="G127" s="77"/>
      <c r="H127" s="64" t="s">
        <v>472</v>
      </c>
      <c r="I127" s="64" t="s">
        <v>473</v>
      </c>
      <c r="J127" s="64" t="s">
        <v>456</v>
      </c>
      <c r="K127" s="64" t="s">
        <v>456</v>
      </c>
      <c r="L127" s="64">
        <v>22.0</v>
      </c>
      <c r="M127" s="64">
        <v>22.0</v>
      </c>
      <c r="N127" s="64" t="s">
        <v>457</v>
      </c>
      <c r="O127" s="64">
        <v>24.0</v>
      </c>
      <c r="P127" s="64" t="s">
        <v>823</v>
      </c>
      <c r="Q127" s="66" t="s">
        <v>459</v>
      </c>
      <c r="R127" s="66" t="s">
        <v>459</v>
      </c>
      <c r="S127" s="66">
        <v>250.0</v>
      </c>
      <c r="T127" s="66">
        <v>2750.0</v>
      </c>
      <c r="U127" s="66">
        <v>250.0</v>
      </c>
      <c r="V127" s="64">
        <v>2750.0</v>
      </c>
      <c r="W127" s="64">
        <v>2750.0</v>
      </c>
      <c r="X127" s="76" t="s">
        <v>460</v>
      </c>
      <c r="Y127" s="66" t="s">
        <v>461</v>
      </c>
      <c r="Z127" s="66" t="s">
        <v>462</v>
      </c>
      <c r="AA127" s="66" t="s">
        <v>463</v>
      </c>
      <c r="AB127" s="66" t="s">
        <v>464</v>
      </c>
      <c r="AC127" s="66" t="s">
        <v>451</v>
      </c>
      <c r="AD127" s="64" t="s">
        <v>475</v>
      </c>
      <c r="AE127" s="64" t="s">
        <v>476</v>
      </c>
      <c r="AF127" s="64" t="s">
        <v>476</v>
      </c>
      <c r="AG127" s="64" t="s">
        <v>467</v>
      </c>
      <c r="AH127" s="64" t="s">
        <v>467</v>
      </c>
      <c r="AI127" s="64">
        <v>650.0</v>
      </c>
      <c r="AJ127" s="64">
        <v>21.5</v>
      </c>
      <c r="AK127" s="67">
        <v>13975.0</v>
      </c>
      <c r="AL127" s="63"/>
      <c r="AM127" s="63"/>
      <c r="AN127" s="64">
        <v>21.5</v>
      </c>
      <c r="AO127" s="64" t="s">
        <v>468</v>
      </c>
      <c r="AP127" s="63"/>
      <c r="AQ127" s="63"/>
      <c r="AR127" s="63"/>
      <c r="AS127" s="63"/>
      <c r="AT127" s="63"/>
      <c r="AU127" s="63"/>
      <c r="AV127" s="63"/>
      <c r="AW127" s="58" t="s">
        <v>512</v>
      </c>
      <c r="AX127" s="69">
        <v>13975.0</v>
      </c>
      <c r="AY127" s="70"/>
      <c r="AZ127" s="70"/>
      <c r="BA127" s="70"/>
      <c r="BB127" s="70"/>
      <c r="BC127" s="58" t="s">
        <v>469</v>
      </c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</row>
    <row r="128">
      <c r="A128" s="59">
        <v>45815.0</v>
      </c>
      <c r="B128" s="60" t="s">
        <v>451</v>
      </c>
      <c r="C128" s="61">
        <v>45815.0</v>
      </c>
      <c r="D128" s="61">
        <v>45815.0</v>
      </c>
      <c r="E128" s="60" t="s">
        <v>452</v>
      </c>
      <c r="F128" s="72" t="s">
        <v>824</v>
      </c>
      <c r="G128" s="63"/>
      <c r="H128" s="66" t="s">
        <v>472</v>
      </c>
      <c r="I128" s="66" t="s">
        <v>479</v>
      </c>
      <c r="J128" s="66" t="s">
        <v>456</v>
      </c>
      <c r="K128" s="66" t="s">
        <v>456</v>
      </c>
      <c r="L128" s="66">
        <v>22.0</v>
      </c>
      <c r="M128" s="66">
        <v>22.0</v>
      </c>
      <c r="N128" s="66" t="s">
        <v>457</v>
      </c>
      <c r="O128" s="66">
        <v>24.0</v>
      </c>
      <c r="P128" s="66" t="s">
        <v>825</v>
      </c>
      <c r="Q128" s="64" t="s">
        <v>459</v>
      </c>
      <c r="R128" s="64" t="s">
        <v>459</v>
      </c>
      <c r="S128" s="64">
        <v>271.0</v>
      </c>
      <c r="T128" s="64">
        <v>2981.0</v>
      </c>
      <c r="U128" s="64">
        <v>271.0</v>
      </c>
      <c r="V128" s="66">
        <v>2981.0</v>
      </c>
      <c r="W128" s="66">
        <v>2981.0</v>
      </c>
      <c r="X128" s="79" t="s">
        <v>460</v>
      </c>
      <c r="Y128" s="64" t="s">
        <v>461</v>
      </c>
      <c r="Z128" s="64" t="s">
        <v>462</v>
      </c>
      <c r="AA128" s="64" t="s">
        <v>463</v>
      </c>
      <c r="AB128" s="64" t="s">
        <v>464</v>
      </c>
      <c r="AC128" s="64" t="s">
        <v>451</v>
      </c>
      <c r="AD128" s="66" t="s">
        <v>481</v>
      </c>
      <c r="AE128" s="66" t="s">
        <v>482</v>
      </c>
      <c r="AF128" s="66" t="s">
        <v>482</v>
      </c>
      <c r="AG128" s="64" t="s">
        <v>467</v>
      </c>
      <c r="AH128" s="64" t="s">
        <v>467</v>
      </c>
      <c r="AI128" s="66">
        <v>655.0</v>
      </c>
      <c r="AJ128" s="66">
        <v>21.5</v>
      </c>
      <c r="AK128" s="84">
        <v>14082.5</v>
      </c>
      <c r="AL128" s="63"/>
      <c r="AM128" s="63"/>
      <c r="AN128" s="64">
        <v>21.5</v>
      </c>
      <c r="AO128" s="64" t="s">
        <v>468</v>
      </c>
      <c r="AP128" s="63"/>
      <c r="AQ128" s="63"/>
      <c r="AR128" s="63"/>
      <c r="AS128" s="63"/>
      <c r="AT128" s="63"/>
      <c r="AU128" s="63"/>
      <c r="AV128" s="68"/>
      <c r="AW128" s="58" t="s">
        <v>512</v>
      </c>
      <c r="AX128" s="69">
        <v>14082.5</v>
      </c>
      <c r="AY128" s="70"/>
      <c r="AZ128" s="70"/>
      <c r="BA128" s="70"/>
      <c r="BB128" s="70"/>
      <c r="BC128" s="58" t="s">
        <v>469</v>
      </c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</row>
    <row r="129">
      <c r="A129" s="59">
        <v>45815.0</v>
      </c>
      <c r="B129" s="60" t="s">
        <v>451</v>
      </c>
      <c r="C129" s="61">
        <v>45815.0</v>
      </c>
      <c r="D129" s="61">
        <v>45815.0</v>
      </c>
      <c r="E129" s="60" t="s">
        <v>452</v>
      </c>
      <c r="F129" s="71" t="s">
        <v>826</v>
      </c>
      <c r="G129" s="77"/>
      <c r="H129" s="64" t="s">
        <v>492</v>
      </c>
      <c r="I129" s="64" t="s">
        <v>493</v>
      </c>
      <c r="J129" s="64" t="s">
        <v>456</v>
      </c>
      <c r="K129" s="64" t="s">
        <v>456</v>
      </c>
      <c r="L129" s="64">
        <v>28.0</v>
      </c>
      <c r="M129" s="64">
        <v>28.0</v>
      </c>
      <c r="N129" s="64" t="s">
        <v>457</v>
      </c>
      <c r="O129" s="64">
        <v>24.0</v>
      </c>
      <c r="P129" s="64" t="s">
        <v>827</v>
      </c>
      <c r="Q129" s="66" t="s">
        <v>459</v>
      </c>
      <c r="R129" s="66" t="s">
        <v>459</v>
      </c>
      <c r="S129" s="66">
        <v>576.0</v>
      </c>
      <c r="T129" s="66">
        <v>6336.0</v>
      </c>
      <c r="U129" s="66">
        <v>576.0</v>
      </c>
      <c r="V129" s="64">
        <v>6336.0</v>
      </c>
      <c r="W129" s="64">
        <v>6336.0</v>
      </c>
      <c r="X129" s="76" t="s">
        <v>460</v>
      </c>
      <c r="Y129" s="66" t="s">
        <v>461</v>
      </c>
      <c r="Z129" s="66" t="s">
        <v>462</v>
      </c>
      <c r="AA129" s="66" t="s">
        <v>463</v>
      </c>
      <c r="AB129" s="66" t="s">
        <v>464</v>
      </c>
      <c r="AC129" s="66" t="s">
        <v>451</v>
      </c>
      <c r="AD129" s="64" t="s">
        <v>495</v>
      </c>
      <c r="AE129" s="64" t="s">
        <v>496</v>
      </c>
      <c r="AF129" s="64" t="s">
        <v>496</v>
      </c>
      <c r="AG129" s="64" t="s">
        <v>467</v>
      </c>
      <c r="AH129" s="64" t="s">
        <v>467</v>
      </c>
      <c r="AI129" s="64">
        <v>570.0</v>
      </c>
      <c r="AJ129" s="64">
        <v>23.5</v>
      </c>
      <c r="AK129" s="67">
        <v>13395.0</v>
      </c>
      <c r="AL129" s="63"/>
      <c r="AM129" s="63"/>
      <c r="AN129" s="64">
        <v>23.5</v>
      </c>
      <c r="AO129" s="64" t="s">
        <v>468</v>
      </c>
      <c r="AP129" s="63"/>
      <c r="AQ129" s="63"/>
      <c r="AR129" s="63"/>
      <c r="AS129" s="63"/>
      <c r="AT129" s="63"/>
      <c r="AU129" s="63"/>
      <c r="AV129" s="63"/>
      <c r="AW129" s="58" t="s">
        <v>512</v>
      </c>
      <c r="AX129" s="69">
        <v>13395.0</v>
      </c>
      <c r="AY129" s="70"/>
      <c r="AZ129" s="70"/>
      <c r="BA129" s="70"/>
      <c r="BB129" s="70"/>
      <c r="BC129" s="58" t="s">
        <v>469</v>
      </c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</row>
    <row r="130">
      <c r="A130" s="59">
        <v>45815.0</v>
      </c>
      <c r="B130" s="60" t="s">
        <v>451</v>
      </c>
      <c r="C130" s="61">
        <v>45815.0</v>
      </c>
      <c r="D130" s="61">
        <v>45815.0</v>
      </c>
      <c r="E130" s="60" t="s">
        <v>452</v>
      </c>
      <c r="F130" s="72" t="s">
        <v>828</v>
      </c>
      <c r="G130" s="63"/>
      <c r="H130" s="66" t="s">
        <v>521</v>
      </c>
      <c r="I130" s="66" t="s">
        <v>615</v>
      </c>
      <c r="J130" s="66" t="s">
        <v>486</v>
      </c>
      <c r="K130" s="66" t="s">
        <v>486</v>
      </c>
      <c r="L130" s="66">
        <v>22.0</v>
      </c>
      <c r="M130" s="66">
        <v>22.0</v>
      </c>
      <c r="N130" s="66" t="s">
        <v>457</v>
      </c>
      <c r="O130" s="66">
        <v>24.0</v>
      </c>
      <c r="P130" s="66" t="s">
        <v>750</v>
      </c>
      <c r="Q130" s="64" t="s">
        <v>459</v>
      </c>
      <c r="R130" s="64" t="s">
        <v>459</v>
      </c>
      <c r="S130" s="64">
        <v>172.0</v>
      </c>
      <c r="T130" s="64">
        <v>1892.0</v>
      </c>
      <c r="U130" s="64">
        <v>172.0</v>
      </c>
      <c r="V130" s="66">
        <v>1892.0</v>
      </c>
      <c r="W130" s="66">
        <v>1892.0</v>
      </c>
      <c r="X130" s="79" t="s">
        <v>460</v>
      </c>
      <c r="Y130" s="64" t="s">
        <v>461</v>
      </c>
      <c r="Z130" s="64" t="s">
        <v>462</v>
      </c>
      <c r="AA130" s="64" t="s">
        <v>463</v>
      </c>
      <c r="AB130" s="64" t="s">
        <v>464</v>
      </c>
      <c r="AC130" s="64" t="s">
        <v>451</v>
      </c>
      <c r="AD130" s="66" t="s">
        <v>501</v>
      </c>
      <c r="AE130" s="66" t="s">
        <v>470</v>
      </c>
      <c r="AF130" s="66" t="s">
        <v>470</v>
      </c>
      <c r="AG130" s="64" t="s">
        <v>467</v>
      </c>
      <c r="AH130" s="64" t="s">
        <v>467</v>
      </c>
      <c r="AI130" s="66">
        <v>380.0</v>
      </c>
      <c r="AJ130" s="66">
        <v>23.5</v>
      </c>
      <c r="AK130" s="84">
        <v>8930.0</v>
      </c>
      <c r="AL130" s="63"/>
      <c r="AM130" s="63"/>
      <c r="AN130" s="64">
        <v>23.5</v>
      </c>
      <c r="AO130" s="64" t="s">
        <v>468</v>
      </c>
      <c r="AP130" s="63"/>
      <c r="AQ130" s="63"/>
      <c r="AR130" s="63"/>
      <c r="AS130" s="63"/>
      <c r="AT130" s="63"/>
      <c r="AU130" s="63"/>
      <c r="AV130" s="68"/>
      <c r="AW130" s="58" t="s">
        <v>512</v>
      </c>
      <c r="AX130" s="69">
        <v>8930.0</v>
      </c>
      <c r="AY130" s="70"/>
      <c r="AZ130" s="70"/>
      <c r="BA130" s="70"/>
      <c r="BB130" s="70"/>
      <c r="BC130" s="58" t="s">
        <v>469</v>
      </c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</row>
    <row r="131">
      <c r="A131" s="59">
        <v>45815.0</v>
      </c>
      <c r="B131" s="60" t="s">
        <v>451</v>
      </c>
      <c r="C131" s="61">
        <v>45815.0</v>
      </c>
      <c r="D131" s="61">
        <v>45815.0</v>
      </c>
      <c r="E131" s="60" t="s">
        <v>452</v>
      </c>
      <c r="F131" s="71" t="s">
        <v>829</v>
      </c>
      <c r="G131" s="77"/>
      <c r="H131" s="64" t="s">
        <v>504</v>
      </c>
      <c r="I131" s="64" t="s">
        <v>505</v>
      </c>
      <c r="J131" s="64" t="s">
        <v>456</v>
      </c>
      <c r="K131" s="64" t="s">
        <v>456</v>
      </c>
      <c r="L131" s="64">
        <v>22.0</v>
      </c>
      <c r="M131" s="64">
        <v>22.0</v>
      </c>
      <c r="N131" s="64" t="s">
        <v>457</v>
      </c>
      <c r="O131" s="64">
        <v>24.0</v>
      </c>
      <c r="P131" s="64" t="s">
        <v>830</v>
      </c>
      <c r="Q131" s="66" t="s">
        <v>459</v>
      </c>
      <c r="R131" s="66" t="s">
        <v>459</v>
      </c>
      <c r="S131" s="66">
        <v>150.0</v>
      </c>
      <c r="T131" s="66">
        <v>1650.0</v>
      </c>
      <c r="U131" s="66">
        <v>150.0</v>
      </c>
      <c r="V131" s="64">
        <v>1650.0</v>
      </c>
      <c r="W131" s="64">
        <v>1650.0</v>
      </c>
      <c r="X131" s="76" t="s">
        <v>460</v>
      </c>
      <c r="Y131" s="66" t="s">
        <v>461</v>
      </c>
      <c r="Z131" s="66" t="s">
        <v>462</v>
      </c>
      <c r="AA131" s="66" t="s">
        <v>463</v>
      </c>
      <c r="AB131" s="66" t="s">
        <v>464</v>
      </c>
      <c r="AC131" s="66" t="s">
        <v>451</v>
      </c>
      <c r="AD131" s="64" t="s">
        <v>507</v>
      </c>
      <c r="AE131" s="64" t="s">
        <v>508</v>
      </c>
      <c r="AF131" s="64" t="s">
        <v>509</v>
      </c>
      <c r="AG131" s="64" t="s">
        <v>467</v>
      </c>
      <c r="AH131" s="64" t="s">
        <v>467</v>
      </c>
      <c r="AI131" s="64">
        <v>790.0</v>
      </c>
      <c r="AJ131" s="64">
        <v>21.5</v>
      </c>
      <c r="AK131" s="67">
        <v>16985.0</v>
      </c>
      <c r="AL131" s="63"/>
      <c r="AM131" s="63"/>
      <c r="AN131" s="64">
        <v>21.5</v>
      </c>
      <c r="AO131" s="64" t="s">
        <v>468</v>
      </c>
      <c r="AP131" s="63"/>
      <c r="AQ131" s="63"/>
      <c r="AR131" s="63"/>
      <c r="AS131" s="73">
        <v>0.5</v>
      </c>
      <c r="AT131" s="64">
        <v>8492.5</v>
      </c>
      <c r="AU131" s="60" t="s">
        <v>510</v>
      </c>
      <c r="AV131" s="74" t="s">
        <v>511</v>
      </c>
      <c r="AW131" s="58" t="s">
        <v>512</v>
      </c>
      <c r="AX131" s="69">
        <v>8492.5</v>
      </c>
      <c r="AY131" s="70"/>
      <c r="AZ131" s="70"/>
      <c r="BA131" s="69">
        <v>8492.5</v>
      </c>
      <c r="BB131" s="70"/>
      <c r="BC131" s="58" t="s">
        <v>469</v>
      </c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</row>
    <row r="132">
      <c r="A132" s="59">
        <v>45815.0</v>
      </c>
      <c r="B132" s="60" t="s">
        <v>451</v>
      </c>
      <c r="C132" s="61">
        <v>45815.0</v>
      </c>
      <c r="D132" s="61">
        <v>45815.0</v>
      </c>
      <c r="E132" s="60" t="s">
        <v>452</v>
      </c>
      <c r="F132" s="72" t="s">
        <v>831</v>
      </c>
      <c r="G132" s="63"/>
      <c r="H132" s="66" t="s">
        <v>504</v>
      </c>
      <c r="I132" s="66" t="s">
        <v>515</v>
      </c>
      <c r="J132" s="66" t="s">
        <v>456</v>
      </c>
      <c r="K132" s="66" t="s">
        <v>456</v>
      </c>
      <c r="L132" s="66">
        <v>22.0</v>
      </c>
      <c r="M132" s="66">
        <v>22.0</v>
      </c>
      <c r="N132" s="66" t="s">
        <v>457</v>
      </c>
      <c r="O132" s="66">
        <v>24.0</v>
      </c>
      <c r="P132" s="66" t="s">
        <v>832</v>
      </c>
      <c r="Q132" s="64" t="s">
        <v>459</v>
      </c>
      <c r="R132" s="64" t="s">
        <v>459</v>
      </c>
      <c r="S132" s="64">
        <v>167.0</v>
      </c>
      <c r="T132" s="64">
        <v>1837.0</v>
      </c>
      <c r="U132" s="64">
        <v>167.0</v>
      </c>
      <c r="V132" s="66">
        <v>1837.0</v>
      </c>
      <c r="W132" s="66">
        <v>1837.0</v>
      </c>
      <c r="X132" s="79" t="s">
        <v>460</v>
      </c>
      <c r="Y132" s="64" t="s">
        <v>461</v>
      </c>
      <c r="Z132" s="64" t="s">
        <v>462</v>
      </c>
      <c r="AA132" s="64" t="s">
        <v>463</v>
      </c>
      <c r="AB132" s="64" t="s">
        <v>464</v>
      </c>
      <c r="AC132" s="64" t="s">
        <v>451</v>
      </c>
      <c r="AD132" s="66" t="s">
        <v>517</v>
      </c>
      <c r="AE132" s="66" t="s">
        <v>518</v>
      </c>
      <c r="AF132" s="66" t="s">
        <v>518</v>
      </c>
      <c r="AG132" s="64" t="s">
        <v>467</v>
      </c>
      <c r="AH132" s="64" t="s">
        <v>467</v>
      </c>
      <c r="AI132" s="66">
        <v>815.0</v>
      </c>
      <c r="AJ132" s="66">
        <v>21.5</v>
      </c>
      <c r="AK132" s="84">
        <v>17522.5</v>
      </c>
      <c r="AL132" s="63"/>
      <c r="AM132" s="63"/>
      <c r="AN132" s="64">
        <v>21.5</v>
      </c>
      <c r="AO132" s="64" t="s">
        <v>468</v>
      </c>
      <c r="AP132" s="63"/>
      <c r="AQ132" s="63"/>
      <c r="AR132" s="63"/>
      <c r="AS132" s="63"/>
      <c r="AT132" s="63"/>
      <c r="AU132" s="63"/>
      <c r="AV132" s="68"/>
      <c r="AW132" s="58" t="s">
        <v>512</v>
      </c>
      <c r="AX132" s="69">
        <v>17522.5</v>
      </c>
      <c r="AY132" s="70"/>
      <c r="AZ132" s="70"/>
      <c r="BA132" s="70"/>
      <c r="BB132" s="70"/>
      <c r="BC132" s="58" t="s">
        <v>469</v>
      </c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</row>
    <row r="133">
      <c r="A133" s="59">
        <v>45815.0</v>
      </c>
      <c r="B133" s="60" t="s">
        <v>451</v>
      </c>
      <c r="C133" s="61">
        <v>45815.0</v>
      </c>
      <c r="D133" s="61">
        <v>45815.0</v>
      </c>
      <c r="E133" s="60" t="s">
        <v>452</v>
      </c>
      <c r="F133" s="71" t="s">
        <v>833</v>
      </c>
      <c r="G133" s="77"/>
      <c r="H133" s="64" t="s">
        <v>521</v>
      </c>
      <c r="I133" s="64" t="s">
        <v>555</v>
      </c>
      <c r="J133" s="64" t="s">
        <v>456</v>
      </c>
      <c r="K133" s="64" t="s">
        <v>456</v>
      </c>
      <c r="L133" s="64">
        <v>22.0</v>
      </c>
      <c r="M133" s="64">
        <v>22.0</v>
      </c>
      <c r="N133" s="64" t="s">
        <v>457</v>
      </c>
      <c r="O133" s="64">
        <v>24.0</v>
      </c>
      <c r="P133" s="64" t="s">
        <v>834</v>
      </c>
      <c r="Q133" s="66" t="s">
        <v>459</v>
      </c>
      <c r="R133" s="66" t="s">
        <v>459</v>
      </c>
      <c r="S133" s="66">
        <v>205.0</v>
      </c>
      <c r="T133" s="66">
        <v>2255.0</v>
      </c>
      <c r="U133" s="66">
        <v>205.0</v>
      </c>
      <c r="V133" s="64">
        <v>2255.0</v>
      </c>
      <c r="W133" s="64">
        <v>2255.0</v>
      </c>
      <c r="X133" s="76" t="s">
        <v>460</v>
      </c>
      <c r="Y133" s="66" t="s">
        <v>461</v>
      </c>
      <c r="Z133" s="66" t="s">
        <v>462</v>
      </c>
      <c r="AA133" s="66" t="s">
        <v>463</v>
      </c>
      <c r="AB133" s="66" t="s">
        <v>464</v>
      </c>
      <c r="AC133" s="66" t="s">
        <v>451</v>
      </c>
      <c r="AD133" s="64" t="s">
        <v>524</v>
      </c>
      <c r="AE133" s="64" t="s">
        <v>483</v>
      </c>
      <c r="AF133" s="64" t="s">
        <v>483</v>
      </c>
      <c r="AG133" s="64" t="s">
        <v>467</v>
      </c>
      <c r="AH133" s="64" t="s">
        <v>467</v>
      </c>
      <c r="AI133" s="64">
        <v>600.0</v>
      </c>
      <c r="AJ133" s="64">
        <v>21.5</v>
      </c>
      <c r="AK133" s="67">
        <v>12900.0</v>
      </c>
      <c r="AL133" s="63"/>
      <c r="AM133" s="63"/>
      <c r="AN133" s="64">
        <v>21.5</v>
      </c>
      <c r="AO133" s="64" t="s">
        <v>468</v>
      </c>
      <c r="AP133" s="63"/>
      <c r="AQ133" s="63"/>
      <c r="AR133" s="63"/>
      <c r="AS133" s="63"/>
      <c r="AT133" s="63"/>
      <c r="AU133" s="63"/>
      <c r="AV133" s="68"/>
      <c r="AW133" s="58" t="s">
        <v>512</v>
      </c>
      <c r="AX133" s="69">
        <v>12900.0</v>
      </c>
      <c r="AY133" s="70"/>
      <c r="AZ133" s="70"/>
      <c r="BA133" s="70"/>
      <c r="BB133" s="70"/>
      <c r="BC133" s="58" t="s">
        <v>469</v>
      </c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</row>
    <row r="134">
      <c r="A134" s="59">
        <v>45815.0</v>
      </c>
      <c r="B134" s="60" t="s">
        <v>451</v>
      </c>
      <c r="C134" s="61">
        <v>45815.0</v>
      </c>
      <c r="D134" s="61">
        <v>45815.0</v>
      </c>
      <c r="E134" s="60" t="s">
        <v>452</v>
      </c>
      <c r="F134" s="72" t="s">
        <v>835</v>
      </c>
      <c r="G134" s="63"/>
      <c r="H134" s="66" t="s">
        <v>492</v>
      </c>
      <c r="I134" s="66" t="s">
        <v>527</v>
      </c>
      <c r="J134" s="66" t="s">
        <v>456</v>
      </c>
      <c r="K134" s="66" t="s">
        <v>456</v>
      </c>
      <c r="L134" s="66">
        <v>22.0</v>
      </c>
      <c r="M134" s="66">
        <v>22.0</v>
      </c>
      <c r="N134" s="66" t="s">
        <v>457</v>
      </c>
      <c r="O134" s="66">
        <v>24.0</v>
      </c>
      <c r="P134" s="66" t="s">
        <v>836</v>
      </c>
      <c r="Q134" s="64" t="s">
        <v>459</v>
      </c>
      <c r="R134" s="64" t="s">
        <v>459</v>
      </c>
      <c r="S134" s="64">
        <v>265.0</v>
      </c>
      <c r="T134" s="64">
        <v>2915.0</v>
      </c>
      <c r="U134" s="64">
        <v>265.0</v>
      </c>
      <c r="V134" s="66">
        <v>2915.0</v>
      </c>
      <c r="W134" s="66">
        <v>2915.0</v>
      </c>
      <c r="X134" s="79" t="s">
        <v>460</v>
      </c>
      <c r="Y134" s="64" t="s">
        <v>461</v>
      </c>
      <c r="Z134" s="64" t="s">
        <v>462</v>
      </c>
      <c r="AA134" s="64" t="s">
        <v>463</v>
      </c>
      <c r="AB134" s="64" t="s">
        <v>464</v>
      </c>
      <c r="AC134" s="64" t="s">
        <v>451</v>
      </c>
      <c r="AD134" s="66" t="s">
        <v>529</v>
      </c>
      <c r="AE134" s="66" t="s">
        <v>530</v>
      </c>
      <c r="AF134" s="66" t="s">
        <v>530</v>
      </c>
      <c r="AG134" s="64" t="s">
        <v>467</v>
      </c>
      <c r="AH134" s="64" t="s">
        <v>467</v>
      </c>
      <c r="AI134" s="66">
        <v>510.0</v>
      </c>
      <c r="AJ134" s="66">
        <v>21.5</v>
      </c>
      <c r="AK134" s="84">
        <v>10965.0</v>
      </c>
      <c r="AL134" s="63"/>
      <c r="AM134" s="63"/>
      <c r="AN134" s="64">
        <v>21.5</v>
      </c>
      <c r="AO134" s="64" t="s">
        <v>468</v>
      </c>
      <c r="AP134" s="63"/>
      <c r="AQ134" s="63"/>
      <c r="AR134" s="63"/>
      <c r="AS134" s="63"/>
      <c r="AT134" s="63"/>
      <c r="AU134" s="63"/>
      <c r="AV134" s="68"/>
      <c r="AW134" s="58" t="s">
        <v>512</v>
      </c>
      <c r="AX134" s="69">
        <v>10965.0</v>
      </c>
      <c r="AY134" s="70"/>
      <c r="AZ134" s="70"/>
      <c r="BA134" s="70"/>
      <c r="BB134" s="70"/>
      <c r="BC134" s="58" t="s">
        <v>469</v>
      </c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</row>
    <row r="135">
      <c r="A135" s="59">
        <v>45815.0</v>
      </c>
      <c r="B135" s="60" t="s">
        <v>451</v>
      </c>
      <c r="C135" s="61">
        <v>45815.0</v>
      </c>
      <c r="D135" s="61">
        <v>45815.0</v>
      </c>
      <c r="E135" s="60" t="s">
        <v>452</v>
      </c>
      <c r="F135" s="71" t="s">
        <v>837</v>
      </c>
      <c r="G135" s="77"/>
      <c r="H135" s="64" t="s">
        <v>538</v>
      </c>
      <c r="I135" s="64" t="s">
        <v>539</v>
      </c>
      <c r="J135" s="64" t="s">
        <v>456</v>
      </c>
      <c r="K135" s="64" t="s">
        <v>456</v>
      </c>
      <c r="L135" s="64">
        <v>32.0</v>
      </c>
      <c r="M135" s="64">
        <v>32.0</v>
      </c>
      <c r="N135" s="64" t="s">
        <v>540</v>
      </c>
      <c r="O135" s="64">
        <v>24.0</v>
      </c>
      <c r="P135" s="64" t="s">
        <v>838</v>
      </c>
      <c r="Q135" s="66" t="s">
        <v>459</v>
      </c>
      <c r="R135" s="66" t="s">
        <v>459</v>
      </c>
      <c r="S135" s="66">
        <v>158.0</v>
      </c>
      <c r="T135" s="66">
        <v>1738.0</v>
      </c>
      <c r="U135" s="66">
        <v>158.0</v>
      </c>
      <c r="V135" s="64">
        <v>1738.0</v>
      </c>
      <c r="W135" s="64">
        <v>1738.0</v>
      </c>
      <c r="X135" s="76" t="s">
        <v>460</v>
      </c>
      <c r="Y135" s="66" t="s">
        <v>461</v>
      </c>
      <c r="Z135" s="66" t="s">
        <v>462</v>
      </c>
      <c r="AA135" s="66" t="s">
        <v>463</v>
      </c>
      <c r="AB135" s="66" t="s">
        <v>464</v>
      </c>
      <c r="AC135" s="66" t="s">
        <v>451</v>
      </c>
      <c r="AD135" s="64" t="s">
        <v>541</v>
      </c>
      <c r="AE135" s="64" t="s">
        <v>490</v>
      </c>
      <c r="AF135" s="64" t="s">
        <v>490</v>
      </c>
      <c r="AG135" s="64" t="s">
        <v>467</v>
      </c>
      <c r="AH135" s="64" t="s">
        <v>467</v>
      </c>
      <c r="AI135" s="64">
        <v>325.0</v>
      </c>
      <c r="AJ135" s="64">
        <v>28.4</v>
      </c>
      <c r="AK135" s="67">
        <v>9213.75</v>
      </c>
      <c r="AL135" s="63"/>
      <c r="AM135" s="63"/>
      <c r="AN135" s="64">
        <v>28.35</v>
      </c>
      <c r="AO135" s="64" t="s">
        <v>468</v>
      </c>
      <c r="AP135" s="63"/>
      <c r="AQ135" s="63"/>
      <c r="AR135" s="63"/>
      <c r="AS135" s="63"/>
      <c r="AT135" s="63"/>
      <c r="AU135" s="63"/>
      <c r="AV135" s="68"/>
      <c r="AW135" s="58" t="s">
        <v>512</v>
      </c>
      <c r="AX135" s="69">
        <v>9213.75</v>
      </c>
      <c r="AY135" s="70"/>
      <c r="AZ135" s="70"/>
      <c r="BA135" s="70"/>
      <c r="BB135" s="70"/>
      <c r="BC135" s="58" t="s">
        <v>469</v>
      </c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</row>
    <row r="136">
      <c r="A136" s="59">
        <v>45815.0</v>
      </c>
      <c r="B136" s="60" t="s">
        <v>451</v>
      </c>
      <c r="C136" s="61">
        <v>45815.0</v>
      </c>
      <c r="D136" s="61">
        <v>45815.0</v>
      </c>
      <c r="E136" s="60" t="s">
        <v>452</v>
      </c>
      <c r="F136" s="72" t="s">
        <v>839</v>
      </c>
      <c r="G136" s="63"/>
      <c r="H136" s="66" t="s">
        <v>498</v>
      </c>
      <c r="I136" s="66" t="s">
        <v>549</v>
      </c>
      <c r="J136" s="66" t="s">
        <v>456</v>
      </c>
      <c r="K136" s="66" t="s">
        <v>456</v>
      </c>
      <c r="L136" s="66">
        <v>22.0</v>
      </c>
      <c r="M136" s="66">
        <v>22.0</v>
      </c>
      <c r="N136" s="66" t="s">
        <v>457</v>
      </c>
      <c r="O136" s="66">
        <v>24.0</v>
      </c>
      <c r="P136" s="80">
        <v>2.43E8</v>
      </c>
      <c r="Q136" s="64" t="s">
        <v>459</v>
      </c>
      <c r="R136" s="64" t="s">
        <v>459</v>
      </c>
      <c r="S136" s="64">
        <v>215.0</v>
      </c>
      <c r="T136" s="64">
        <v>2365.0</v>
      </c>
      <c r="U136" s="64">
        <v>215.0</v>
      </c>
      <c r="V136" s="66">
        <v>2365.0</v>
      </c>
      <c r="W136" s="66">
        <v>2365.0</v>
      </c>
      <c r="X136" s="79" t="s">
        <v>460</v>
      </c>
      <c r="Y136" s="64" t="s">
        <v>461</v>
      </c>
      <c r="Z136" s="64" t="s">
        <v>462</v>
      </c>
      <c r="AA136" s="64" t="s">
        <v>463</v>
      </c>
      <c r="AB136" s="64" t="s">
        <v>464</v>
      </c>
      <c r="AC136" s="64" t="s">
        <v>451</v>
      </c>
      <c r="AD136" s="66" t="s">
        <v>544</v>
      </c>
      <c r="AE136" s="66" t="s">
        <v>545</v>
      </c>
      <c r="AF136" s="66" t="s">
        <v>546</v>
      </c>
      <c r="AG136" s="64" t="s">
        <v>467</v>
      </c>
      <c r="AH136" s="64" t="s">
        <v>467</v>
      </c>
      <c r="AI136" s="66">
        <v>440.0</v>
      </c>
      <c r="AJ136" s="66">
        <v>21.5</v>
      </c>
      <c r="AK136" s="84">
        <v>9460.0</v>
      </c>
      <c r="AL136" s="63"/>
      <c r="AM136" s="63"/>
      <c r="AN136" s="64">
        <v>21.5</v>
      </c>
      <c r="AO136" s="60" t="s">
        <v>468</v>
      </c>
      <c r="AP136" s="63"/>
      <c r="AQ136" s="63"/>
      <c r="AR136" s="63"/>
      <c r="AS136" s="63"/>
      <c r="AT136" s="63"/>
      <c r="AU136" s="63"/>
      <c r="AV136" s="63"/>
      <c r="AW136" s="58" t="s">
        <v>512</v>
      </c>
      <c r="AX136" s="69">
        <v>9460.0</v>
      </c>
      <c r="AY136" s="70"/>
      <c r="AZ136" s="70"/>
      <c r="BA136" s="70"/>
      <c r="BB136" s="70"/>
      <c r="BC136" s="58" t="s">
        <v>469</v>
      </c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</row>
    <row r="137">
      <c r="A137" s="59">
        <v>45815.0</v>
      </c>
      <c r="B137" s="60" t="s">
        <v>451</v>
      </c>
      <c r="C137" s="61">
        <v>45815.0</v>
      </c>
      <c r="D137" s="61">
        <v>45815.0</v>
      </c>
      <c r="E137" s="60" t="s">
        <v>452</v>
      </c>
      <c r="F137" s="71" t="s">
        <v>840</v>
      </c>
      <c r="G137" s="77"/>
      <c r="H137" s="64" t="s">
        <v>498</v>
      </c>
      <c r="I137" s="64" t="s">
        <v>596</v>
      </c>
      <c r="J137" s="64" t="s">
        <v>456</v>
      </c>
      <c r="K137" s="64" t="s">
        <v>456</v>
      </c>
      <c r="L137" s="64">
        <v>22.0</v>
      </c>
      <c r="M137" s="64">
        <v>22.0</v>
      </c>
      <c r="N137" s="64" t="s">
        <v>457</v>
      </c>
      <c r="O137" s="64">
        <v>24.0</v>
      </c>
      <c r="P137" s="64" t="s">
        <v>841</v>
      </c>
      <c r="Q137" s="66" t="s">
        <v>459</v>
      </c>
      <c r="R137" s="66" t="s">
        <v>459</v>
      </c>
      <c r="S137" s="66">
        <v>203.0</v>
      </c>
      <c r="T137" s="66">
        <v>2233.0</v>
      </c>
      <c r="U137" s="66">
        <v>203.0</v>
      </c>
      <c r="V137" s="64">
        <v>2233.0</v>
      </c>
      <c r="W137" s="64">
        <v>2233.0</v>
      </c>
      <c r="X137" s="76" t="s">
        <v>460</v>
      </c>
      <c r="Y137" s="66" t="s">
        <v>461</v>
      </c>
      <c r="Z137" s="66" t="s">
        <v>462</v>
      </c>
      <c r="AA137" s="66" t="s">
        <v>463</v>
      </c>
      <c r="AB137" s="66" t="s">
        <v>464</v>
      </c>
      <c r="AC137" s="66" t="s">
        <v>451</v>
      </c>
      <c r="AD137" s="64" t="s">
        <v>765</v>
      </c>
      <c r="AE137" s="64" t="s">
        <v>660</v>
      </c>
      <c r="AF137" s="64" t="s">
        <v>660</v>
      </c>
      <c r="AG137" s="64" t="s">
        <v>467</v>
      </c>
      <c r="AH137" s="64" t="s">
        <v>467</v>
      </c>
      <c r="AI137" s="64">
        <v>330.0</v>
      </c>
      <c r="AJ137" s="64">
        <v>21.5</v>
      </c>
      <c r="AK137" s="67">
        <v>7095.0</v>
      </c>
      <c r="AL137" s="63"/>
      <c r="AM137" s="63"/>
      <c r="AN137" s="64">
        <v>21.5</v>
      </c>
      <c r="AO137" s="64" t="s">
        <v>468</v>
      </c>
      <c r="AP137" s="63"/>
      <c r="AQ137" s="63"/>
      <c r="AR137" s="63"/>
      <c r="AS137" s="63"/>
      <c r="AT137" s="63"/>
      <c r="AU137" s="63"/>
      <c r="AV137" s="63"/>
      <c r="AW137" s="58" t="s">
        <v>512</v>
      </c>
      <c r="AX137" s="69">
        <v>7095.0</v>
      </c>
      <c r="AY137" s="70"/>
      <c r="AZ137" s="70"/>
      <c r="BA137" s="70"/>
      <c r="BB137" s="70"/>
      <c r="BC137" s="58" t="s">
        <v>469</v>
      </c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</row>
    <row r="138">
      <c r="A138" s="59">
        <v>45815.0</v>
      </c>
      <c r="B138" s="60" t="s">
        <v>451</v>
      </c>
      <c r="C138" s="61">
        <v>45815.0</v>
      </c>
      <c r="D138" s="61">
        <v>45815.0</v>
      </c>
      <c r="E138" s="60" t="s">
        <v>452</v>
      </c>
      <c r="F138" s="72" t="s">
        <v>842</v>
      </c>
      <c r="G138" s="63"/>
      <c r="H138" s="66" t="s">
        <v>521</v>
      </c>
      <c r="I138" s="66" t="s">
        <v>769</v>
      </c>
      <c r="J138" s="64" t="s">
        <v>486</v>
      </c>
      <c r="K138" s="64" t="s">
        <v>486</v>
      </c>
      <c r="L138" s="66">
        <v>22.0</v>
      </c>
      <c r="M138" s="66">
        <v>22.0</v>
      </c>
      <c r="N138" s="66" t="s">
        <v>457</v>
      </c>
      <c r="O138" s="66">
        <v>24.0</v>
      </c>
      <c r="P138" s="64" t="s">
        <v>843</v>
      </c>
      <c r="Q138" s="64" t="s">
        <v>459</v>
      </c>
      <c r="R138" s="64" t="s">
        <v>459</v>
      </c>
      <c r="S138" s="64">
        <v>354.0</v>
      </c>
      <c r="T138" s="64">
        <v>3894.0</v>
      </c>
      <c r="U138" s="64">
        <v>354.0</v>
      </c>
      <c r="V138" s="64">
        <v>3894.0</v>
      </c>
      <c r="W138" s="64">
        <v>3894.0</v>
      </c>
      <c r="X138" s="76" t="s">
        <v>460</v>
      </c>
      <c r="Y138" s="64" t="s">
        <v>461</v>
      </c>
      <c r="Z138" s="64" t="s">
        <v>462</v>
      </c>
      <c r="AA138" s="64" t="s">
        <v>463</v>
      </c>
      <c r="AB138" s="64" t="s">
        <v>464</v>
      </c>
      <c r="AC138" s="64" t="s">
        <v>451</v>
      </c>
      <c r="AD138" s="66" t="s">
        <v>678</v>
      </c>
      <c r="AE138" s="66" t="s">
        <v>643</v>
      </c>
      <c r="AF138" s="66" t="s">
        <v>643</v>
      </c>
      <c r="AG138" s="64" t="s">
        <v>467</v>
      </c>
      <c r="AH138" s="64" t="s">
        <v>467</v>
      </c>
      <c r="AI138" s="64">
        <v>805.0</v>
      </c>
      <c r="AJ138" s="64">
        <v>23.5</v>
      </c>
      <c r="AK138" s="67">
        <v>18917.5</v>
      </c>
      <c r="AL138" s="63"/>
      <c r="AM138" s="63"/>
      <c r="AN138" s="64">
        <v>23.5</v>
      </c>
      <c r="AO138" s="66" t="s">
        <v>468</v>
      </c>
      <c r="AP138" s="63"/>
      <c r="AQ138" s="63"/>
      <c r="AR138" s="63"/>
      <c r="AS138" s="63"/>
      <c r="AT138" s="63"/>
      <c r="AU138" s="63"/>
      <c r="AV138" s="68"/>
      <c r="AW138" s="58" t="s">
        <v>512</v>
      </c>
      <c r="AX138" s="69">
        <v>18917.5</v>
      </c>
      <c r="AY138" s="70"/>
      <c r="AZ138" s="70"/>
      <c r="BA138" s="70"/>
      <c r="BB138" s="70"/>
      <c r="BC138" s="58" t="s">
        <v>469</v>
      </c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</row>
    <row r="139">
      <c r="A139" s="59">
        <v>45815.0</v>
      </c>
      <c r="B139" s="60" t="s">
        <v>451</v>
      </c>
      <c r="C139" s="61">
        <v>45815.0</v>
      </c>
      <c r="D139" s="61">
        <v>45815.0</v>
      </c>
      <c r="E139" s="60" t="s">
        <v>452</v>
      </c>
      <c r="F139" s="71" t="s">
        <v>844</v>
      </c>
      <c r="G139" s="77"/>
      <c r="H139" s="64" t="s">
        <v>521</v>
      </c>
      <c r="I139" s="64" t="s">
        <v>676</v>
      </c>
      <c r="J139" s="64" t="s">
        <v>456</v>
      </c>
      <c r="K139" s="64" t="s">
        <v>456</v>
      </c>
      <c r="L139" s="66">
        <v>22.0</v>
      </c>
      <c r="M139" s="66">
        <v>22.0</v>
      </c>
      <c r="N139" s="66" t="s">
        <v>457</v>
      </c>
      <c r="O139" s="66">
        <v>24.0</v>
      </c>
      <c r="P139" s="64" t="s">
        <v>845</v>
      </c>
      <c r="Q139" s="64" t="s">
        <v>459</v>
      </c>
      <c r="R139" s="64" t="s">
        <v>459</v>
      </c>
      <c r="S139" s="64">
        <v>113.0</v>
      </c>
      <c r="T139" s="64">
        <v>1243.0</v>
      </c>
      <c r="U139" s="64">
        <v>113.0</v>
      </c>
      <c r="V139" s="64">
        <v>1243.0</v>
      </c>
      <c r="W139" s="64">
        <v>1243.0</v>
      </c>
      <c r="X139" s="76" t="s">
        <v>460</v>
      </c>
      <c r="Y139" s="64" t="s">
        <v>461</v>
      </c>
      <c r="Z139" s="64" t="s">
        <v>462</v>
      </c>
      <c r="AA139" s="64" t="s">
        <v>463</v>
      </c>
      <c r="AB139" s="66" t="s">
        <v>464</v>
      </c>
      <c r="AC139" s="66" t="s">
        <v>451</v>
      </c>
      <c r="AD139" s="66" t="s">
        <v>557</v>
      </c>
      <c r="AE139" s="64" t="s">
        <v>525</v>
      </c>
      <c r="AF139" s="64" t="s">
        <v>525</v>
      </c>
      <c r="AG139" s="64" t="s">
        <v>467</v>
      </c>
      <c r="AH139" s="64" t="s">
        <v>467</v>
      </c>
      <c r="AI139" s="66">
        <v>800.0</v>
      </c>
      <c r="AJ139" s="64">
        <v>21.5</v>
      </c>
      <c r="AK139" s="67">
        <v>17200.0</v>
      </c>
      <c r="AL139" s="63"/>
      <c r="AM139" s="63"/>
      <c r="AN139" s="64">
        <v>21.5</v>
      </c>
      <c r="AO139" s="66" t="s">
        <v>468</v>
      </c>
      <c r="AP139" s="63"/>
      <c r="AQ139" s="63"/>
      <c r="AR139" s="63"/>
      <c r="AS139" s="63"/>
      <c r="AT139" s="63"/>
      <c r="AU139" s="63"/>
      <c r="AV139" s="68"/>
      <c r="AW139" s="58" t="s">
        <v>512</v>
      </c>
      <c r="AX139" s="69">
        <v>17200.0</v>
      </c>
      <c r="AY139" s="70"/>
      <c r="AZ139" s="70"/>
      <c r="BA139" s="70"/>
      <c r="BB139" s="70"/>
      <c r="BC139" s="58" t="s">
        <v>469</v>
      </c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</row>
    <row r="140">
      <c r="A140" s="59">
        <v>45815.0</v>
      </c>
      <c r="B140" s="60" t="s">
        <v>451</v>
      </c>
      <c r="C140" s="61">
        <v>45815.0</v>
      </c>
      <c r="D140" s="61">
        <v>45815.0</v>
      </c>
      <c r="E140" s="60" t="s">
        <v>452</v>
      </c>
      <c r="F140" s="72" t="s">
        <v>846</v>
      </c>
      <c r="G140" s="63"/>
      <c r="H140" s="66" t="s">
        <v>771</v>
      </c>
      <c r="I140" s="66" t="s">
        <v>772</v>
      </c>
      <c r="J140" s="66" t="s">
        <v>456</v>
      </c>
      <c r="K140" s="66" t="s">
        <v>456</v>
      </c>
      <c r="L140" s="66">
        <v>22.0</v>
      </c>
      <c r="M140" s="66">
        <v>22.0</v>
      </c>
      <c r="N140" s="66" t="s">
        <v>457</v>
      </c>
      <c r="O140" s="66">
        <v>24.0</v>
      </c>
      <c r="P140" s="80">
        <v>2.43E8</v>
      </c>
      <c r="Q140" s="64" t="s">
        <v>459</v>
      </c>
      <c r="R140" s="64" t="s">
        <v>459</v>
      </c>
      <c r="S140" s="64">
        <v>250.0</v>
      </c>
      <c r="T140" s="64">
        <v>2750.0</v>
      </c>
      <c r="U140" s="64">
        <v>250.0</v>
      </c>
      <c r="V140" s="66">
        <v>2750.0</v>
      </c>
      <c r="W140" s="66">
        <v>2750.0</v>
      </c>
      <c r="X140" s="79" t="s">
        <v>460</v>
      </c>
      <c r="Y140" s="64" t="s">
        <v>461</v>
      </c>
      <c r="Z140" s="64" t="s">
        <v>462</v>
      </c>
      <c r="AA140" s="64" t="s">
        <v>463</v>
      </c>
      <c r="AB140" s="64" t="s">
        <v>464</v>
      </c>
      <c r="AC140" s="64" t="s">
        <v>451</v>
      </c>
      <c r="AD140" s="66" t="s">
        <v>561</v>
      </c>
      <c r="AE140" s="66" t="s">
        <v>562</v>
      </c>
      <c r="AF140" s="66" t="s">
        <v>562</v>
      </c>
      <c r="AG140" s="64" t="s">
        <v>467</v>
      </c>
      <c r="AH140" s="64" t="s">
        <v>467</v>
      </c>
      <c r="AI140" s="66">
        <v>325.0</v>
      </c>
      <c r="AJ140" s="66">
        <v>21.5</v>
      </c>
      <c r="AK140" s="84">
        <v>6987.5</v>
      </c>
      <c r="AL140" s="63"/>
      <c r="AM140" s="63"/>
      <c r="AN140" s="64">
        <v>21.5</v>
      </c>
      <c r="AO140" s="64" t="s">
        <v>468</v>
      </c>
      <c r="AP140" s="63"/>
      <c r="AQ140" s="63"/>
      <c r="AR140" s="63"/>
      <c r="AS140" s="63"/>
      <c r="AT140" s="63"/>
      <c r="AU140" s="63"/>
      <c r="AV140" s="63"/>
      <c r="AW140" s="58" t="s">
        <v>512</v>
      </c>
      <c r="AX140" s="69">
        <v>6987.5</v>
      </c>
      <c r="AY140" s="70"/>
      <c r="AZ140" s="70"/>
      <c r="BA140" s="70"/>
      <c r="BB140" s="70"/>
      <c r="BC140" s="58" t="s">
        <v>469</v>
      </c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</row>
    <row r="141">
      <c r="A141" s="59">
        <v>45815.0</v>
      </c>
      <c r="B141" s="60" t="s">
        <v>451</v>
      </c>
      <c r="C141" s="61">
        <v>45815.0</v>
      </c>
      <c r="D141" s="61">
        <v>45815.0</v>
      </c>
      <c r="E141" s="60" t="s">
        <v>452</v>
      </c>
      <c r="F141" s="71" t="s">
        <v>847</v>
      </c>
      <c r="G141" s="77"/>
      <c r="H141" s="64" t="s">
        <v>771</v>
      </c>
      <c r="I141" s="64" t="s">
        <v>775</v>
      </c>
      <c r="J141" s="64" t="s">
        <v>456</v>
      </c>
      <c r="K141" s="64" t="s">
        <v>456</v>
      </c>
      <c r="L141" s="64">
        <v>22.0</v>
      </c>
      <c r="M141" s="64">
        <v>22.0</v>
      </c>
      <c r="N141" s="64" t="s">
        <v>457</v>
      </c>
      <c r="O141" s="64">
        <v>24.0</v>
      </c>
      <c r="P141" s="64" t="s">
        <v>848</v>
      </c>
      <c r="Q141" s="66" t="s">
        <v>459</v>
      </c>
      <c r="R141" s="66" t="s">
        <v>459</v>
      </c>
      <c r="S141" s="66">
        <v>243.0</v>
      </c>
      <c r="T141" s="66">
        <v>2673.0</v>
      </c>
      <c r="U141" s="66">
        <v>243.0</v>
      </c>
      <c r="V141" s="64">
        <v>2673.0</v>
      </c>
      <c r="W141" s="64">
        <v>2673.0</v>
      </c>
      <c r="X141" s="76" t="s">
        <v>460</v>
      </c>
      <c r="Y141" s="66" t="s">
        <v>461</v>
      </c>
      <c r="Z141" s="66" t="s">
        <v>462</v>
      </c>
      <c r="AA141" s="66" t="s">
        <v>463</v>
      </c>
      <c r="AB141" s="66" t="s">
        <v>464</v>
      </c>
      <c r="AC141" s="66" t="s">
        <v>451</v>
      </c>
      <c r="AD141" s="64" t="s">
        <v>566</v>
      </c>
      <c r="AE141" s="64" t="s">
        <v>567</v>
      </c>
      <c r="AF141" s="64" t="s">
        <v>567</v>
      </c>
      <c r="AG141" s="64" t="s">
        <v>467</v>
      </c>
      <c r="AH141" s="64" t="s">
        <v>467</v>
      </c>
      <c r="AI141" s="64">
        <v>475.0</v>
      </c>
      <c r="AJ141" s="64">
        <v>21.5</v>
      </c>
      <c r="AK141" s="67">
        <v>10212.5</v>
      </c>
      <c r="AL141" s="63"/>
      <c r="AM141" s="63"/>
      <c r="AN141" s="64">
        <v>21.5</v>
      </c>
      <c r="AO141" s="64" t="s">
        <v>468</v>
      </c>
      <c r="AP141" s="63"/>
      <c r="AQ141" s="63"/>
      <c r="AR141" s="63"/>
      <c r="AS141" s="63"/>
      <c r="AT141" s="63"/>
      <c r="AU141" s="63"/>
      <c r="AV141" s="63"/>
      <c r="AW141" s="58" t="s">
        <v>512</v>
      </c>
      <c r="AX141" s="69">
        <v>10212.5</v>
      </c>
      <c r="AY141" s="70"/>
      <c r="AZ141" s="70"/>
      <c r="BA141" s="70"/>
      <c r="BB141" s="70"/>
      <c r="BC141" s="58" t="s">
        <v>469</v>
      </c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</row>
    <row r="142">
      <c r="A142" s="59">
        <v>45815.0</v>
      </c>
      <c r="B142" s="60" t="s">
        <v>451</v>
      </c>
      <c r="C142" s="61">
        <v>45815.0</v>
      </c>
      <c r="D142" s="61">
        <v>45815.0</v>
      </c>
      <c r="E142" s="60" t="s">
        <v>452</v>
      </c>
      <c r="F142" s="72" t="s">
        <v>849</v>
      </c>
      <c r="G142" s="63"/>
      <c r="H142" s="66" t="s">
        <v>492</v>
      </c>
      <c r="I142" s="66" t="s">
        <v>569</v>
      </c>
      <c r="J142" s="66" t="s">
        <v>456</v>
      </c>
      <c r="K142" s="66" t="s">
        <v>456</v>
      </c>
      <c r="L142" s="66">
        <v>22.0</v>
      </c>
      <c r="M142" s="66">
        <v>22.0</v>
      </c>
      <c r="N142" s="66" t="s">
        <v>457</v>
      </c>
      <c r="O142" s="66">
        <v>24.0</v>
      </c>
      <c r="P142" s="66" t="s">
        <v>850</v>
      </c>
      <c r="Q142" s="64" t="s">
        <v>459</v>
      </c>
      <c r="R142" s="64" t="s">
        <v>459</v>
      </c>
      <c r="S142" s="64">
        <v>170.0</v>
      </c>
      <c r="T142" s="64">
        <v>1870.0</v>
      </c>
      <c r="U142" s="64">
        <v>170.0</v>
      </c>
      <c r="V142" s="66">
        <v>1870.0</v>
      </c>
      <c r="W142" s="66">
        <v>1870.0</v>
      </c>
      <c r="X142" s="79" t="s">
        <v>460</v>
      </c>
      <c r="Y142" s="64" t="s">
        <v>461</v>
      </c>
      <c r="Z142" s="64" t="s">
        <v>462</v>
      </c>
      <c r="AA142" s="64" t="s">
        <v>463</v>
      </c>
      <c r="AB142" s="64" t="s">
        <v>464</v>
      </c>
      <c r="AC142" s="64" t="s">
        <v>451</v>
      </c>
      <c r="AD142" s="66" t="s">
        <v>571</v>
      </c>
      <c r="AE142" s="66" t="s">
        <v>572</v>
      </c>
      <c r="AF142" s="66" t="s">
        <v>572</v>
      </c>
      <c r="AG142" s="64" t="s">
        <v>467</v>
      </c>
      <c r="AH142" s="64" t="s">
        <v>467</v>
      </c>
      <c r="AI142" s="66">
        <v>655.0</v>
      </c>
      <c r="AJ142" s="66">
        <v>21.5</v>
      </c>
      <c r="AK142" s="84">
        <v>14082.5</v>
      </c>
      <c r="AL142" s="63"/>
      <c r="AM142" s="63"/>
      <c r="AN142" s="64">
        <v>21.5</v>
      </c>
      <c r="AO142" s="60" t="s">
        <v>468</v>
      </c>
      <c r="AP142" s="63"/>
      <c r="AQ142" s="63"/>
      <c r="AR142" s="63"/>
      <c r="AS142" s="63"/>
      <c r="AT142" s="63"/>
      <c r="AU142" s="63"/>
      <c r="AV142" s="68"/>
      <c r="AW142" s="58" t="s">
        <v>512</v>
      </c>
      <c r="AX142" s="69">
        <v>14082.5</v>
      </c>
      <c r="AY142" s="70"/>
      <c r="AZ142" s="70"/>
      <c r="BA142" s="70"/>
      <c r="BB142" s="70"/>
      <c r="BC142" s="58" t="s">
        <v>469</v>
      </c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</row>
    <row r="143">
      <c r="A143" s="59">
        <v>45815.0</v>
      </c>
      <c r="B143" s="60" t="s">
        <v>451</v>
      </c>
      <c r="C143" s="61">
        <v>45815.0</v>
      </c>
      <c r="D143" s="61">
        <v>45815.0</v>
      </c>
      <c r="E143" s="60" t="s">
        <v>452</v>
      </c>
      <c r="F143" s="71" t="s">
        <v>851</v>
      </c>
      <c r="G143" s="77"/>
      <c r="H143" s="64" t="s">
        <v>472</v>
      </c>
      <c r="I143" s="64" t="s">
        <v>632</v>
      </c>
      <c r="J143" s="64" t="s">
        <v>456</v>
      </c>
      <c r="K143" s="64" t="s">
        <v>456</v>
      </c>
      <c r="L143" s="64">
        <v>22.0</v>
      </c>
      <c r="M143" s="64">
        <v>22.0</v>
      </c>
      <c r="N143" s="64" t="s">
        <v>457</v>
      </c>
      <c r="O143" s="64">
        <v>24.0</v>
      </c>
      <c r="P143" s="75">
        <v>2.43E8</v>
      </c>
      <c r="Q143" s="66" t="s">
        <v>459</v>
      </c>
      <c r="R143" s="66" t="s">
        <v>459</v>
      </c>
      <c r="S143" s="66">
        <v>228.0</v>
      </c>
      <c r="T143" s="66">
        <v>2508.0</v>
      </c>
      <c r="U143" s="66">
        <v>228.0</v>
      </c>
      <c r="V143" s="64">
        <v>2508.0</v>
      </c>
      <c r="W143" s="64">
        <v>2508.0</v>
      </c>
      <c r="X143" s="76" t="s">
        <v>460</v>
      </c>
      <c r="Y143" s="66" t="s">
        <v>461</v>
      </c>
      <c r="Z143" s="66" t="s">
        <v>462</v>
      </c>
      <c r="AA143" s="66" t="s">
        <v>463</v>
      </c>
      <c r="AB143" s="66" t="s">
        <v>464</v>
      </c>
      <c r="AC143" s="66" t="s">
        <v>451</v>
      </c>
      <c r="AD143" s="64" t="s">
        <v>577</v>
      </c>
      <c r="AE143" s="64" t="s">
        <v>578</v>
      </c>
      <c r="AF143" s="64" t="s">
        <v>578</v>
      </c>
      <c r="AG143" s="64" t="s">
        <v>467</v>
      </c>
      <c r="AH143" s="64" t="s">
        <v>467</v>
      </c>
      <c r="AI143" s="64">
        <v>396.0</v>
      </c>
      <c r="AJ143" s="64">
        <v>21.5</v>
      </c>
      <c r="AK143" s="67">
        <v>8514.0</v>
      </c>
      <c r="AL143" s="63"/>
      <c r="AM143" s="63"/>
      <c r="AN143" s="64">
        <v>21.5</v>
      </c>
      <c r="AO143" s="64" t="s">
        <v>468</v>
      </c>
      <c r="AP143" s="63"/>
      <c r="AQ143" s="63"/>
      <c r="AR143" s="63"/>
      <c r="AS143" s="63"/>
      <c r="AT143" s="63"/>
      <c r="AU143" s="63"/>
      <c r="AV143" s="63"/>
      <c r="AW143" s="58" t="s">
        <v>512</v>
      </c>
      <c r="AX143" s="69">
        <v>8514.0</v>
      </c>
      <c r="AY143" s="70"/>
      <c r="AZ143" s="70"/>
      <c r="BA143" s="70"/>
      <c r="BB143" s="70"/>
      <c r="BC143" s="58" t="s">
        <v>469</v>
      </c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</row>
    <row r="144">
      <c r="A144" s="59">
        <v>45815.0</v>
      </c>
      <c r="B144" s="60" t="s">
        <v>451</v>
      </c>
      <c r="C144" s="61">
        <v>45815.0</v>
      </c>
      <c r="D144" s="61">
        <v>45815.0</v>
      </c>
      <c r="E144" s="60" t="s">
        <v>452</v>
      </c>
      <c r="F144" s="72" t="s">
        <v>852</v>
      </c>
      <c r="G144" s="63"/>
      <c r="H144" s="66" t="s">
        <v>472</v>
      </c>
      <c r="I144" s="66" t="s">
        <v>636</v>
      </c>
      <c r="J144" s="66" t="s">
        <v>456</v>
      </c>
      <c r="K144" s="66" t="s">
        <v>456</v>
      </c>
      <c r="L144" s="66">
        <v>22.0</v>
      </c>
      <c r="M144" s="66">
        <v>22.0</v>
      </c>
      <c r="N144" s="66" t="s">
        <v>457</v>
      </c>
      <c r="O144" s="66">
        <v>24.0</v>
      </c>
      <c r="P144" s="66" t="s">
        <v>853</v>
      </c>
      <c r="Q144" s="64" t="s">
        <v>459</v>
      </c>
      <c r="R144" s="64" t="s">
        <v>459</v>
      </c>
      <c r="S144" s="64">
        <v>199.0</v>
      </c>
      <c r="T144" s="64">
        <v>2189.0</v>
      </c>
      <c r="U144" s="64">
        <v>199.0</v>
      </c>
      <c r="V144" s="66">
        <v>2189.0</v>
      </c>
      <c r="W144" s="66">
        <v>2189.0</v>
      </c>
      <c r="X144" s="79" t="s">
        <v>460</v>
      </c>
      <c r="Y144" s="64" t="s">
        <v>461</v>
      </c>
      <c r="Z144" s="64" t="s">
        <v>462</v>
      </c>
      <c r="AA144" s="64" t="s">
        <v>463</v>
      </c>
      <c r="AB144" s="64" t="s">
        <v>464</v>
      </c>
      <c r="AC144" s="64" t="s">
        <v>451</v>
      </c>
      <c r="AD144" s="66" t="s">
        <v>583</v>
      </c>
      <c r="AE144" s="66" t="s">
        <v>584</v>
      </c>
      <c r="AF144" s="66" t="s">
        <v>584</v>
      </c>
      <c r="AG144" s="64" t="s">
        <v>467</v>
      </c>
      <c r="AH144" s="64" t="s">
        <v>467</v>
      </c>
      <c r="AI144" s="66">
        <v>510.0</v>
      </c>
      <c r="AJ144" s="66">
        <v>21.5</v>
      </c>
      <c r="AK144" s="84">
        <v>10965.0</v>
      </c>
      <c r="AL144" s="63"/>
      <c r="AM144" s="63"/>
      <c r="AN144" s="64">
        <v>21.5</v>
      </c>
      <c r="AO144" s="64" t="s">
        <v>468</v>
      </c>
      <c r="AP144" s="63"/>
      <c r="AQ144" s="63"/>
      <c r="AR144" s="63"/>
      <c r="AS144" s="63"/>
      <c r="AT144" s="63"/>
      <c r="AU144" s="63"/>
      <c r="AV144" s="68"/>
      <c r="AW144" s="58" t="s">
        <v>512</v>
      </c>
      <c r="AX144" s="69">
        <v>10965.0</v>
      </c>
      <c r="AY144" s="70"/>
      <c r="AZ144" s="70"/>
      <c r="BA144" s="70"/>
      <c r="BB144" s="70"/>
      <c r="BC144" s="58" t="s">
        <v>469</v>
      </c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</row>
    <row r="145">
      <c r="A145" s="59">
        <v>45816.0</v>
      </c>
      <c r="B145" s="60" t="s">
        <v>451</v>
      </c>
      <c r="C145" s="61">
        <v>45816.0</v>
      </c>
      <c r="D145" s="61">
        <v>45816.0</v>
      </c>
      <c r="E145" s="60" t="s">
        <v>452</v>
      </c>
      <c r="F145" s="71" t="s">
        <v>854</v>
      </c>
      <c r="G145" s="63"/>
      <c r="H145" s="64" t="s">
        <v>454</v>
      </c>
      <c r="I145" s="64" t="s">
        <v>641</v>
      </c>
      <c r="J145" s="64" t="s">
        <v>456</v>
      </c>
      <c r="K145" s="64" t="s">
        <v>456</v>
      </c>
      <c r="L145" s="64">
        <v>22.0</v>
      </c>
      <c r="M145" s="64">
        <v>22.0</v>
      </c>
      <c r="N145" s="64" t="s">
        <v>457</v>
      </c>
      <c r="O145" s="64">
        <v>24.0</v>
      </c>
      <c r="P145" s="64" t="s">
        <v>855</v>
      </c>
      <c r="Q145" s="66" t="s">
        <v>459</v>
      </c>
      <c r="R145" s="66" t="s">
        <v>459</v>
      </c>
      <c r="S145" s="66">
        <v>298.0</v>
      </c>
      <c r="T145" s="66">
        <v>3278.0</v>
      </c>
      <c r="U145" s="66">
        <v>298.0</v>
      </c>
      <c r="V145" s="64">
        <v>3278.0</v>
      </c>
      <c r="W145" s="64">
        <v>3278.0</v>
      </c>
      <c r="X145" s="76" t="s">
        <v>460</v>
      </c>
      <c r="Y145" s="64" t="s">
        <v>461</v>
      </c>
      <c r="Z145" s="64" t="s">
        <v>462</v>
      </c>
      <c r="AA145" s="64" t="s">
        <v>463</v>
      </c>
      <c r="AB145" s="64" t="s">
        <v>464</v>
      </c>
      <c r="AC145" s="66" t="s">
        <v>451</v>
      </c>
      <c r="AD145" s="64" t="s">
        <v>465</v>
      </c>
      <c r="AE145" s="64" t="s">
        <v>466</v>
      </c>
      <c r="AF145" s="64" t="s">
        <v>466</v>
      </c>
      <c r="AG145" s="64" t="s">
        <v>467</v>
      </c>
      <c r="AH145" s="64" t="s">
        <v>467</v>
      </c>
      <c r="AI145" s="66">
        <v>735.0</v>
      </c>
      <c r="AJ145" s="66">
        <v>21.5</v>
      </c>
      <c r="AK145" s="84">
        <v>15802.5</v>
      </c>
      <c r="AL145" s="77"/>
      <c r="AM145" s="77"/>
      <c r="AN145" s="66">
        <v>21.5</v>
      </c>
      <c r="AO145" s="60" t="s">
        <v>468</v>
      </c>
      <c r="AP145" s="63"/>
      <c r="AQ145" s="63"/>
      <c r="AR145" s="63"/>
      <c r="AS145" s="63"/>
      <c r="AT145" s="63"/>
      <c r="AU145" s="63"/>
      <c r="AV145" s="68"/>
      <c r="AW145" s="58" t="s">
        <v>512</v>
      </c>
      <c r="AX145" s="69">
        <v>15802.5</v>
      </c>
      <c r="AY145" s="70"/>
      <c r="AZ145" s="70"/>
      <c r="BA145" s="70"/>
      <c r="BB145" s="70"/>
      <c r="BC145" s="58" t="s">
        <v>469</v>
      </c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</row>
    <row r="146">
      <c r="A146" s="59">
        <v>45816.0</v>
      </c>
      <c r="B146" s="60" t="s">
        <v>451</v>
      </c>
      <c r="C146" s="61">
        <v>45816.0</v>
      </c>
      <c r="D146" s="61">
        <v>45816.0</v>
      </c>
      <c r="E146" s="60" t="s">
        <v>452</v>
      </c>
      <c r="F146" s="72" t="s">
        <v>856</v>
      </c>
      <c r="G146" s="63"/>
      <c r="H146" s="66" t="s">
        <v>472</v>
      </c>
      <c r="I146" s="66" t="s">
        <v>588</v>
      </c>
      <c r="J146" s="66" t="s">
        <v>456</v>
      </c>
      <c r="K146" s="66" t="s">
        <v>456</v>
      </c>
      <c r="L146" s="66">
        <v>22.0</v>
      </c>
      <c r="M146" s="66">
        <v>22.0</v>
      </c>
      <c r="N146" s="66" t="s">
        <v>457</v>
      </c>
      <c r="O146" s="66">
        <v>24.0</v>
      </c>
      <c r="P146" s="66" t="s">
        <v>857</v>
      </c>
      <c r="Q146" s="64" t="s">
        <v>459</v>
      </c>
      <c r="R146" s="64" t="s">
        <v>459</v>
      </c>
      <c r="S146" s="64">
        <v>214.0</v>
      </c>
      <c r="T146" s="64">
        <v>2354.0</v>
      </c>
      <c r="U146" s="64">
        <v>214.0</v>
      </c>
      <c r="V146" s="66">
        <v>2354.0</v>
      </c>
      <c r="W146" s="66">
        <v>2354.0</v>
      </c>
      <c r="X146" s="79" t="s">
        <v>460</v>
      </c>
      <c r="Y146" s="64" t="s">
        <v>461</v>
      </c>
      <c r="Z146" s="64" t="s">
        <v>462</v>
      </c>
      <c r="AA146" s="64" t="s">
        <v>463</v>
      </c>
      <c r="AB146" s="64" t="s">
        <v>464</v>
      </c>
      <c r="AC146" s="64" t="s">
        <v>451</v>
      </c>
      <c r="AD146" s="66" t="s">
        <v>475</v>
      </c>
      <c r="AE146" s="66" t="s">
        <v>476</v>
      </c>
      <c r="AF146" s="66" t="s">
        <v>476</v>
      </c>
      <c r="AG146" s="64" t="s">
        <v>467</v>
      </c>
      <c r="AH146" s="64" t="s">
        <v>467</v>
      </c>
      <c r="AI146" s="66">
        <v>650.0</v>
      </c>
      <c r="AJ146" s="66">
        <v>21.5</v>
      </c>
      <c r="AK146" s="84">
        <v>13975.0</v>
      </c>
      <c r="AL146" s="77"/>
      <c r="AM146" s="77"/>
      <c r="AN146" s="66">
        <v>21.5</v>
      </c>
      <c r="AO146" s="64" t="s">
        <v>468</v>
      </c>
      <c r="AP146" s="63"/>
      <c r="AQ146" s="63"/>
      <c r="AR146" s="63"/>
      <c r="AS146" s="63"/>
      <c r="AT146" s="63"/>
      <c r="AU146" s="63"/>
      <c r="AV146" s="63"/>
      <c r="AW146" s="58" t="s">
        <v>512</v>
      </c>
      <c r="AX146" s="69">
        <v>13975.0</v>
      </c>
      <c r="AY146" s="70"/>
      <c r="AZ146" s="70"/>
      <c r="BA146" s="70"/>
      <c r="BB146" s="70"/>
      <c r="BC146" s="58" t="s">
        <v>469</v>
      </c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</row>
    <row r="147">
      <c r="A147" s="59">
        <v>45816.0</v>
      </c>
      <c r="B147" s="60" t="s">
        <v>451</v>
      </c>
      <c r="C147" s="61">
        <v>45816.0</v>
      </c>
      <c r="D147" s="61">
        <v>45816.0</v>
      </c>
      <c r="E147" s="60" t="s">
        <v>452</v>
      </c>
      <c r="F147" s="71" t="s">
        <v>858</v>
      </c>
      <c r="G147" s="63"/>
      <c r="H147" s="64" t="s">
        <v>472</v>
      </c>
      <c r="I147" s="64" t="s">
        <v>590</v>
      </c>
      <c r="J147" s="64" t="s">
        <v>456</v>
      </c>
      <c r="K147" s="64" t="s">
        <v>456</v>
      </c>
      <c r="L147" s="64">
        <v>22.0</v>
      </c>
      <c r="M147" s="64">
        <v>22.0</v>
      </c>
      <c r="N147" s="64" t="s">
        <v>457</v>
      </c>
      <c r="O147" s="64">
        <v>24.0</v>
      </c>
      <c r="P147" s="64" t="s">
        <v>859</v>
      </c>
      <c r="Q147" s="66" t="s">
        <v>459</v>
      </c>
      <c r="R147" s="66" t="s">
        <v>459</v>
      </c>
      <c r="S147" s="66">
        <v>254.0</v>
      </c>
      <c r="T147" s="66">
        <v>2794.0</v>
      </c>
      <c r="U147" s="66">
        <v>254.0</v>
      </c>
      <c r="V147" s="64">
        <v>2794.0</v>
      </c>
      <c r="W147" s="64">
        <v>2794.0</v>
      </c>
      <c r="X147" s="76" t="s">
        <v>460</v>
      </c>
      <c r="Y147" s="64" t="s">
        <v>461</v>
      </c>
      <c r="Z147" s="64" t="s">
        <v>462</v>
      </c>
      <c r="AA147" s="64" t="s">
        <v>463</v>
      </c>
      <c r="AB147" s="64" t="s">
        <v>464</v>
      </c>
      <c r="AC147" s="66" t="s">
        <v>451</v>
      </c>
      <c r="AD147" s="64" t="s">
        <v>481</v>
      </c>
      <c r="AE147" s="64" t="s">
        <v>482</v>
      </c>
      <c r="AF147" s="64" t="s">
        <v>482</v>
      </c>
      <c r="AG147" s="64" t="s">
        <v>467</v>
      </c>
      <c r="AH147" s="64" t="s">
        <v>467</v>
      </c>
      <c r="AI147" s="64">
        <v>655.0</v>
      </c>
      <c r="AJ147" s="64">
        <v>21.5</v>
      </c>
      <c r="AK147" s="67">
        <v>14082.5</v>
      </c>
      <c r="AL147" s="63"/>
      <c r="AM147" s="63"/>
      <c r="AN147" s="64">
        <v>21.5</v>
      </c>
      <c r="AO147" s="64" t="s">
        <v>468</v>
      </c>
      <c r="AP147" s="63"/>
      <c r="AQ147" s="63"/>
      <c r="AR147" s="63"/>
      <c r="AS147" s="63"/>
      <c r="AT147" s="63"/>
      <c r="AU147" s="63"/>
      <c r="AV147" s="68"/>
      <c r="AW147" s="58" t="s">
        <v>512</v>
      </c>
      <c r="AX147" s="69">
        <v>14082.5</v>
      </c>
      <c r="AY147" s="70"/>
      <c r="AZ147" s="70"/>
      <c r="BA147" s="70"/>
      <c r="BB147" s="70"/>
      <c r="BC147" s="58" t="s">
        <v>469</v>
      </c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</row>
    <row r="148">
      <c r="A148" s="59">
        <v>45816.0</v>
      </c>
      <c r="B148" s="60" t="s">
        <v>451</v>
      </c>
      <c r="C148" s="61">
        <v>45816.0</v>
      </c>
      <c r="D148" s="61">
        <v>45816.0</v>
      </c>
      <c r="E148" s="60" t="s">
        <v>452</v>
      </c>
      <c r="F148" s="72" t="s">
        <v>860</v>
      </c>
      <c r="G148" s="63"/>
      <c r="H148" s="66" t="s">
        <v>454</v>
      </c>
      <c r="I148" s="66" t="s">
        <v>485</v>
      </c>
      <c r="J148" s="66" t="s">
        <v>486</v>
      </c>
      <c r="K148" s="66" t="s">
        <v>456</v>
      </c>
      <c r="L148" s="66">
        <v>22.0</v>
      </c>
      <c r="M148" s="66">
        <v>22.0</v>
      </c>
      <c r="N148" s="66" t="s">
        <v>457</v>
      </c>
      <c r="O148" s="66">
        <v>24.0</v>
      </c>
      <c r="P148" s="66" t="s">
        <v>861</v>
      </c>
      <c r="Q148" s="64" t="s">
        <v>459</v>
      </c>
      <c r="R148" s="64" t="s">
        <v>459</v>
      </c>
      <c r="S148" s="64">
        <v>168.0</v>
      </c>
      <c r="T148" s="64">
        <v>1848.0</v>
      </c>
      <c r="U148" s="64">
        <v>168.0</v>
      </c>
      <c r="V148" s="66">
        <v>1848.0</v>
      </c>
      <c r="W148" s="66">
        <v>1848.0</v>
      </c>
      <c r="X148" s="79" t="s">
        <v>460</v>
      </c>
      <c r="Y148" s="64" t="s">
        <v>461</v>
      </c>
      <c r="Z148" s="64" t="s">
        <v>462</v>
      </c>
      <c r="AA148" s="64" t="s">
        <v>463</v>
      </c>
      <c r="AB148" s="64" t="s">
        <v>464</v>
      </c>
      <c r="AC148" s="64" t="s">
        <v>451</v>
      </c>
      <c r="AD148" s="66" t="s">
        <v>651</v>
      </c>
      <c r="AE148" s="66" t="s">
        <v>652</v>
      </c>
      <c r="AF148" s="66" t="s">
        <v>652</v>
      </c>
      <c r="AG148" s="64" t="s">
        <v>467</v>
      </c>
      <c r="AH148" s="64" t="s">
        <v>467</v>
      </c>
      <c r="AI148" s="64">
        <v>655.0</v>
      </c>
      <c r="AJ148" s="64">
        <v>23.5</v>
      </c>
      <c r="AK148" s="67">
        <v>15392.5</v>
      </c>
      <c r="AL148" s="63"/>
      <c r="AM148" s="63"/>
      <c r="AN148" s="64">
        <v>23.5</v>
      </c>
      <c r="AO148" s="64" t="s">
        <v>468</v>
      </c>
      <c r="AP148" s="63"/>
      <c r="AQ148" s="63"/>
      <c r="AR148" s="63"/>
      <c r="AS148" s="63"/>
      <c r="AT148" s="63"/>
      <c r="AU148" s="63"/>
      <c r="AV148" s="63"/>
      <c r="AW148" s="58" t="s">
        <v>512</v>
      </c>
      <c r="AX148" s="69">
        <v>15392.5</v>
      </c>
      <c r="AY148" s="70"/>
      <c r="AZ148" s="70"/>
      <c r="BA148" s="70"/>
      <c r="BB148" s="70"/>
      <c r="BC148" s="58" t="s">
        <v>469</v>
      </c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</row>
    <row r="149">
      <c r="A149" s="59">
        <v>45816.0</v>
      </c>
      <c r="B149" s="60" t="s">
        <v>451</v>
      </c>
      <c r="C149" s="61">
        <v>45816.0</v>
      </c>
      <c r="D149" s="61">
        <v>45816.0</v>
      </c>
      <c r="E149" s="60" t="s">
        <v>452</v>
      </c>
      <c r="F149" s="71" t="s">
        <v>862</v>
      </c>
      <c r="G149" s="63"/>
      <c r="H149" s="64" t="s">
        <v>492</v>
      </c>
      <c r="I149" s="64" t="s">
        <v>593</v>
      </c>
      <c r="J149" s="64" t="s">
        <v>456</v>
      </c>
      <c r="K149" s="64" t="s">
        <v>456</v>
      </c>
      <c r="L149" s="64">
        <v>28.0</v>
      </c>
      <c r="M149" s="64">
        <v>28.0</v>
      </c>
      <c r="N149" s="64" t="s">
        <v>457</v>
      </c>
      <c r="O149" s="64">
        <v>24.0</v>
      </c>
      <c r="P149" s="64" t="s">
        <v>863</v>
      </c>
      <c r="Q149" s="66" t="s">
        <v>459</v>
      </c>
      <c r="R149" s="66" t="s">
        <v>459</v>
      </c>
      <c r="S149" s="66">
        <v>572.0</v>
      </c>
      <c r="T149" s="66">
        <v>6292.0</v>
      </c>
      <c r="U149" s="66">
        <v>572.0</v>
      </c>
      <c r="V149" s="64">
        <v>6292.0</v>
      </c>
      <c r="W149" s="64">
        <v>6292.0</v>
      </c>
      <c r="X149" s="76" t="s">
        <v>460</v>
      </c>
      <c r="Y149" s="64" t="s">
        <v>461</v>
      </c>
      <c r="Z149" s="64" t="s">
        <v>462</v>
      </c>
      <c r="AA149" s="64" t="s">
        <v>463</v>
      </c>
      <c r="AB149" s="64" t="s">
        <v>464</v>
      </c>
      <c r="AC149" s="66" t="s">
        <v>451</v>
      </c>
      <c r="AD149" s="64" t="s">
        <v>495</v>
      </c>
      <c r="AE149" s="64" t="s">
        <v>496</v>
      </c>
      <c r="AF149" s="64" t="s">
        <v>496</v>
      </c>
      <c r="AG149" s="64" t="s">
        <v>467</v>
      </c>
      <c r="AH149" s="64" t="s">
        <v>467</v>
      </c>
      <c r="AI149" s="64">
        <v>570.0</v>
      </c>
      <c r="AJ149" s="60">
        <v>23.5</v>
      </c>
      <c r="AK149" s="67">
        <v>13395.0</v>
      </c>
      <c r="AL149" s="63"/>
      <c r="AM149" s="63"/>
      <c r="AN149" s="64">
        <v>23.5</v>
      </c>
      <c r="AO149" s="64" t="s">
        <v>468</v>
      </c>
      <c r="AP149" s="63"/>
      <c r="AQ149" s="63"/>
      <c r="AR149" s="63"/>
      <c r="AS149" s="63"/>
      <c r="AT149" s="63"/>
      <c r="AU149" s="63"/>
      <c r="AV149" s="63"/>
      <c r="AW149" s="58" t="s">
        <v>512</v>
      </c>
      <c r="AX149" s="69">
        <v>13395.0</v>
      </c>
      <c r="AY149" s="70"/>
      <c r="AZ149" s="70"/>
      <c r="BA149" s="70"/>
      <c r="BB149" s="70"/>
      <c r="BC149" s="58" t="s">
        <v>469</v>
      </c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</row>
    <row r="150">
      <c r="A150" s="59">
        <v>45816.0</v>
      </c>
      <c r="B150" s="60" t="s">
        <v>451</v>
      </c>
      <c r="C150" s="61">
        <v>45816.0</v>
      </c>
      <c r="D150" s="61">
        <v>45816.0</v>
      </c>
      <c r="E150" s="60" t="s">
        <v>452</v>
      </c>
      <c r="F150" s="72" t="s">
        <v>864</v>
      </c>
      <c r="G150" s="63"/>
      <c r="H150" s="66" t="s">
        <v>498</v>
      </c>
      <c r="I150" s="66" t="s">
        <v>865</v>
      </c>
      <c r="J150" s="66" t="s">
        <v>456</v>
      </c>
      <c r="K150" s="66" t="s">
        <v>456</v>
      </c>
      <c r="L150" s="66">
        <v>22.0</v>
      </c>
      <c r="M150" s="66">
        <v>22.0</v>
      </c>
      <c r="N150" s="66" t="s">
        <v>457</v>
      </c>
      <c r="O150" s="66">
        <v>24.0</v>
      </c>
      <c r="P150" s="66" t="s">
        <v>866</v>
      </c>
      <c r="Q150" s="64" t="s">
        <v>459</v>
      </c>
      <c r="R150" s="64" t="s">
        <v>459</v>
      </c>
      <c r="S150" s="64">
        <v>227.0</v>
      </c>
      <c r="T150" s="64">
        <v>2497.0</v>
      </c>
      <c r="U150" s="64">
        <v>227.0</v>
      </c>
      <c r="V150" s="66">
        <v>2497.0</v>
      </c>
      <c r="W150" s="66">
        <v>2497.0</v>
      </c>
      <c r="X150" s="79" t="s">
        <v>460</v>
      </c>
      <c r="Y150" s="64" t="s">
        <v>461</v>
      </c>
      <c r="Z150" s="64" t="s">
        <v>462</v>
      </c>
      <c r="AA150" s="64" t="s">
        <v>463</v>
      </c>
      <c r="AB150" s="64" t="s">
        <v>464</v>
      </c>
      <c r="AC150" s="60" t="s">
        <v>451</v>
      </c>
      <c r="AD150" s="66" t="s">
        <v>501</v>
      </c>
      <c r="AE150" s="66" t="s">
        <v>470</v>
      </c>
      <c r="AF150" s="66" t="s">
        <v>470</v>
      </c>
      <c r="AG150" s="64" t="s">
        <v>467</v>
      </c>
      <c r="AH150" s="64" t="s">
        <v>467</v>
      </c>
      <c r="AI150" s="64">
        <v>380.0</v>
      </c>
      <c r="AJ150" s="64">
        <v>21.5</v>
      </c>
      <c r="AK150" s="67">
        <v>8170.0</v>
      </c>
      <c r="AL150" s="63"/>
      <c r="AM150" s="63"/>
      <c r="AN150" s="64">
        <v>21.5</v>
      </c>
      <c r="AO150" s="64" t="s">
        <v>468</v>
      </c>
      <c r="AP150" s="63"/>
      <c r="AQ150" s="63"/>
      <c r="AR150" s="63"/>
      <c r="AS150" s="63"/>
      <c r="AT150" s="63"/>
      <c r="AU150" s="63"/>
      <c r="AV150" s="68"/>
      <c r="AW150" s="58" t="s">
        <v>512</v>
      </c>
      <c r="AX150" s="69">
        <v>8170.0</v>
      </c>
      <c r="AY150" s="70"/>
      <c r="AZ150" s="70"/>
      <c r="BA150" s="70"/>
      <c r="BB150" s="70"/>
      <c r="BC150" s="58" t="s">
        <v>469</v>
      </c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</row>
    <row r="151">
      <c r="A151" s="59">
        <v>45816.0</v>
      </c>
      <c r="B151" s="60" t="s">
        <v>451</v>
      </c>
      <c r="C151" s="61">
        <v>45816.0</v>
      </c>
      <c r="D151" s="61">
        <v>45816.0</v>
      </c>
      <c r="E151" s="60" t="s">
        <v>452</v>
      </c>
      <c r="F151" s="71" t="s">
        <v>867</v>
      </c>
      <c r="G151" s="63"/>
      <c r="H151" s="64" t="s">
        <v>492</v>
      </c>
      <c r="I151" s="64" t="s">
        <v>793</v>
      </c>
      <c r="J151" s="64" t="s">
        <v>456</v>
      </c>
      <c r="K151" s="64" t="s">
        <v>456</v>
      </c>
      <c r="L151" s="64">
        <v>22.0</v>
      </c>
      <c r="M151" s="64">
        <v>22.0</v>
      </c>
      <c r="N151" s="64" t="s">
        <v>457</v>
      </c>
      <c r="O151" s="64">
        <v>24.0</v>
      </c>
      <c r="P151" s="64" t="s">
        <v>868</v>
      </c>
      <c r="Q151" s="66" t="s">
        <v>459</v>
      </c>
      <c r="R151" s="66" t="s">
        <v>459</v>
      </c>
      <c r="S151" s="66">
        <v>224.0</v>
      </c>
      <c r="T151" s="66">
        <v>2464.0</v>
      </c>
      <c r="U151" s="66">
        <v>224.0</v>
      </c>
      <c r="V151" s="64">
        <v>2464.0</v>
      </c>
      <c r="W151" s="64">
        <v>2464.0</v>
      </c>
      <c r="X151" s="76" t="s">
        <v>460</v>
      </c>
      <c r="Y151" s="64" t="s">
        <v>461</v>
      </c>
      <c r="Z151" s="64" t="s">
        <v>462</v>
      </c>
      <c r="AA151" s="64" t="s">
        <v>463</v>
      </c>
      <c r="AB151" s="64" t="s">
        <v>464</v>
      </c>
      <c r="AC151" s="60" t="s">
        <v>451</v>
      </c>
      <c r="AD151" s="64" t="s">
        <v>601</v>
      </c>
      <c r="AE151" s="64" t="s">
        <v>547</v>
      </c>
      <c r="AF151" s="64" t="s">
        <v>547</v>
      </c>
      <c r="AG151" s="64" t="s">
        <v>467</v>
      </c>
      <c r="AH151" s="64" t="s">
        <v>467</v>
      </c>
      <c r="AI151" s="64">
        <v>770.0</v>
      </c>
      <c r="AJ151" s="64">
        <v>21.5</v>
      </c>
      <c r="AK151" s="67">
        <v>16555.0</v>
      </c>
      <c r="AL151" s="63"/>
      <c r="AM151" s="63"/>
      <c r="AN151" s="64">
        <v>21.5</v>
      </c>
      <c r="AO151" s="64" t="s">
        <v>468</v>
      </c>
      <c r="AP151" s="63"/>
      <c r="AQ151" s="63"/>
      <c r="AR151" s="63"/>
      <c r="AS151" s="63"/>
      <c r="AT151" s="63"/>
      <c r="AU151" s="63"/>
      <c r="AV151" s="63"/>
      <c r="AW151" s="58" t="s">
        <v>512</v>
      </c>
      <c r="AX151" s="69">
        <v>16555.0</v>
      </c>
      <c r="AY151" s="70"/>
      <c r="AZ151" s="70"/>
      <c r="BA151" s="70"/>
      <c r="BB151" s="70"/>
      <c r="BC151" s="58" t="s">
        <v>469</v>
      </c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</row>
    <row r="152">
      <c r="A152" s="59">
        <v>45816.0</v>
      </c>
      <c r="B152" s="60" t="s">
        <v>451</v>
      </c>
      <c r="C152" s="61">
        <v>45816.0</v>
      </c>
      <c r="D152" s="61">
        <v>45816.0</v>
      </c>
      <c r="E152" s="60" t="s">
        <v>452</v>
      </c>
      <c r="F152" s="72" t="s">
        <v>869</v>
      </c>
      <c r="G152" s="63"/>
      <c r="H152" s="66" t="s">
        <v>504</v>
      </c>
      <c r="I152" s="66" t="s">
        <v>603</v>
      </c>
      <c r="J152" s="66" t="s">
        <v>456</v>
      </c>
      <c r="K152" s="66" t="s">
        <v>456</v>
      </c>
      <c r="L152" s="66">
        <v>22.0</v>
      </c>
      <c r="M152" s="66">
        <v>22.0</v>
      </c>
      <c r="N152" s="66" t="s">
        <v>457</v>
      </c>
      <c r="O152" s="66">
        <v>24.0</v>
      </c>
      <c r="P152" s="80">
        <v>2.43E8</v>
      </c>
      <c r="Q152" s="64" t="s">
        <v>459</v>
      </c>
      <c r="R152" s="64" t="s">
        <v>459</v>
      </c>
      <c r="S152" s="64">
        <v>180.0</v>
      </c>
      <c r="T152" s="64">
        <v>1980.0</v>
      </c>
      <c r="U152" s="64">
        <v>180.0</v>
      </c>
      <c r="V152" s="66">
        <v>1980.0</v>
      </c>
      <c r="W152" s="66">
        <v>1980.0</v>
      </c>
      <c r="X152" s="79" t="s">
        <v>460</v>
      </c>
      <c r="Y152" s="64" t="s">
        <v>461</v>
      </c>
      <c r="Z152" s="64" t="s">
        <v>462</v>
      </c>
      <c r="AA152" s="64" t="s">
        <v>463</v>
      </c>
      <c r="AB152" s="64" t="s">
        <v>464</v>
      </c>
      <c r="AC152" s="60" t="s">
        <v>451</v>
      </c>
      <c r="AD152" s="66" t="s">
        <v>507</v>
      </c>
      <c r="AE152" s="66" t="s">
        <v>508</v>
      </c>
      <c r="AF152" s="66" t="s">
        <v>509</v>
      </c>
      <c r="AG152" s="64" t="s">
        <v>467</v>
      </c>
      <c r="AH152" s="64" t="s">
        <v>467</v>
      </c>
      <c r="AI152" s="66">
        <v>790.0</v>
      </c>
      <c r="AJ152" s="66">
        <v>21.5</v>
      </c>
      <c r="AK152" s="67">
        <v>16985.0</v>
      </c>
      <c r="AL152" s="63"/>
      <c r="AM152" s="63"/>
      <c r="AN152" s="64">
        <v>21.5</v>
      </c>
      <c r="AO152" s="64" t="s">
        <v>468</v>
      </c>
      <c r="AP152" s="63"/>
      <c r="AQ152" s="63"/>
      <c r="AR152" s="63"/>
      <c r="AS152" s="73">
        <v>0.5</v>
      </c>
      <c r="AT152" s="64">
        <v>8492.5</v>
      </c>
      <c r="AU152" s="60" t="s">
        <v>510</v>
      </c>
      <c r="AV152" s="74" t="s">
        <v>511</v>
      </c>
      <c r="AW152" s="58" t="s">
        <v>512</v>
      </c>
      <c r="AX152" s="69">
        <v>8492.5</v>
      </c>
      <c r="AY152" s="70"/>
      <c r="AZ152" s="70"/>
      <c r="BA152" s="69">
        <v>8492.5</v>
      </c>
      <c r="BB152" s="70"/>
      <c r="BC152" s="58" t="s">
        <v>469</v>
      </c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</row>
    <row r="153">
      <c r="A153" s="59">
        <v>45816.0</v>
      </c>
      <c r="B153" s="60" t="s">
        <v>451</v>
      </c>
      <c r="C153" s="61">
        <v>45816.0</v>
      </c>
      <c r="D153" s="61">
        <v>45816.0</v>
      </c>
      <c r="E153" s="60" t="s">
        <v>452</v>
      </c>
      <c r="F153" s="71" t="s">
        <v>870</v>
      </c>
      <c r="G153" s="63"/>
      <c r="H153" s="64" t="s">
        <v>504</v>
      </c>
      <c r="I153" s="64" t="s">
        <v>606</v>
      </c>
      <c r="J153" s="64" t="s">
        <v>456</v>
      </c>
      <c r="K153" s="64" t="s">
        <v>456</v>
      </c>
      <c r="L153" s="64">
        <v>22.0</v>
      </c>
      <c r="M153" s="64">
        <v>22.0</v>
      </c>
      <c r="N153" s="64" t="s">
        <v>457</v>
      </c>
      <c r="O153" s="64">
        <v>24.0</v>
      </c>
      <c r="P153" s="64" t="s">
        <v>871</v>
      </c>
      <c r="Q153" s="66" t="s">
        <v>459</v>
      </c>
      <c r="R153" s="66" t="s">
        <v>459</v>
      </c>
      <c r="S153" s="66">
        <v>182.0</v>
      </c>
      <c r="T153" s="66">
        <v>2002.0</v>
      </c>
      <c r="U153" s="66">
        <v>182.0</v>
      </c>
      <c r="V153" s="64">
        <v>2002.0</v>
      </c>
      <c r="W153" s="64">
        <v>2002.0</v>
      </c>
      <c r="X153" s="76" t="s">
        <v>460</v>
      </c>
      <c r="Y153" s="64" t="s">
        <v>461</v>
      </c>
      <c r="Z153" s="64" t="s">
        <v>462</v>
      </c>
      <c r="AA153" s="64" t="s">
        <v>463</v>
      </c>
      <c r="AB153" s="64" t="s">
        <v>464</v>
      </c>
      <c r="AC153" s="60" t="s">
        <v>451</v>
      </c>
      <c r="AD153" s="64" t="s">
        <v>517</v>
      </c>
      <c r="AE153" s="64" t="s">
        <v>518</v>
      </c>
      <c r="AF153" s="64" t="s">
        <v>518</v>
      </c>
      <c r="AG153" s="64" t="s">
        <v>467</v>
      </c>
      <c r="AH153" s="64" t="s">
        <v>467</v>
      </c>
      <c r="AI153" s="64">
        <v>815.0</v>
      </c>
      <c r="AJ153" s="64">
        <v>21.5</v>
      </c>
      <c r="AK153" s="67">
        <v>17522.5</v>
      </c>
      <c r="AL153" s="63"/>
      <c r="AM153" s="63"/>
      <c r="AN153" s="64">
        <v>21.5</v>
      </c>
      <c r="AO153" s="64" t="s">
        <v>468</v>
      </c>
      <c r="AP153" s="63"/>
      <c r="AQ153" s="63"/>
      <c r="AR153" s="63"/>
      <c r="AS153" s="63"/>
      <c r="AT153" s="63"/>
      <c r="AU153" s="63"/>
      <c r="AV153" s="68"/>
      <c r="AW153" s="58" t="s">
        <v>512</v>
      </c>
      <c r="AX153" s="69">
        <v>17522.5</v>
      </c>
      <c r="AY153" s="70"/>
      <c r="AZ153" s="70"/>
      <c r="BA153" s="70"/>
      <c r="BB153" s="70"/>
      <c r="BC153" s="58" t="s">
        <v>469</v>
      </c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</row>
    <row r="154">
      <c r="A154" s="59">
        <v>45816.0</v>
      </c>
      <c r="B154" s="60" t="s">
        <v>451</v>
      </c>
      <c r="C154" s="61">
        <v>45816.0</v>
      </c>
      <c r="D154" s="61">
        <v>45816.0</v>
      </c>
      <c r="E154" s="60" t="s">
        <v>452</v>
      </c>
      <c r="F154" s="72" t="s">
        <v>872</v>
      </c>
      <c r="G154" s="63"/>
      <c r="H154" s="66" t="s">
        <v>521</v>
      </c>
      <c r="I154" s="66" t="s">
        <v>608</v>
      </c>
      <c r="J154" s="66" t="s">
        <v>456</v>
      </c>
      <c r="K154" s="66" t="s">
        <v>456</v>
      </c>
      <c r="L154" s="66">
        <v>22.0</v>
      </c>
      <c r="M154" s="66">
        <v>22.0</v>
      </c>
      <c r="N154" s="66" t="s">
        <v>457</v>
      </c>
      <c r="O154" s="66">
        <v>24.0</v>
      </c>
      <c r="P154" s="66" t="s">
        <v>873</v>
      </c>
      <c r="Q154" s="64" t="s">
        <v>459</v>
      </c>
      <c r="R154" s="64" t="s">
        <v>459</v>
      </c>
      <c r="S154" s="64">
        <v>194.0</v>
      </c>
      <c r="T154" s="64">
        <v>2134.0</v>
      </c>
      <c r="U154" s="64">
        <v>194.0</v>
      </c>
      <c r="V154" s="66">
        <v>2134.0</v>
      </c>
      <c r="W154" s="66">
        <v>2134.0</v>
      </c>
      <c r="X154" s="79" t="s">
        <v>460</v>
      </c>
      <c r="Y154" s="64" t="s">
        <v>461</v>
      </c>
      <c r="Z154" s="64" t="s">
        <v>462</v>
      </c>
      <c r="AA154" s="64" t="s">
        <v>463</v>
      </c>
      <c r="AB154" s="64" t="s">
        <v>464</v>
      </c>
      <c r="AC154" s="64" t="s">
        <v>451</v>
      </c>
      <c r="AD154" s="66" t="s">
        <v>524</v>
      </c>
      <c r="AE154" s="66" t="s">
        <v>483</v>
      </c>
      <c r="AF154" s="66" t="s">
        <v>483</v>
      </c>
      <c r="AG154" s="64" t="s">
        <v>467</v>
      </c>
      <c r="AH154" s="64" t="s">
        <v>467</v>
      </c>
      <c r="AI154" s="66">
        <v>600.0</v>
      </c>
      <c r="AJ154" s="66">
        <v>21.5</v>
      </c>
      <c r="AK154" s="67">
        <v>12900.0</v>
      </c>
      <c r="AL154" s="63"/>
      <c r="AM154" s="63"/>
      <c r="AN154" s="64">
        <v>21.5</v>
      </c>
      <c r="AO154" s="64" t="s">
        <v>468</v>
      </c>
      <c r="AP154" s="63"/>
      <c r="AQ154" s="63"/>
      <c r="AR154" s="63"/>
      <c r="AS154" s="63"/>
      <c r="AT154" s="63"/>
      <c r="AU154" s="63"/>
      <c r="AV154" s="68"/>
      <c r="AW154" s="58" t="s">
        <v>512</v>
      </c>
      <c r="AX154" s="69">
        <v>12900.0</v>
      </c>
      <c r="AY154" s="70"/>
      <c r="AZ154" s="70"/>
      <c r="BA154" s="70"/>
      <c r="BB154" s="70"/>
      <c r="BC154" s="58" t="s">
        <v>469</v>
      </c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</row>
    <row r="155">
      <c r="A155" s="59">
        <v>45816.0</v>
      </c>
      <c r="B155" s="60" t="s">
        <v>451</v>
      </c>
      <c r="C155" s="61">
        <v>45816.0</v>
      </c>
      <c r="D155" s="61">
        <v>45816.0</v>
      </c>
      <c r="E155" s="60" t="s">
        <v>452</v>
      </c>
      <c r="F155" s="71" t="s">
        <v>874</v>
      </c>
      <c r="G155" s="63"/>
      <c r="H155" s="64" t="s">
        <v>492</v>
      </c>
      <c r="I155" s="64" t="s">
        <v>527</v>
      </c>
      <c r="J155" s="64" t="s">
        <v>456</v>
      </c>
      <c r="K155" s="64" t="s">
        <v>456</v>
      </c>
      <c r="L155" s="64">
        <v>22.0</v>
      </c>
      <c r="M155" s="64">
        <v>22.0</v>
      </c>
      <c r="N155" s="64" t="s">
        <v>457</v>
      </c>
      <c r="O155" s="64">
        <v>24.0</v>
      </c>
      <c r="P155" s="64" t="s">
        <v>875</v>
      </c>
      <c r="Q155" s="66" t="s">
        <v>459</v>
      </c>
      <c r="R155" s="66" t="s">
        <v>459</v>
      </c>
      <c r="S155" s="66">
        <v>271.0</v>
      </c>
      <c r="T155" s="66">
        <v>2981.0</v>
      </c>
      <c r="U155" s="66">
        <v>271.0</v>
      </c>
      <c r="V155" s="64">
        <v>2981.0</v>
      </c>
      <c r="W155" s="64">
        <v>2981.0</v>
      </c>
      <c r="X155" s="76" t="s">
        <v>460</v>
      </c>
      <c r="Y155" s="64" t="s">
        <v>461</v>
      </c>
      <c r="Z155" s="64" t="s">
        <v>462</v>
      </c>
      <c r="AA155" s="64" t="s">
        <v>463</v>
      </c>
      <c r="AB155" s="64" t="s">
        <v>464</v>
      </c>
      <c r="AC155" s="64" t="s">
        <v>451</v>
      </c>
      <c r="AD155" s="64" t="s">
        <v>529</v>
      </c>
      <c r="AE155" s="64" t="s">
        <v>530</v>
      </c>
      <c r="AF155" s="64" t="s">
        <v>530</v>
      </c>
      <c r="AG155" s="64" t="s">
        <v>467</v>
      </c>
      <c r="AH155" s="64" t="s">
        <v>467</v>
      </c>
      <c r="AI155" s="66">
        <v>510.0</v>
      </c>
      <c r="AJ155" s="66">
        <v>21.5</v>
      </c>
      <c r="AK155" s="67">
        <v>10965.0</v>
      </c>
      <c r="AL155" s="63"/>
      <c r="AM155" s="63"/>
      <c r="AN155" s="64">
        <v>21.5</v>
      </c>
      <c r="AO155" s="64" t="s">
        <v>468</v>
      </c>
      <c r="AP155" s="63"/>
      <c r="AQ155" s="63"/>
      <c r="AR155" s="63"/>
      <c r="AS155" s="63"/>
      <c r="AT155" s="63"/>
      <c r="AU155" s="63"/>
      <c r="AV155" s="68"/>
      <c r="AW155" s="58" t="s">
        <v>512</v>
      </c>
      <c r="AX155" s="69">
        <v>10965.0</v>
      </c>
      <c r="AY155" s="70"/>
      <c r="AZ155" s="70"/>
      <c r="BA155" s="70"/>
      <c r="BB155" s="70"/>
      <c r="BC155" s="58" t="s">
        <v>469</v>
      </c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</row>
    <row r="156">
      <c r="A156" s="59">
        <v>45816.0</v>
      </c>
      <c r="B156" s="60" t="s">
        <v>451</v>
      </c>
      <c r="C156" s="61">
        <v>45816.0</v>
      </c>
      <c r="D156" s="61">
        <v>45816.0</v>
      </c>
      <c r="E156" s="60" t="s">
        <v>452</v>
      </c>
      <c r="F156" s="72" t="s">
        <v>876</v>
      </c>
      <c r="G156" s="63"/>
      <c r="H156" s="66" t="s">
        <v>492</v>
      </c>
      <c r="I156" s="66" t="s">
        <v>533</v>
      </c>
      <c r="J156" s="66" t="s">
        <v>486</v>
      </c>
      <c r="K156" s="66" t="s">
        <v>486</v>
      </c>
      <c r="L156" s="66">
        <v>22.0</v>
      </c>
      <c r="M156" s="66">
        <v>22.0</v>
      </c>
      <c r="N156" s="66" t="s">
        <v>457</v>
      </c>
      <c r="O156" s="66">
        <v>24.0</v>
      </c>
      <c r="P156" s="66" t="s">
        <v>877</v>
      </c>
      <c r="Q156" s="64" t="s">
        <v>459</v>
      </c>
      <c r="R156" s="64" t="s">
        <v>459</v>
      </c>
      <c r="S156" s="64">
        <v>40.0</v>
      </c>
      <c r="T156" s="64">
        <v>440.0</v>
      </c>
      <c r="U156" s="64">
        <v>40.0</v>
      </c>
      <c r="V156" s="66">
        <v>440.0</v>
      </c>
      <c r="W156" s="66">
        <v>440.0</v>
      </c>
      <c r="X156" s="79" t="s">
        <v>460</v>
      </c>
      <c r="Y156" s="64" t="s">
        <v>461</v>
      </c>
      <c r="Z156" s="64" t="s">
        <v>462</v>
      </c>
      <c r="AA156" s="64" t="s">
        <v>463</v>
      </c>
      <c r="AB156" s="64" t="s">
        <v>464</v>
      </c>
      <c r="AC156" s="64" t="s">
        <v>451</v>
      </c>
      <c r="AD156" s="66" t="s">
        <v>529</v>
      </c>
      <c r="AE156" s="66" t="s">
        <v>535</v>
      </c>
      <c r="AF156" s="66" t="s">
        <v>535</v>
      </c>
      <c r="AG156" s="64" t="s">
        <v>467</v>
      </c>
      <c r="AH156" s="64" t="s">
        <v>467</v>
      </c>
      <c r="AI156" s="66">
        <v>510.0</v>
      </c>
      <c r="AJ156" s="66">
        <v>23.5</v>
      </c>
      <c r="AK156" s="67">
        <v>11985.0</v>
      </c>
      <c r="AL156" s="63"/>
      <c r="AM156" s="63"/>
      <c r="AN156" s="64">
        <v>23.5</v>
      </c>
      <c r="AO156" s="64" t="s">
        <v>468</v>
      </c>
      <c r="AP156" s="63"/>
      <c r="AQ156" s="63"/>
      <c r="AR156" s="63"/>
      <c r="AS156" s="63"/>
      <c r="AT156" s="63"/>
      <c r="AU156" s="63"/>
      <c r="AV156" s="68"/>
      <c r="AW156" s="58" t="s">
        <v>512</v>
      </c>
      <c r="AX156" s="69">
        <v>11985.0</v>
      </c>
      <c r="AY156" s="70"/>
      <c r="AZ156" s="70"/>
      <c r="BA156" s="70"/>
      <c r="BB156" s="70"/>
      <c r="BC156" s="58" t="s">
        <v>469</v>
      </c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</row>
    <row r="157">
      <c r="A157" s="59">
        <v>45816.0</v>
      </c>
      <c r="B157" s="60" t="s">
        <v>451</v>
      </c>
      <c r="C157" s="61">
        <v>45816.0</v>
      </c>
      <c r="D157" s="61">
        <v>45816.0</v>
      </c>
      <c r="E157" s="60" t="s">
        <v>452</v>
      </c>
      <c r="F157" s="72" t="s">
        <v>878</v>
      </c>
      <c r="G157" s="63"/>
      <c r="H157" s="66" t="s">
        <v>538</v>
      </c>
      <c r="I157" s="66" t="s">
        <v>539</v>
      </c>
      <c r="J157" s="66" t="s">
        <v>456</v>
      </c>
      <c r="K157" s="66" t="s">
        <v>456</v>
      </c>
      <c r="L157" s="66">
        <v>32.0</v>
      </c>
      <c r="M157" s="66">
        <v>32.0</v>
      </c>
      <c r="N157" s="66" t="s">
        <v>540</v>
      </c>
      <c r="O157" s="66">
        <v>24.0</v>
      </c>
      <c r="P157" s="80">
        <v>2.43E8</v>
      </c>
      <c r="Q157" s="64" t="s">
        <v>459</v>
      </c>
      <c r="R157" s="64" t="s">
        <v>459</v>
      </c>
      <c r="S157" s="64">
        <v>208.0</v>
      </c>
      <c r="T157" s="64">
        <v>2288.0</v>
      </c>
      <c r="U157" s="64">
        <v>208.0</v>
      </c>
      <c r="V157" s="66">
        <v>2288.0</v>
      </c>
      <c r="W157" s="66">
        <v>2288.0</v>
      </c>
      <c r="X157" s="79" t="s">
        <v>460</v>
      </c>
      <c r="Y157" s="64" t="s">
        <v>461</v>
      </c>
      <c r="Z157" s="64" t="s">
        <v>462</v>
      </c>
      <c r="AA157" s="64" t="s">
        <v>463</v>
      </c>
      <c r="AB157" s="64" t="s">
        <v>464</v>
      </c>
      <c r="AC157" s="66" t="s">
        <v>451</v>
      </c>
      <c r="AD157" s="66" t="s">
        <v>541</v>
      </c>
      <c r="AE157" s="66" t="s">
        <v>490</v>
      </c>
      <c r="AF157" s="66" t="s">
        <v>490</v>
      </c>
      <c r="AG157" s="64" t="s">
        <v>467</v>
      </c>
      <c r="AH157" s="64" t="s">
        <v>467</v>
      </c>
      <c r="AI157" s="66">
        <v>325.0</v>
      </c>
      <c r="AJ157" s="66">
        <v>28.4</v>
      </c>
      <c r="AK157" s="67">
        <v>9213.75</v>
      </c>
      <c r="AL157" s="63"/>
      <c r="AM157" s="63"/>
      <c r="AN157" s="64">
        <v>28.35</v>
      </c>
      <c r="AO157" s="64" t="s">
        <v>468</v>
      </c>
      <c r="AP157" s="63"/>
      <c r="AQ157" s="63"/>
      <c r="AR157" s="63"/>
      <c r="AS157" s="63"/>
      <c r="AT157" s="63"/>
      <c r="AU157" s="63"/>
      <c r="AV157" s="68"/>
      <c r="AW157" s="58" t="s">
        <v>512</v>
      </c>
      <c r="AX157" s="69">
        <v>9213.75</v>
      </c>
      <c r="AY157" s="70"/>
      <c r="AZ157" s="70"/>
      <c r="BA157" s="70"/>
      <c r="BB157" s="70"/>
      <c r="BC157" s="58" t="s">
        <v>469</v>
      </c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</row>
    <row r="158">
      <c r="A158" s="59">
        <v>45816.0</v>
      </c>
      <c r="B158" s="60" t="s">
        <v>451</v>
      </c>
      <c r="C158" s="61">
        <v>45816.0</v>
      </c>
      <c r="D158" s="61">
        <v>45816.0</v>
      </c>
      <c r="E158" s="60" t="s">
        <v>452</v>
      </c>
      <c r="F158" s="71" t="s">
        <v>879</v>
      </c>
      <c r="G158" s="63"/>
      <c r="H158" s="64" t="s">
        <v>521</v>
      </c>
      <c r="I158" s="64" t="s">
        <v>713</v>
      </c>
      <c r="J158" s="64" t="s">
        <v>486</v>
      </c>
      <c r="K158" s="64" t="s">
        <v>486</v>
      </c>
      <c r="L158" s="66">
        <v>22.0</v>
      </c>
      <c r="M158" s="66">
        <v>22.0</v>
      </c>
      <c r="N158" s="66" t="s">
        <v>457</v>
      </c>
      <c r="O158" s="66">
        <v>24.0</v>
      </c>
      <c r="P158" s="64" t="s">
        <v>880</v>
      </c>
      <c r="Q158" s="64" t="s">
        <v>459</v>
      </c>
      <c r="R158" s="64" t="s">
        <v>459</v>
      </c>
      <c r="S158" s="64">
        <v>315.0</v>
      </c>
      <c r="T158" s="64">
        <v>3465.0</v>
      </c>
      <c r="U158" s="64">
        <v>315.0</v>
      </c>
      <c r="V158" s="64">
        <v>3465.0</v>
      </c>
      <c r="W158" s="64">
        <v>3465.0</v>
      </c>
      <c r="X158" s="76" t="s">
        <v>460</v>
      </c>
      <c r="Y158" s="64" t="s">
        <v>461</v>
      </c>
      <c r="Z158" s="64" t="s">
        <v>462</v>
      </c>
      <c r="AA158" s="64" t="s">
        <v>463</v>
      </c>
      <c r="AB158" s="64" t="s">
        <v>464</v>
      </c>
      <c r="AC158" s="66" t="s">
        <v>451</v>
      </c>
      <c r="AD158" s="66" t="s">
        <v>678</v>
      </c>
      <c r="AE158" s="66" t="s">
        <v>643</v>
      </c>
      <c r="AF158" s="66" t="s">
        <v>643</v>
      </c>
      <c r="AG158" s="64" t="s">
        <v>467</v>
      </c>
      <c r="AH158" s="64" t="s">
        <v>467</v>
      </c>
      <c r="AI158" s="64">
        <v>805.0</v>
      </c>
      <c r="AJ158" s="64">
        <v>23.5</v>
      </c>
      <c r="AK158" s="67">
        <v>18917.5</v>
      </c>
      <c r="AL158" s="63"/>
      <c r="AM158" s="63"/>
      <c r="AN158" s="64">
        <v>23.5</v>
      </c>
      <c r="AO158" s="66" t="s">
        <v>468</v>
      </c>
      <c r="AP158" s="63"/>
      <c r="AQ158" s="63"/>
      <c r="AR158" s="63"/>
      <c r="AS158" s="63"/>
      <c r="AT158" s="63"/>
      <c r="AU158" s="63"/>
      <c r="AV158" s="68"/>
      <c r="AW158" s="58" t="s">
        <v>512</v>
      </c>
      <c r="AX158" s="69">
        <v>18917.5</v>
      </c>
      <c r="AY158" s="70"/>
      <c r="AZ158" s="70"/>
      <c r="BA158" s="70"/>
      <c r="BB158" s="70"/>
      <c r="BC158" s="58" t="s">
        <v>469</v>
      </c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</row>
    <row r="159">
      <c r="A159" s="59">
        <v>45816.0</v>
      </c>
      <c r="B159" s="60" t="s">
        <v>451</v>
      </c>
      <c r="C159" s="61">
        <v>45816.0</v>
      </c>
      <c r="D159" s="61">
        <v>45816.0</v>
      </c>
      <c r="E159" s="60" t="s">
        <v>452</v>
      </c>
      <c r="F159" s="72" t="s">
        <v>881</v>
      </c>
      <c r="G159" s="63"/>
      <c r="H159" s="66" t="s">
        <v>521</v>
      </c>
      <c r="I159" s="66" t="s">
        <v>619</v>
      </c>
      <c r="J159" s="64" t="s">
        <v>456</v>
      </c>
      <c r="K159" s="64" t="s">
        <v>456</v>
      </c>
      <c r="L159" s="66">
        <v>22.0</v>
      </c>
      <c r="M159" s="66">
        <v>22.0</v>
      </c>
      <c r="N159" s="66" t="s">
        <v>457</v>
      </c>
      <c r="O159" s="66">
        <v>24.0</v>
      </c>
      <c r="P159" s="64" t="s">
        <v>882</v>
      </c>
      <c r="Q159" s="64" t="s">
        <v>459</v>
      </c>
      <c r="R159" s="64" t="s">
        <v>459</v>
      </c>
      <c r="S159" s="64">
        <v>164.0</v>
      </c>
      <c r="T159" s="64">
        <v>1804.0</v>
      </c>
      <c r="U159" s="64">
        <v>164.0</v>
      </c>
      <c r="V159" s="64">
        <v>1804.0</v>
      </c>
      <c r="W159" s="64">
        <v>1804.0</v>
      </c>
      <c r="X159" s="76" t="s">
        <v>460</v>
      </c>
      <c r="Y159" s="64" t="s">
        <v>461</v>
      </c>
      <c r="Z159" s="64" t="s">
        <v>462</v>
      </c>
      <c r="AA159" s="64" t="s">
        <v>463</v>
      </c>
      <c r="AB159" s="64" t="s">
        <v>464</v>
      </c>
      <c r="AC159" s="66" t="s">
        <v>451</v>
      </c>
      <c r="AD159" s="66" t="s">
        <v>557</v>
      </c>
      <c r="AE159" s="64" t="s">
        <v>525</v>
      </c>
      <c r="AF159" s="64" t="s">
        <v>525</v>
      </c>
      <c r="AG159" s="64" t="s">
        <v>467</v>
      </c>
      <c r="AH159" s="64" t="s">
        <v>467</v>
      </c>
      <c r="AI159" s="66">
        <v>800.0</v>
      </c>
      <c r="AJ159" s="64">
        <v>21.5</v>
      </c>
      <c r="AK159" s="67">
        <v>17200.0</v>
      </c>
      <c r="AL159" s="63"/>
      <c r="AM159" s="63"/>
      <c r="AN159" s="64">
        <v>21.5</v>
      </c>
      <c r="AO159" s="66" t="s">
        <v>468</v>
      </c>
      <c r="AP159" s="63"/>
      <c r="AQ159" s="63"/>
      <c r="AR159" s="63"/>
      <c r="AS159" s="63"/>
      <c r="AT159" s="63"/>
      <c r="AU159" s="63"/>
      <c r="AV159" s="68"/>
      <c r="AW159" s="58" t="s">
        <v>512</v>
      </c>
      <c r="AX159" s="69">
        <v>17200.0</v>
      </c>
      <c r="AY159" s="70"/>
      <c r="AZ159" s="70"/>
      <c r="BA159" s="70"/>
      <c r="BB159" s="70"/>
      <c r="BC159" s="58" t="s">
        <v>469</v>
      </c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</row>
    <row r="160">
      <c r="A160" s="59">
        <v>45816.0</v>
      </c>
      <c r="B160" s="60" t="s">
        <v>451</v>
      </c>
      <c r="C160" s="61">
        <v>45816.0</v>
      </c>
      <c r="D160" s="61">
        <v>45816.0</v>
      </c>
      <c r="E160" s="60" t="s">
        <v>452</v>
      </c>
      <c r="F160" s="71" t="s">
        <v>883</v>
      </c>
      <c r="G160" s="63"/>
      <c r="H160" s="64" t="s">
        <v>771</v>
      </c>
      <c r="I160" s="64" t="s">
        <v>772</v>
      </c>
      <c r="J160" s="64" t="s">
        <v>456</v>
      </c>
      <c r="K160" s="64" t="s">
        <v>456</v>
      </c>
      <c r="L160" s="64">
        <v>22.0</v>
      </c>
      <c r="M160" s="64">
        <v>22.0</v>
      </c>
      <c r="N160" s="64" t="s">
        <v>457</v>
      </c>
      <c r="O160" s="64">
        <v>24.0</v>
      </c>
      <c r="P160" s="64" t="s">
        <v>884</v>
      </c>
      <c r="Q160" s="66" t="s">
        <v>459</v>
      </c>
      <c r="R160" s="66" t="s">
        <v>459</v>
      </c>
      <c r="S160" s="66">
        <v>257.0</v>
      </c>
      <c r="T160" s="66">
        <v>2827.0</v>
      </c>
      <c r="U160" s="66">
        <v>257.0</v>
      </c>
      <c r="V160" s="64">
        <v>2827.0</v>
      </c>
      <c r="W160" s="64">
        <v>2827.0</v>
      </c>
      <c r="X160" s="76" t="s">
        <v>460</v>
      </c>
      <c r="Y160" s="64" t="s">
        <v>461</v>
      </c>
      <c r="Z160" s="64" t="s">
        <v>462</v>
      </c>
      <c r="AA160" s="64" t="s">
        <v>463</v>
      </c>
      <c r="AB160" s="64" t="s">
        <v>464</v>
      </c>
      <c r="AC160" s="60" t="s">
        <v>451</v>
      </c>
      <c r="AD160" s="64" t="s">
        <v>561</v>
      </c>
      <c r="AE160" s="64" t="s">
        <v>562</v>
      </c>
      <c r="AF160" s="64" t="s">
        <v>562</v>
      </c>
      <c r="AG160" s="64" t="s">
        <v>467</v>
      </c>
      <c r="AH160" s="64" t="s">
        <v>467</v>
      </c>
      <c r="AI160" s="60">
        <v>325.0</v>
      </c>
      <c r="AJ160" s="64">
        <v>21.5</v>
      </c>
      <c r="AK160" s="67">
        <v>6987.5</v>
      </c>
      <c r="AL160" s="63"/>
      <c r="AM160" s="63"/>
      <c r="AN160" s="64">
        <v>21.5</v>
      </c>
      <c r="AO160" s="64" t="s">
        <v>468</v>
      </c>
      <c r="AP160" s="63"/>
      <c r="AQ160" s="63"/>
      <c r="AR160" s="63"/>
      <c r="AS160" s="63"/>
      <c r="AT160" s="63"/>
      <c r="AU160" s="63"/>
      <c r="AV160" s="63"/>
      <c r="AW160" s="58" t="s">
        <v>512</v>
      </c>
      <c r="AX160" s="69">
        <v>6987.5</v>
      </c>
      <c r="AY160" s="70"/>
      <c r="AZ160" s="70"/>
      <c r="BA160" s="70"/>
      <c r="BB160" s="70"/>
      <c r="BC160" s="58" t="s">
        <v>469</v>
      </c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</row>
    <row r="161">
      <c r="A161" s="59">
        <v>45816.0</v>
      </c>
      <c r="B161" s="60" t="s">
        <v>451</v>
      </c>
      <c r="C161" s="61">
        <v>45816.0</v>
      </c>
      <c r="D161" s="61">
        <v>45816.0</v>
      </c>
      <c r="E161" s="60" t="s">
        <v>452</v>
      </c>
      <c r="F161" s="72" t="s">
        <v>885</v>
      </c>
      <c r="G161" s="63"/>
      <c r="H161" s="66" t="s">
        <v>771</v>
      </c>
      <c r="I161" s="66" t="s">
        <v>775</v>
      </c>
      <c r="J161" s="66" t="s">
        <v>456</v>
      </c>
      <c r="K161" s="66" t="s">
        <v>456</v>
      </c>
      <c r="L161" s="66">
        <v>22.0</v>
      </c>
      <c r="M161" s="66">
        <v>22.0</v>
      </c>
      <c r="N161" s="66" t="s">
        <v>457</v>
      </c>
      <c r="O161" s="66">
        <v>24.0</v>
      </c>
      <c r="P161" s="66" t="s">
        <v>886</v>
      </c>
      <c r="Q161" s="64" t="s">
        <v>459</v>
      </c>
      <c r="R161" s="64" t="s">
        <v>459</v>
      </c>
      <c r="S161" s="64">
        <v>243.0</v>
      </c>
      <c r="T161" s="64">
        <v>2673.0</v>
      </c>
      <c r="U161" s="64">
        <v>243.0</v>
      </c>
      <c r="V161" s="66">
        <v>2673.0</v>
      </c>
      <c r="W161" s="66">
        <v>2673.0</v>
      </c>
      <c r="X161" s="79" t="s">
        <v>460</v>
      </c>
      <c r="Y161" s="64" t="s">
        <v>461</v>
      </c>
      <c r="Z161" s="64" t="s">
        <v>462</v>
      </c>
      <c r="AA161" s="64" t="s">
        <v>463</v>
      </c>
      <c r="AB161" s="64" t="s">
        <v>464</v>
      </c>
      <c r="AC161" s="66" t="s">
        <v>451</v>
      </c>
      <c r="AD161" s="66" t="s">
        <v>566</v>
      </c>
      <c r="AE161" s="66" t="s">
        <v>567</v>
      </c>
      <c r="AF161" s="66" t="s">
        <v>567</v>
      </c>
      <c r="AG161" s="64" t="s">
        <v>467</v>
      </c>
      <c r="AH161" s="64" t="s">
        <v>467</v>
      </c>
      <c r="AI161" s="64">
        <v>475.0</v>
      </c>
      <c r="AJ161" s="66">
        <v>21.5</v>
      </c>
      <c r="AK161" s="67">
        <v>10212.5</v>
      </c>
      <c r="AL161" s="63"/>
      <c r="AM161" s="63"/>
      <c r="AN161" s="64">
        <v>21.5</v>
      </c>
      <c r="AO161" s="64" t="s">
        <v>468</v>
      </c>
      <c r="AP161" s="63"/>
      <c r="AQ161" s="63"/>
      <c r="AR161" s="63"/>
      <c r="AS161" s="63"/>
      <c r="AT161" s="63"/>
      <c r="AU161" s="63"/>
      <c r="AV161" s="63"/>
      <c r="AW161" s="58" t="s">
        <v>512</v>
      </c>
      <c r="AX161" s="69">
        <v>10212.5</v>
      </c>
      <c r="AY161" s="70"/>
      <c r="AZ161" s="70"/>
      <c r="BA161" s="70"/>
      <c r="BB161" s="70"/>
      <c r="BC161" s="58" t="s">
        <v>469</v>
      </c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</row>
    <row r="162">
      <c r="A162" s="59">
        <v>45816.0</v>
      </c>
      <c r="B162" s="60" t="s">
        <v>451</v>
      </c>
      <c r="C162" s="61">
        <v>45816.0</v>
      </c>
      <c r="D162" s="61">
        <v>45816.0</v>
      </c>
      <c r="E162" s="60" t="s">
        <v>452</v>
      </c>
      <c r="F162" s="71" t="s">
        <v>887</v>
      </c>
      <c r="G162" s="63"/>
      <c r="H162" s="64" t="s">
        <v>492</v>
      </c>
      <c r="I162" s="64" t="s">
        <v>626</v>
      </c>
      <c r="J162" s="64" t="s">
        <v>456</v>
      </c>
      <c r="K162" s="64" t="s">
        <v>456</v>
      </c>
      <c r="L162" s="64">
        <v>22.0</v>
      </c>
      <c r="M162" s="64">
        <v>22.0</v>
      </c>
      <c r="N162" s="64" t="s">
        <v>457</v>
      </c>
      <c r="O162" s="64">
        <v>24.0</v>
      </c>
      <c r="P162" s="64" t="s">
        <v>888</v>
      </c>
      <c r="Q162" s="66" t="s">
        <v>459</v>
      </c>
      <c r="R162" s="66" t="s">
        <v>459</v>
      </c>
      <c r="S162" s="66">
        <v>188.0</v>
      </c>
      <c r="T162" s="66">
        <v>2068.0</v>
      </c>
      <c r="U162" s="66">
        <v>188.0</v>
      </c>
      <c r="V162" s="64">
        <v>2068.0</v>
      </c>
      <c r="W162" s="64">
        <v>2068.0</v>
      </c>
      <c r="X162" s="76" t="s">
        <v>460</v>
      </c>
      <c r="Y162" s="64" t="s">
        <v>461</v>
      </c>
      <c r="Z162" s="64" t="s">
        <v>462</v>
      </c>
      <c r="AA162" s="64" t="s">
        <v>463</v>
      </c>
      <c r="AB162" s="64" t="s">
        <v>464</v>
      </c>
      <c r="AC162" s="60" t="s">
        <v>451</v>
      </c>
      <c r="AD162" s="64" t="s">
        <v>571</v>
      </c>
      <c r="AE162" s="64" t="s">
        <v>572</v>
      </c>
      <c r="AF162" s="64" t="s">
        <v>572</v>
      </c>
      <c r="AG162" s="64" t="s">
        <v>467</v>
      </c>
      <c r="AH162" s="64" t="s">
        <v>467</v>
      </c>
      <c r="AI162" s="66">
        <v>655.0</v>
      </c>
      <c r="AJ162" s="66">
        <v>21.5</v>
      </c>
      <c r="AK162" s="67">
        <v>14082.5</v>
      </c>
      <c r="AL162" s="63"/>
      <c r="AM162" s="63"/>
      <c r="AN162" s="64">
        <v>21.5</v>
      </c>
      <c r="AO162" s="60" t="s">
        <v>468</v>
      </c>
      <c r="AP162" s="63"/>
      <c r="AQ162" s="63"/>
      <c r="AR162" s="63"/>
      <c r="AS162" s="63"/>
      <c r="AT162" s="63"/>
      <c r="AU162" s="63"/>
      <c r="AV162" s="68"/>
      <c r="AW162" s="58" t="s">
        <v>512</v>
      </c>
      <c r="AX162" s="69">
        <v>14082.5</v>
      </c>
      <c r="AY162" s="70"/>
      <c r="AZ162" s="70"/>
      <c r="BA162" s="70"/>
      <c r="BB162" s="70"/>
      <c r="BC162" s="58" t="s">
        <v>469</v>
      </c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</row>
    <row r="163">
      <c r="A163" s="59">
        <v>45816.0</v>
      </c>
      <c r="B163" s="60" t="s">
        <v>451</v>
      </c>
      <c r="C163" s="61">
        <v>45816.0</v>
      </c>
      <c r="D163" s="61">
        <v>45816.0</v>
      </c>
      <c r="E163" s="60" t="s">
        <v>452</v>
      </c>
      <c r="F163" s="72" t="s">
        <v>889</v>
      </c>
      <c r="G163" s="63"/>
      <c r="H163" s="66" t="s">
        <v>472</v>
      </c>
      <c r="I163" s="66" t="s">
        <v>632</v>
      </c>
      <c r="J163" s="66" t="s">
        <v>456</v>
      </c>
      <c r="K163" s="66" t="s">
        <v>456</v>
      </c>
      <c r="L163" s="66">
        <v>22.0</v>
      </c>
      <c r="M163" s="66">
        <v>22.0</v>
      </c>
      <c r="N163" s="66" t="s">
        <v>457</v>
      </c>
      <c r="O163" s="66">
        <v>24.0</v>
      </c>
      <c r="P163" s="80">
        <v>2.43E8</v>
      </c>
      <c r="Q163" s="64" t="s">
        <v>459</v>
      </c>
      <c r="R163" s="64" t="s">
        <v>459</v>
      </c>
      <c r="S163" s="64">
        <v>227.0</v>
      </c>
      <c r="T163" s="64">
        <v>2497.0</v>
      </c>
      <c r="U163" s="64">
        <v>227.0</v>
      </c>
      <c r="V163" s="66">
        <v>2497.0</v>
      </c>
      <c r="W163" s="66">
        <v>2497.0</v>
      </c>
      <c r="X163" s="79" t="s">
        <v>460</v>
      </c>
      <c r="Y163" s="64" t="s">
        <v>461</v>
      </c>
      <c r="Z163" s="64" t="s">
        <v>462</v>
      </c>
      <c r="AA163" s="64" t="s">
        <v>463</v>
      </c>
      <c r="AB163" s="64" t="s">
        <v>464</v>
      </c>
      <c r="AC163" s="66" t="s">
        <v>451</v>
      </c>
      <c r="AD163" s="66" t="s">
        <v>577</v>
      </c>
      <c r="AE163" s="66" t="s">
        <v>578</v>
      </c>
      <c r="AF163" s="66" t="s">
        <v>578</v>
      </c>
      <c r="AG163" s="64" t="s">
        <v>467</v>
      </c>
      <c r="AH163" s="64" t="s">
        <v>467</v>
      </c>
      <c r="AI163" s="66">
        <v>396.0</v>
      </c>
      <c r="AJ163" s="64">
        <v>21.5</v>
      </c>
      <c r="AK163" s="67">
        <v>8514.0</v>
      </c>
      <c r="AL163" s="63"/>
      <c r="AM163" s="63"/>
      <c r="AN163" s="64">
        <v>21.5</v>
      </c>
      <c r="AO163" s="64" t="s">
        <v>468</v>
      </c>
      <c r="AP163" s="63"/>
      <c r="AQ163" s="63"/>
      <c r="AR163" s="63"/>
      <c r="AS163" s="63"/>
      <c r="AT163" s="63"/>
      <c r="AU163" s="63"/>
      <c r="AV163" s="63"/>
      <c r="AW163" s="58" t="s">
        <v>512</v>
      </c>
      <c r="AX163" s="69">
        <v>8514.0</v>
      </c>
      <c r="AY163" s="70"/>
      <c r="AZ163" s="70"/>
      <c r="BA163" s="70"/>
      <c r="BB163" s="70"/>
      <c r="BC163" s="58" t="s">
        <v>469</v>
      </c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</row>
    <row r="164">
      <c r="A164" s="59">
        <v>45816.0</v>
      </c>
      <c r="B164" s="60" t="s">
        <v>451</v>
      </c>
      <c r="C164" s="61">
        <v>45816.0</v>
      </c>
      <c r="D164" s="61">
        <v>45816.0</v>
      </c>
      <c r="E164" s="60" t="s">
        <v>452</v>
      </c>
      <c r="F164" s="71" t="s">
        <v>890</v>
      </c>
      <c r="G164" s="63"/>
      <c r="H164" s="64" t="s">
        <v>472</v>
      </c>
      <c r="I164" s="64" t="s">
        <v>891</v>
      </c>
      <c r="J164" s="64" t="s">
        <v>456</v>
      </c>
      <c r="K164" s="64" t="s">
        <v>456</v>
      </c>
      <c r="L164" s="64">
        <v>22.0</v>
      </c>
      <c r="M164" s="64">
        <v>22.0</v>
      </c>
      <c r="N164" s="64" t="s">
        <v>457</v>
      </c>
      <c r="O164" s="64">
        <v>24.0</v>
      </c>
      <c r="P164" s="64" t="s">
        <v>892</v>
      </c>
      <c r="Q164" s="66" t="s">
        <v>459</v>
      </c>
      <c r="R164" s="66" t="s">
        <v>459</v>
      </c>
      <c r="S164" s="66">
        <v>100.0</v>
      </c>
      <c r="T164" s="66">
        <v>1100.0</v>
      </c>
      <c r="U164" s="66">
        <v>100.0</v>
      </c>
      <c r="V164" s="64">
        <v>1100.0</v>
      </c>
      <c r="W164" s="64">
        <v>1100.0</v>
      </c>
      <c r="X164" s="76" t="s">
        <v>460</v>
      </c>
      <c r="Y164" s="64" t="s">
        <v>461</v>
      </c>
      <c r="Z164" s="64" t="s">
        <v>462</v>
      </c>
      <c r="AA164" s="64" t="s">
        <v>463</v>
      </c>
      <c r="AB164" s="64" t="s">
        <v>464</v>
      </c>
      <c r="AC164" s="60" t="s">
        <v>451</v>
      </c>
      <c r="AD164" s="64" t="s">
        <v>634</v>
      </c>
      <c r="AE164" s="64" t="s">
        <v>617</v>
      </c>
      <c r="AF164" s="64" t="s">
        <v>617</v>
      </c>
      <c r="AG164" s="64" t="s">
        <v>467</v>
      </c>
      <c r="AH164" s="64" t="s">
        <v>467</v>
      </c>
      <c r="AI164" s="64">
        <v>330.0</v>
      </c>
      <c r="AJ164" s="64">
        <v>21.5</v>
      </c>
      <c r="AK164" s="67">
        <v>7095.0</v>
      </c>
      <c r="AL164" s="63"/>
      <c r="AM164" s="63"/>
      <c r="AN164" s="64">
        <v>21.5</v>
      </c>
      <c r="AO164" s="64" t="s">
        <v>468</v>
      </c>
      <c r="AP164" s="63"/>
      <c r="AQ164" s="63"/>
      <c r="AR164" s="63"/>
      <c r="AS164" s="63"/>
      <c r="AT164" s="63"/>
      <c r="AU164" s="63"/>
      <c r="AV164" s="63"/>
      <c r="AW164" s="58" t="s">
        <v>512</v>
      </c>
      <c r="AX164" s="69">
        <v>7095.0</v>
      </c>
      <c r="AY164" s="70"/>
      <c r="AZ164" s="70"/>
      <c r="BA164" s="70"/>
      <c r="BB164" s="70"/>
      <c r="BC164" s="58" t="s">
        <v>469</v>
      </c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</row>
    <row r="165">
      <c r="A165" s="59">
        <v>45816.0</v>
      </c>
      <c r="B165" s="60" t="s">
        <v>451</v>
      </c>
      <c r="C165" s="61">
        <v>45816.0</v>
      </c>
      <c r="D165" s="61">
        <v>45816.0</v>
      </c>
      <c r="E165" s="60" t="s">
        <v>452</v>
      </c>
      <c r="F165" s="72" t="s">
        <v>893</v>
      </c>
      <c r="G165" s="63"/>
      <c r="H165" s="66" t="s">
        <v>472</v>
      </c>
      <c r="I165" s="66" t="s">
        <v>575</v>
      </c>
      <c r="J165" s="66" t="s">
        <v>456</v>
      </c>
      <c r="K165" s="66" t="s">
        <v>456</v>
      </c>
      <c r="L165" s="66">
        <v>22.0</v>
      </c>
      <c r="M165" s="66">
        <v>22.0</v>
      </c>
      <c r="N165" s="66" t="s">
        <v>457</v>
      </c>
      <c r="O165" s="66">
        <v>24.0</v>
      </c>
      <c r="P165" s="80">
        <v>2.43E8</v>
      </c>
      <c r="Q165" s="64" t="s">
        <v>459</v>
      </c>
      <c r="R165" s="64" t="s">
        <v>459</v>
      </c>
      <c r="S165" s="64">
        <v>145.0</v>
      </c>
      <c r="T165" s="64">
        <v>1595.0</v>
      </c>
      <c r="U165" s="64">
        <v>145.0</v>
      </c>
      <c r="V165" s="66">
        <v>1595.0</v>
      </c>
      <c r="W165" s="66">
        <v>1595.0</v>
      </c>
      <c r="X165" s="79" t="s">
        <v>460</v>
      </c>
      <c r="Y165" s="64" t="s">
        <v>461</v>
      </c>
      <c r="Z165" s="64" t="s">
        <v>462</v>
      </c>
      <c r="AA165" s="64" t="s">
        <v>463</v>
      </c>
      <c r="AB165" s="64" t="s">
        <v>464</v>
      </c>
      <c r="AC165" s="60" t="s">
        <v>451</v>
      </c>
      <c r="AD165" s="66" t="s">
        <v>638</v>
      </c>
      <c r="AE165" s="66" t="s">
        <v>531</v>
      </c>
      <c r="AF165" s="66" t="s">
        <v>531</v>
      </c>
      <c r="AG165" s="64" t="s">
        <v>467</v>
      </c>
      <c r="AH165" s="64" t="s">
        <v>467</v>
      </c>
      <c r="AI165" s="66">
        <v>510.0</v>
      </c>
      <c r="AJ165" s="66">
        <v>21.5</v>
      </c>
      <c r="AK165" s="67">
        <v>10965.0</v>
      </c>
      <c r="AL165" s="63"/>
      <c r="AM165" s="63"/>
      <c r="AN165" s="64">
        <v>21.5</v>
      </c>
      <c r="AO165" s="64" t="s">
        <v>468</v>
      </c>
      <c r="AP165" s="63"/>
      <c r="AQ165" s="63"/>
      <c r="AR165" s="63"/>
      <c r="AS165" s="63"/>
      <c r="AT165" s="63"/>
      <c r="AU165" s="63"/>
      <c r="AV165" s="68"/>
      <c r="AW165" s="58" t="s">
        <v>512</v>
      </c>
      <c r="AX165" s="69">
        <v>10965.0</v>
      </c>
      <c r="AY165" s="70"/>
      <c r="AZ165" s="70"/>
      <c r="BA165" s="70"/>
      <c r="BB165" s="70"/>
      <c r="BC165" s="58" t="s">
        <v>469</v>
      </c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</row>
    <row r="166">
      <c r="A166" s="59">
        <v>45817.0</v>
      </c>
      <c r="B166" s="60" t="s">
        <v>451</v>
      </c>
      <c r="C166" s="61">
        <v>45817.0</v>
      </c>
      <c r="D166" s="61">
        <v>45817.0</v>
      </c>
      <c r="E166" s="60" t="s">
        <v>452</v>
      </c>
      <c r="F166" s="71" t="s">
        <v>894</v>
      </c>
      <c r="G166" s="63"/>
      <c r="H166" s="64" t="s">
        <v>454</v>
      </c>
      <c r="I166" s="64" t="s">
        <v>455</v>
      </c>
      <c r="J166" s="64" t="s">
        <v>456</v>
      </c>
      <c r="K166" s="64" t="s">
        <v>456</v>
      </c>
      <c r="L166" s="64">
        <v>22.0</v>
      </c>
      <c r="M166" s="64">
        <v>22.0</v>
      </c>
      <c r="N166" s="64" t="s">
        <v>457</v>
      </c>
      <c r="O166" s="64">
        <v>24.0</v>
      </c>
      <c r="P166" s="64" t="s">
        <v>895</v>
      </c>
      <c r="Q166" s="66" t="s">
        <v>459</v>
      </c>
      <c r="R166" s="66" t="s">
        <v>459</v>
      </c>
      <c r="S166" s="66">
        <v>334.0</v>
      </c>
      <c r="T166" s="66">
        <v>3674.0</v>
      </c>
      <c r="U166" s="66">
        <v>334.0</v>
      </c>
      <c r="V166" s="64">
        <v>3674.0</v>
      </c>
      <c r="W166" s="64">
        <v>3674.0</v>
      </c>
      <c r="X166" s="76" t="s">
        <v>460</v>
      </c>
      <c r="Y166" s="64" t="s">
        <v>461</v>
      </c>
      <c r="Z166" s="64" t="s">
        <v>462</v>
      </c>
      <c r="AA166" s="64" t="s">
        <v>463</v>
      </c>
      <c r="AB166" s="64" t="s">
        <v>464</v>
      </c>
      <c r="AC166" s="60" t="s">
        <v>451</v>
      </c>
      <c r="AD166" s="64" t="s">
        <v>465</v>
      </c>
      <c r="AE166" s="64" t="s">
        <v>466</v>
      </c>
      <c r="AF166" s="64" t="s">
        <v>466</v>
      </c>
      <c r="AG166" s="64" t="s">
        <v>467</v>
      </c>
      <c r="AH166" s="64" t="s">
        <v>467</v>
      </c>
      <c r="AI166" s="66">
        <v>735.0</v>
      </c>
      <c r="AJ166" s="66">
        <v>21.5</v>
      </c>
      <c r="AK166" s="67">
        <v>15802.5</v>
      </c>
      <c r="AL166" s="63"/>
      <c r="AM166" s="63"/>
      <c r="AN166" s="64">
        <v>21.5</v>
      </c>
      <c r="AO166" s="60" t="s">
        <v>468</v>
      </c>
      <c r="AP166" s="63"/>
      <c r="AQ166" s="63"/>
      <c r="AR166" s="63"/>
      <c r="AS166" s="63"/>
      <c r="AT166" s="63"/>
      <c r="AU166" s="63"/>
      <c r="AV166" s="68"/>
      <c r="AW166" s="58" t="s">
        <v>512</v>
      </c>
      <c r="AX166" s="69">
        <v>15802.5</v>
      </c>
      <c r="AY166" s="70"/>
      <c r="AZ166" s="70"/>
      <c r="BA166" s="70"/>
      <c r="BB166" s="70"/>
      <c r="BC166" s="58" t="s">
        <v>469</v>
      </c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</row>
    <row r="167">
      <c r="A167" s="59">
        <v>45817.0</v>
      </c>
      <c r="B167" s="60" t="s">
        <v>451</v>
      </c>
      <c r="C167" s="61">
        <v>45817.0</v>
      </c>
      <c r="D167" s="61">
        <v>45817.0</v>
      </c>
      <c r="E167" s="60" t="s">
        <v>452</v>
      </c>
      <c r="F167" s="71" t="s">
        <v>896</v>
      </c>
      <c r="G167" s="63"/>
      <c r="H167" s="64" t="s">
        <v>472</v>
      </c>
      <c r="I167" s="64" t="s">
        <v>473</v>
      </c>
      <c r="J167" s="64" t="s">
        <v>456</v>
      </c>
      <c r="K167" s="64" t="s">
        <v>456</v>
      </c>
      <c r="L167" s="64">
        <v>22.0</v>
      </c>
      <c r="M167" s="64">
        <v>22.0</v>
      </c>
      <c r="N167" s="64" t="s">
        <v>457</v>
      </c>
      <c r="O167" s="64">
        <v>24.0</v>
      </c>
      <c r="P167" s="64" t="s">
        <v>897</v>
      </c>
      <c r="Q167" s="66" t="s">
        <v>459</v>
      </c>
      <c r="R167" s="66" t="s">
        <v>459</v>
      </c>
      <c r="S167" s="66">
        <v>204.0</v>
      </c>
      <c r="T167" s="66">
        <v>2244.0</v>
      </c>
      <c r="U167" s="66">
        <v>204.0</v>
      </c>
      <c r="V167" s="64">
        <v>2244.0</v>
      </c>
      <c r="W167" s="64">
        <v>2244.0</v>
      </c>
      <c r="X167" s="76" t="s">
        <v>460</v>
      </c>
      <c r="Y167" s="64" t="s">
        <v>461</v>
      </c>
      <c r="Z167" s="64" t="s">
        <v>462</v>
      </c>
      <c r="AA167" s="64" t="s">
        <v>463</v>
      </c>
      <c r="AB167" s="64" t="s">
        <v>464</v>
      </c>
      <c r="AC167" s="60" t="s">
        <v>451</v>
      </c>
      <c r="AD167" s="64" t="s">
        <v>475</v>
      </c>
      <c r="AE167" s="64" t="s">
        <v>476</v>
      </c>
      <c r="AF167" s="64" t="s">
        <v>476</v>
      </c>
      <c r="AG167" s="64" t="s">
        <v>467</v>
      </c>
      <c r="AH167" s="64" t="s">
        <v>467</v>
      </c>
      <c r="AI167" s="64">
        <v>650.0</v>
      </c>
      <c r="AJ167" s="66">
        <v>21.5</v>
      </c>
      <c r="AK167" s="67">
        <v>13975.0</v>
      </c>
      <c r="AL167" s="63"/>
      <c r="AM167" s="63"/>
      <c r="AN167" s="64">
        <v>21.5</v>
      </c>
      <c r="AO167" s="64" t="s">
        <v>468</v>
      </c>
      <c r="AP167" s="63"/>
      <c r="AQ167" s="63"/>
      <c r="AR167" s="63"/>
      <c r="AS167" s="63"/>
      <c r="AT167" s="63"/>
      <c r="AU167" s="63"/>
      <c r="AV167" s="63"/>
      <c r="AW167" s="58" t="s">
        <v>512</v>
      </c>
      <c r="AX167" s="69">
        <v>13975.0</v>
      </c>
      <c r="AY167" s="70"/>
      <c r="AZ167" s="70"/>
      <c r="BA167" s="70"/>
      <c r="BB167" s="70"/>
      <c r="BC167" s="58" t="s">
        <v>469</v>
      </c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</row>
    <row r="168">
      <c r="A168" s="59">
        <v>45817.0</v>
      </c>
      <c r="B168" s="60" t="s">
        <v>451</v>
      </c>
      <c r="C168" s="61">
        <v>45817.0</v>
      </c>
      <c r="D168" s="61">
        <v>45817.0</v>
      </c>
      <c r="E168" s="60" t="s">
        <v>452</v>
      </c>
      <c r="F168" s="72" t="s">
        <v>898</v>
      </c>
      <c r="G168" s="63"/>
      <c r="H168" s="66" t="s">
        <v>472</v>
      </c>
      <c r="I168" s="66" t="s">
        <v>479</v>
      </c>
      <c r="J168" s="66" t="s">
        <v>456</v>
      </c>
      <c r="K168" s="66" t="s">
        <v>456</v>
      </c>
      <c r="L168" s="66">
        <v>22.0</v>
      </c>
      <c r="M168" s="66">
        <v>22.0</v>
      </c>
      <c r="N168" s="66" t="s">
        <v>457</v>
      </c>
      <c r="O168" s="66">
        <v>24.0</v>
      </c>
      <c r="P168" s="66" t="s">
        <v>899</v>
      </c>
      <c r="Q168" s="64" t="s">
        <v>459</v>
      </c>
      <c r="R168" s="64" t="s">
        <v>459</v>
      </c>
      <c r="S168" s="64">
        <v>285.0</v>
      </c>
      <c r="T168" s="64">
        <v>3135.0</v>
      </c>
      <c r="U168" s="64">
        <v>285.0</v>
      </c>
      <c r="V168" s="66">
        <v>3135.0</v>
      </c>
      <c r="W168" s="66">
        <v>3135.0</v>
      </c>
      <c r="X168" s="79" t="s">
        <v>460</v>
      </c>
      <c r="Y168" s="64" t="s">
        <v>461</v>
      </c>
      <c r="Z168" s="64" t="s">
        <v>462</v>
      </c>
      <c r="AA168" s="64" t="s">
        <v>463</v>
      </c>
      <c r="AB168" s="64" t="s">
        <v>464</v>
      </c>
      <c r="AC168" s="60" t="s">
        <v>451</v>
      </c>
      <c r="AD168" s="66" t="s">
        <v>481</v>
      </c>
      <c r="AE168" s="66" t="s">
        <v>482</v>
      </c>
      <c r="AF168" s="66" t="s">
        <v>482</v>
      </c>
      <c r="AG168" s="64" t="s">
        <v>467</v>
      </c>
      <c r="AH168" s="64" t="s">
        <v>467</v>
      </c>
      <c r="AI168" s="64">
        <v>655.0</v>
      </c>
      <c r="AJ168" s="64">
        <v>21.5</v>
      </c>
      <c r="AK168" s="67">
        <v>14082.5</v>
      </c>
      <c r="AL168" s="63"/>
      <c r="AM168" s="63"/>
      <c r="AN168" s="64">
        <v>21.5</v>
      </c>
      <c r="AO168" s="64" t="s">
        <v>468</v>
      </c>
      <c r="AP168" s="63"/>
      <c r="AQ168" s="63"/>
      <c r="AR168" s="63"/>
      <c r="AS168" s="63"/>
      <c r="AT168" s="63"/>
      <c r="AU168" s="63"/>
      <c r="AV168" s="68"/>
      <c r="AW168" s="58" t="s">
        <v>512</v>
      </c>
      <c r="AX168" s="69">
        <v>14082.5</v>
      </c>
      <c r="AY168" s="70"/>
      <c r="AZ168" s="70"/>
      <c r="BA168" s="70"/>
      <c r="BB168" s="70"/>
      <c r="BC168" s="58" t="s">
        <v>469</v>
      </c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</row>
    <row r="169">
      <c r="A169" s="59">
        <v>45817.0</v>
      </c>
      <c r="B169" s="60" t="s">
        <v>451</v>
      </c>
      <c r="C169" s="61">
        <v>45817.0</v>
      </c>
      <c r="D169" s="61">
        <v>45817.0</v>
      </c>
      <c r="E169" s="60" t="s">
        <v>452</v>
      </c>
      <c r="F169" s="71" t="s">
        <v>900</v>
      </c>
      <c r="G169" s="63"/>
      <c r="H169" s="64" t="s">
        <v>492</v>
      </c>
      <c r="I169" s="64" t="s">
        <v>493</v>
      </c>
      <c r="J169" s="64" t="s">
        <v>456</v>
      </c>
      <c r="K169" s="64" t="s">
        <v>456</v>
      </c>
      <c r="L169" s="64">
        <v>28.0</v>
      </c>
      <c r="M169" s="64">
        <v>28.0</v>
      </c>
      <c r="N169" s="64" t="s">
        <v>457</v>
      </c>
      <c r="O169" s="64">
        <v>24.0</v>
      </c>
      <c r="P169" s="64" t="s">
        <v>901</v>
      </c>
      <c r="Q169" s="66" t="s">
        <v>459</v>
      </c>
      <c r="R169" s="66" t="s">
        <v>459</v>
      </c>
      <c r="S169" s="66">
        <v>510.0</v>
      </c>
      <c r="T169" s="66">
        <v>5610.0</v>
      </c>
      <c r="U169" s="66">
        <v>510.0</v>
      </c>
      <c r="V169" s="64">
        <v>5610.0</v>
      </c>
      <c r="W169" s="64">
        <v>5610.0</v>
      </c>
      <c r="X169" s="76" t="s">
        <v>460</v>
      </c>
      <c r="Y169" s="64" t="s">
        <v>461</v>
      </c>
      <c r="Z169" s="64" t="s">
        <v>462</v>
      </c>
      <c r="AA169" s="64" t="s">
        <v>463</v>
      </c>
      <c r="AB169" s="64" t="s">
        <v>464</v>
      </c>
      <c r="AC169" s="60" t="s">
        <v>451</v>
      </c>
      <c r="AD169" s="64" t="s">
        <v>495</v>
      </c>
      <c r="AE169" s="64" t="s">
        <v>496</v>
      </c>
      <c r="AF169" s="64" t="s">
        <v>496</v>
      </c>
      <c r="AG169" s="64" t="s">
        <v>467</v>
      </c>
      <c r="AH169" s="64" t="s">
        <v>467</v>
      </c>
      <c r="AI169" s="64">
        <v>570.0</v>
      </c>
      <c r="AJ169" s="60">
        <v>23.5</v>
      </c>
      <c r="AK169" s="67">
        <v>13395.0</v>
      </c>
      <c r="AL169" s="63"/>
      <c r="AM169" s="63"/>
      <c r="AN169" s="64">
        <v>23.5</v>
      </c>
      <c r="AO169" s="64" t="s">
        <v>468</v>
      </c>
      <c r="AP169" s="63"/>
      <c r="AQ169" s="63"/>
      <c r="AR169" s="63"/>
      <c r="AS169" s="63"/>
      <c r="AT169" s="63"/>
      <c r="AU169" s="63"/>
      <c r="AV169" s="63"/>
      <c r="AW169" s="58" t="s">
        <v>512</v>
      </c>
      <c r="AX169" s="69">
        <v>13395.0</v>
      </c>
      <c r="AY169" s="70"/>
      <c r="AZ169" s="70"/>
      <c r="BA169" s="70"/>
      <c r="BB169" s="70"/>
      <c r="BC169" s="58" t="s">
        <v>469</v>
      </c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</row>
    <row r="170">
      <c r="A170" s="59">
        <v>45817.0</v>
      </c>
      <c r="B170" s="60" t="s">
        <v>451</v>
      </c>
      <c r="C170" s="61">
        <v>45817.0</v>
      </c>
      <c r="D170" s="61">
        <v>45817.0</v>
      </c>
      <c r="E170" s="60" t="s">
        <v>452</v>
      </c>
      <c r="F170" s="72" t="s">
        <v>902</v>
      </c>
      <c r="G170" s="63"/>
      <c r="H170" s="66" t="s">
        <v>498</v>
      </c>
      <c r="I170" s="66" t="s">
        <v>596</v>
      </c>
      <c r="J170" s="66" t="s">
        <v>456</v>
      </c>
      <c r="K170" s="66" t="s">
        <v>456</v>
      </c>
      <c r="L170" s="66">
        <v>22.0</v>
      </c>
      <c r="M170" s="66">
        <v>22.0</v>
      </c>
      <c r="N170" s="66" t="s">
        <v>457</v>
      </c>
      <c r="O170" s="66">
        <v>24.0</v>
      </c>
      <c r="P170" s="66" t="s">
        <v>903</v>
      </c>
      <c r="Q170" s="64" t="s">
        <v>459</v>
      </c>
      <c r="R170" s="64" t="s">
        <v>459</v>
      </c>
      <c r="S170" s="64">
        <v>205.0</v>
      </c>
      <c r="T170" s="64">
        <v>2255.0</v>
      </c>
      <c r="U170" s="64">
        <v>205.0</v>
      </c>
      <c r="V170" s="66">
        <v>2255.0</v>
      </c>
      <c r="W170" s="66">
        <v>2255.0</v>
      </c>
      <c r="X170" s="79" t="s">
        <v>460</v>
      </c>
      <c r="Y170" s="64" t="s">
        <v>461</v>
      </c>
      <c r="Z170" s="64" t="s">
        <v>462</v>
      </c>
      <c r="AA170" s="64" t="s">
        <v>463</v>
      </c>
      <c r="AB170" s="64" t="s">
        <v>464</v>
      </c>
      <c r="AC170" s="60" t="s">
        <v>451</v>
      </c>
      <c r="AD170" s="66" t="s">
        <v>501</v>
      </c>
      <c r="AE170" s="66" t="s">
        <v>470</v>
      </c>
      <c r="AF170" s="66" t="s">
        <v>470</v>
      </c>
      <c r="AG170" s="64" t="s">
        <v>467</v>
      </c>
      <c r="AH170" s="64" t="s">
        <v>467</v>
      </c>
      <c r="AI170" s="64">
        <v>380.0</v>
      </c>
      <c r="AJ170" s="64">
        <v>21.5</v>
      </c>
      <c r="AK170" s="67">
        <v>8170.0</v>
      </c>
      <c r="AL170" s="63"/>
      <c r="AM170" s="63"/>
      <c r="AN170" s="64">
        <v>21.5</v>
      </c>
      <c r="AO170" s="64" t="s">
        <v>468</v>
      </c>
      <c r="AP170" s="63"/>
      <c r="AQ170" s="63"/>
      <c r="AR170" s="63"/>
      <c r="AS170" s="63"/>
      <c r="AT170" s="63"/>
      <c r="AU170" s="63"/>
      <c r="AV170" s="68"/>
      <c r="AW170" s="58" t="s">
        <v>512</v>
      </c>
      <c r="AX170" s="69">
        <v>8170.0</v>
      </c>
      <c r="AY170" s="70"/>
      <c r="AZ170" s="70"/>
      <c r="BA170" s="70"/>
      <c r="BB170" s="70"/>
      <c r="BC170" s="58" t="s">
        <v>469</v>
      </c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</row>
    <row r="171">
      <c r="A171" s="59">
        <v>45817.0</v>
      </c>
      <c r="B171" s="60" t="s">
        <v>451</v>
      </c>
      <c r="C171" s="61">
        <v>45817.0</v>
      </c>
      <c r="D171" s="61">
        <v>45817.0</v>
      </c>
      <c r="E171" s="60" t="s">
        <v>452</v>
      </c>
      <c r="F171" s="72" t="s">
        <v>904</v>
      </c>
      <c r="G171" s="63"/>
      <c r="H171" s="66" t="s">
        <v>504</v>
      </c>
      <c r="I171" s="66" t="s">
        <v>505</v>
      </c>
      <c r="J171" s="66" t="s">
        <v>456</v>
      </c>
      <c r="K171" s="66" t="s">
        <v>456</v>
      </c>
      <c r="L171" s="66">
        <v>22.0</v>
      </c>
      <c r="M171" s="66">
        <v>22.0</v>
      </c>
      <c r="N171" s="66" t="s">
        <v>457</v>
      </c>
      <c r="O171" s="66">
        <v>24.0</v>
      </c>
      <c r="P171" s="66" t="s">
        <v>905</v>
      </c>
      <c r="Q171" s="64" t="s">
        <v>459</v>
      </c>
      <c r="R171" s="64" t="s">
        <v>459</v>
      </c>
      <c r="S171" s="64">
        <v>181.0</v>
      </c>
      <c r="T171" s="64">
        <v>1991.0</v>
      </c>
      <c r="U171" s="64">
        <v>181.0</v>
      </c>
      <c r="V171" s="66">
        <v>1991.0</v>
      </c>
      <c r="W171" s="66">
        <v>1991.0</v>
      </c>
      <c r="X171" s="79" t="s">
        <v>460</v>
      </c>
      <c r="Y171" s="64" t="s">
        <v>461</v>
      </c>
      <c r="Z171" s="64" t="s">
        <v>462</v>
      </c>
      <c r="AA171" s="64" t="s">
        <v>463</v>
      </c>
      <c r="AB171" s="64" t="s">
        <v>464</v>
      </c>
      <c r="AC171" s="60" t="s">
        <v>451</v>
      </c>
      <c r="AD171" s="66" t="s">
        <v>507</v>
      </c>
      <c r="AE171" s="66" t="s">
        <v>508</v>
      </c>
      <c r="AF171" s="66" t="s">
        <v>509</v>
      </c>
      <c r="AG171" s="64" t="s">
        <v>467</v>
      </c>
      <c r="AH171" s="64" t="s">
        <v>467</v>
      </c>
      <c r="AI171" s="66">
        <v>790.0</v>
      </c>
      <c r="AJ171" s="66">
        <v>21.5</v>
      </c>
      <c r="AK171" s="67">
        <v>16985.0</v>
      </c>
      <c r="AL171" s="63"/>
      <c r="AM171" s="63"/>
      <c r="AN171" s="64">
        <v>21.5</v>
      </c>
      <c r="AO171" s="64" t="s">
        <v>468</v>
      </c>
      <c r="AP171" s="63"/>
      <c r="AQ171" s="63"/>
      <c r="AR171" s="63"/>
      <c r="AS171" s="73">
        <v>0.5</v>
      </c>
      <c r="AT171" s="64">
        <v>8492.5</v>
      </c>
      <c r="AU171" s="60" t="s">
        <v>510</v>
      </c>
      <c r="AV171" s="74" t="s">
        <v>511</v>
      </c>
      <c r="AW171" s="58" t="s">
        <v>512</v>
      </c>
      <c r="AX171" s="69">
        <v>8492.5</v>
      </c>
      <c r="AY171" s="70"/>
      <c r="AZ171" s="70"/>
      <c r="BA171" s="69">
        <v>8492.5</v>
      </c>
      <c r="BB171" s="70"/>
      <c r="BC171" s="58" t="s">
        <v>469</v>
      </c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</row>
    <row r="172">
      <c r="A172" s="59">
        <v>45817.0</v>
      </c>
      <c r="B172" s="60" t="s">
        <v>451</v>
      </c>
      <c r="C172" s="61">
        <v>45817.0</v>
      </c>
      <c r="D172" s="61">
        <v>45817.0</v>
      </c>
      <c r="E172" s="60" t="s">
        <v>452</v>
      </c>
      <c r="F172" s="71" t="s">
        <v>906</v>
      </c>
      <c r="G172" s="63"/>
      <c r="H172" s="64" t="s">
        <v>504</v>
      </c>
      <c r="I172" s="64" t="s">
        <v>515</v>
      </c>
      <c r="J172" s="64" t="s">
        <v>456</v>
      </c>
      <c r="K172" s="64" t="s">
        <v>456</v>
      </c>
      <c r="L172" s="64">
        <v>22.0</v>
      </c>
      <c r="M172" s="64">
        <v>22.0</v>
      </c>
      <c r="N172" s="64" t="s">
        <v>457</v>
      </c>
      <c r="O172" s="64">
        <v>24.0</v>
      </c>
      <c r="P172" s="64" t="s">
        <v>907</v>
      </c>
      <c r="Q172" s="66" t="s">
        <v>459</v>
      </c>
      <c r="R172" s="66" t="s">
        <v>459</v>
      </c>
      <c r="S172" s="66">
        <v>192.0</v>
      </c>
      <c r="T172" s="66">
        <v>2112.0</v>
      </c>
      <c r="U172" s="66">
        <v>192.0</v>
      </c>
      <c r="V172" s="64">
        <v>2112.0</v>
      </c>
      <c r="W172" s="64">
        <v>2112.0</v>
      </c>
      <c r="X172" s="76" t="s">
        <v>460</v>
      </c>
      <c r="Y172" s="64" t="s">
        <v>461</v>
      </c>
      <c r="Z172" s="64" t="s">
        <v>462</v>
      </c>
      <c r="AA172" s="64" t="s">
        <v>463</v>
      </c>
      <c r="AB172" s="64" t="s">
        <v>464</v>
      </c>
      <c r="AC172" s="60" t="s">
        <v>451</v>
      </c>
      <c r="AD172" s="64" t="s">
        <v>517</v>
      </c>
      <c r="AE172" s="64" t="s">
        <v>518</v>
      </c>
      <c r="AF172" s="64" t="s">
        <v>518</v>
      </c>
      <c r="AG172" s="64" t="s">
        <v>467</v>
      </c>
      <c r="AH172" s="64" t="s">
        <v>467</v>
      </c>
      <c r="AI172" s="64">
        <v>815.0</v>
      </c>
      <c r="AJ172" s="64">
        <v>21.5</v>
      </c>
      <c r="AK172" s="67">
        <v>17522.5</v>
      </c>
      <c r="AL172" s="63"/>
      <c r="AM172" s="63"/>
      <c r="AN172" s="64">
        <v>21.5</v>
      </c>
      <c r="AO172" s="64" t="s">
        <v>468</v>
      </c>
      <c r="AP172" s="63"/>
      <c r="AQ172" s="63"/>
      <c r="AR172" s="63"/>
      <c r="AS172" s="63"/>
      <c r="AT172" s="63"/>
      <c r="AU172" s="63"/>
      <c r="AV172" s="68"/>
      <c r="AW172" s="58" t="s">
        <v>512</v>
      </c>
      <c r="AX172" s="69">
        <v>17522.5</v>
      </c>
      <c r="AY172" s="70"/>
      <c r="AZ172" s="70"/>
      <c r="BA172" s="70"/>
      <c r="BB172" s="70"/>
      <c r="BC172" s="58" t="s">
        <v>469</v>
      </c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</row>
    <row r="173">
      <c r="A173" s="59">
        <v>45817.0</v>
      </c>
      <c r="B173" s="60" t="s">
        <v>451</v>
      </c>
      <c r="C173" s="61">
        <v>45817.0</v>
      </c>
      <c r="D173" s="61">
        <v>45817.0</v>
      </c>
      <c r="E173" s="60" t="s">
        <v>452</v>
      </c>
      <c r="F173" s="72" t="s">
        <v>908</v>
      </c>
      <c r="G173" s="63"/>
      <c r="H173" s="66" t="s">
        <v>521</v>
      </c>
      <c r="I173" s="66" t="s">
        <v>615</v>
      </c>
      <c r="J173" s="66" t="s">
        <v>456</v>
      </c>
      <c r="K173" s="66" t="s">
        <v>456</v>
      </c>
      <c r="L173" s="66">
        <v>22.0</v>
      </c>
      <c r="M173" s="66">
        <v>22.0</v>
      </c>
      <c r="N173" s="66" t="s">
        <v>457</v>
      </c>
      <c r="O173" s="66">
        <v>24.0</v>
      </c>
      <c r="P173" s="66" t="s">
        <v>909</v>
      </c>
      <c r="Q173" s="64" t="s">
        <v>459</v>
      </c>
      <c r="R173" s="64" t="s">
        <v>459</v>
      </c>
      <c r="S173" s="64">
        <v>223.0</v>
      </c>
      <c r="T173" s="64">
        <v>2453.0</v>
      </c>
      <c r="U173" s="64">
        <v>223.0</v>
      </c>
      <c r="V173" s="66">
        <v>2453.0</v>
      </c>
      <c r="W173" s="66">
        <v>2453.0</v>
      </c>
      <c r="X173" s="79" t="s">
        <v>460</v>
      </c>
      <c r="Y173" s="64" t="s">
        <v>461</v>
      </c>
      <c r="Z173" s="64" t="s">
        <v>462</v>
      </c>
      <c r="AA173" s="64" t="s">
        <v>463</v>
      </c>
      <c r="AB173" s="64" t="s">
        <v>464</v>
      </c>
      <c r="AC173" s="60" t="s">
        <v>451</v>
      </c>
      <c r="AD173" s="66" t="s">
        <v>524</v>
      </c>
      <c r="AE173" s="66" t="s">
        <v>483</v>
      </c>
      <c r="AF173" s="66" t="s">
        <v>483</v>
      </c>
      <c r="AG173" s="64" t="s">
        <v>467</v>
      </c>
      <c r="AH173" s="64" t="s">
        <v>467</v>
      </c>
      <c r="AI173" s="66">
        <v>600.0</v>
      </c>
      <c r="AJ173" s="66">
        <v>21.5</v>
      </c>
      <c r="AK173" s="67">
        <v>12900.0</v>
      </c>
      <c r="AL173" s="63"/>
      <c r="AM173" s="63"/>
      <c r="AN173" s="64">
        <v>21.5</v>
      </c>
      <c r="AO173" s="64" t="s">
        <v>468</v>
      </c>
      <c r="AP173" s="63"/>
      <c r="AQ173" s="63"/>
      <c r="AR173" s="63"/>
      <c r="AS173" s="63"/>
      <c r="AT173" s="63"/>
      <c r="AU173" s="63"/>
      <c r="AV173" s="68"/>
      <c r="AW173" s="58" t="s">
        <v>512</v>
      </c>
      <c r="AX173" s="69">
        <v>12900.0</v>
      </c>
      <c r="AY173" s="70"/>
      <c r="AZ173" s="70"/>
      <c r="BA173" s="70"/>
      <c r="BB173" s="70"/>
      <c r="BC173" s="58" t="s">
        <v>469</v>
      </c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</row>
    <row r="174">
      <c r="A174" s="59">
        <v>45817.0</v>
      </c>
      <c r="B174" s="60" t="s">
        <v>451</v>
      </c>
      <c r="C174" s="61">
        <v>45817.0</v>
      </c>
      <c r="D174" s="61">
        <v>45817.0</v>
      </c>
      <c r="E174" s="60" t="s">
        <v>452</v>
      </c>
      <c r="F174" s="71" t="s">
        <v>910</v>
      </c>
      <c r="G174" s="63"/>
      <c r="H174" s="64" t="s">
        <v>492</v>
      </c>
      <c r="I174" s="64" t="s">
        <v>527</v>
      </c>
      <c r="J174" s="64" t="s">
        <v>456</v>
      </c>
      <c r="K174" s="64" t="s">
        <v>456</v>
      </c>
      <c r="L174" s="64">
        <v>22.0</v>
      </c>
      <c r="M174" s="64">
        <v>22.0</v>
      </c>
      <c r="N174" s="64" t="s">
        <v>457</v>
      </c>
      <c r="O174" s="64">
        <v>24.0</v>
      </c>
      <c r="P174" s="64" t="s">
        <v>911</v>
      </c>
      <c r="Q174" s="66" t="s">
        <v>459</v>
      </c>
      <c r="R174" s="66" t="s">
        <v>459</v>
      </c>
      <c r="S174" s="66">
        <v>203.0</v>
      </c>
      <c r="T174" s="66">
        <v>2233.0</v>
      </c>
      <c r="U174" s="66">
        <v>203.0</v>
      </c>
      <c r="V174" s="64">
        <v>2233.0</v>
      </c>
      <c r="W174" s="64">
        <v>2233.0</v>
      </c>
      <c r="X174" s="76" t="s">
        <v>460</v>
      </c>
      <c r="Y174" s="64" t="s">
        <v>461</v>
      </c>
      <c r="Z174" s="64" t="s">
        <v>462</v>
      </c>
      <c r="AA174" s="64" t="s">
        <v>463</v>
      </c>
      <c r="AB174" s="64" t="s">
        <v>464</v>
      </c>
      <c r="AC174" s="60" t="s">
        <v>451</v>
      </c>
      <c r="AD174" s="64" t="s">
        <v>529</v>
      </c>
      <c r="AE174" s="64" t="s">
        <v>530</v>
      </c>
      <c r="AF174" s="64" t="s">
        <v>530</v>
      </c>
      <c r="AG174" s="64" t="s">
        <v>467</v>
      </c>
      <c r="AH174" s="64" t="s">
        <v>467</v>
      </c>
      <c r="AI174" s="66">
        <v>510.0</v>
      </c>
      <c r="AJ174" s="66">
        <v>21.5</v>
      </c>
      <c r="AK174" s="67">
        <v>10965.0</v>
      </c>
      <c r="AL174" s="63"/>
      <c r="AM174" s="63"/>
      <c r="AN174" s="64">
        <v>21.5</v>
      </c>
      <c r="AO174" s="64" t="s">
        <v>468</v>
      </c>
      <c r="AP174" s="63"/>
      <c r="AQ174" s="63"/>
      <c r="AR174" s="63"/>
      <c r="AS174" s="63"/>
      <c r="AT174" s="63"/>
      <c r="AU174" s="63"/>
      <c r="AV174" s="68"/>
      <c r="AW174" s="58" t="s">
        <v>512</v>
      </c>
      <c r="AX174" s="69">
        <v>10965.0</v>
      </c>
      <c r="AY174" s="70"/>
      <c r="AZ174" s="70"/>
      <c r="BA174" s="70"/>
      <c r="BB174" s="70"/>
      <c r="BC174" s="58" t="s">
        <v>469</v>
      </c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</row>
    <row r="175">
      <c r="A175" s="59">
        <v>45817.0</v>
      </c>
      <c r="B175" s="60" t="s">
        <v>451</v>
      </c>
      <c r="C175" s="61">
        <v>45817.0</v>
      </c>
      <c r="D175" s="61">
        <v>45817.0</v>
      </c>
      <c r="E175" s="60" t="s">
        <v>452</v>
      </c>
      <c r="F175" s="72" t="s">
        <v>912</v>
      </c>
      <c r="G175" s="63"/>
      <c r="H175" s="66" t="s">
        <v>538</v>
      </c>
      <c r="I175" s="66" t="s">
        <v>539</v>
      </c>
      <c r="J175" s="66" t="s">
        <v>456</v>
      </c>
      <c r="K175" s="66" t="s">
        <v>456</v>
      </c>
      <c r="L175" s="66">
        <v>32.0</v>
      </c>
      <c r="M175" s="66">
        <v>32.0</v>
      </c>
      <c r="N175" s="66" t="s">
        <v>540</v>
      </c>
      <c r="O175" s="66">
        <v>24.0</v>
      </c>
      <c r="P175" s="80">
        <v>2.43E8</v>
      </c>
      <c r="Q175" s="64" t="s">
        <v>459</v>
      </c>
      <c r="R175" s="64" t="s">
        <v>459</v>
      </c>
      <c r="S175" s="64">
        <v>177.0</v>
      </c>
      <c r="T175" s="64">
        <v>1947.0</v>
      </c>
      <c r="U175" s="64">
        <v>177.0</v>
      </c>
      <c r="V175" s="66">
        <v>1947.0</v>
      </c>
      <c r="W175" s="66">
        <v>1947.0</v>
      </c>
      <c r="X175" s="79" t="s">
        <v>460</v>
      </c>
      <c r="Y175" s="64" t="s">
        <v>461</v>
      </c>
      <c r="Z175" s="64" t="s">
        <v>462</v>
      </c>
      <c r="AA175" s="64" t="s">
        <v>463</v>
      </c>
      <c r="AB175" s="64" t="s">
        <v>464</v>
      </c>
      <c r="AC175" s="60" t="s">
        <v>451</v>
      </c>
      <c r="AD175" s="66" t="s">
        <v>541</v>
      </c>
      <c r="AE175" s="66" t="s">
        <v>490</v>
      </c>
      <c r="AF175" s="66" t="s">
        <v>490</v>
      </c>
      <c r="AG175" s="64" t="s">
        <v>467</v>
      </c>
      <c r="AH175" s="64" t="s">
        <v>467</v>
      </c>
      <c r="AI175" s="66">
        <v>325.0</v>
      </c>
      <c r="AJ175" s="66">
        <v>28.4</v>
      </c>
      <c r="AK175" s="67">
        <v>9213.75</v>
      </c>
      <c r="AL175" s="63"/>
      <c r="AM175" s="63"/>
      <c r="AN175" s="64">
        <v>28.35</v>
      </c>
      <c r="AO175" s="64" t="s">
        <v>468</v>
      </c>
      <c r="AP175" s="63"/>
      <c r="AQ175" s="63"/>
      <c r="AR175" s="63"/>
      <c r="AS175" s="63"/>
      <c r="AT175" s="63"/>
      <c r="AU175" s="63"/>
      <c r="AV175" s="68"/>
      <c r="AW175" s="58" t="s">
        <v>512</v>
      </c>
      <c r="AX175" s="69">
        <v>9213.75</v>
      </c>
      <c r="AY175" s="70"/>
      <c r="AZ175" s="70"/>
      <c r="BA175" s="70"/>
      <c r="BB175" s="70"/>
      <c r="BC175" s="58" t="s">
        <v>469</v>
      </c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</row>
    <row r="176">
      <c r="A176" s="59">
        <v>45817.0</v>
      </c>
      <c r="B176" s="60" t="s">
        <v>451</v>
      </c>
      <c r="C176" s="61">
        <v>45817.0</v>
      </c>
      <c r="D176" s="61">
        <v>45817.0</v>
      </c>
      <c r="E176" s="60" t="s">
        <v>452</v>
      </c>
      <c r="F176" s="71" t="s">
        <v>913</v>
      </c>
      <c r="G176" s="63"/>
      <c r="H176" s="64" t="s">
        <v>521</v>
      </c>
      <c r="I176" s="64" t="s">
        <v>914</v>
      </c>
      <c r="J176" s="64" t="s">
        <v>456</v>
      </c>
      <c r="K176" s="64" t="s">
        <v>456</v>
      </c>
      <c r="L176" s="64">
        <v>22.0</v>
      </c>
      <c r="M176" s="64">
        <v>22.0</v>
      </c>
      <c r="N176" s="64" t="s">
        <v>457</v>
      </c>
      <c r="O176" s="64">
        <v>24.0</v>
      </c>
      <c r="P176" s="75">
        <v>2.43E8</v>
      </c>
      <c r="Q176" s="66" t="s">
        <v>459</v>
      </c>
      <c r="R176" s="66" t="s">
        <v>459</v>
      </c>
      <c r="S176" s="66">
        <v>211.0</v>
      </c>
      <c r="T176" s="66">
        <v>2321.0</v>
      </c>
      <c r="U176" s="66">
        <v>211.0</v>
      </c>
      <c r="V176" s="64">
        <v>2321.0</v>
      </c>
      <c r="W176" s="64">
        <v>2321.0</v>
      </c>
      <c r="X176" s="76" t="s">
        <v>460</v>
      </c>
      <c r="Y176" s="64" t="s">
        <v>461</v>
      </c>
      <c r="Z176" s="64" t="s">
        <v>462</v>
      </c>
      <c r="AA176" s="64" t="s">
        <v>463</v>
      </c>
      <c r="AB176" s="64" t="s">
        <v>464</v>
      </c>
      <c r="AC176" s="60" t="s">
        <v>451</v>
      </c>
      <c r="AD176" s="64" t="s">
        <v>544</v>
      </c>
      <c r="AE176" s="64" t="s">
        <v>545</v>
      </c>
      <c r="AF176" s="64" t="s">
        <v>546</v>
      </c>
      <c r="AG176" s="64" t="s">
        <v>467</v>
      </c>
      <c r="AH176" s="64" t="s">
        <v>467</v>
      </c>
      <c r="AI176" s="64">
        <v>440.0</v>
      </c>
      <c r="AJ176" s="64">
        <v>21.5</v>
      </c>
      <c r="AK176" s="67">
        <v>9460.0</v>
      </c>
      <c r="AL176" s="63"/>
      <c r="AM176" s="63"/>
      <c r="AN176" s="64">
        <v>21.5</v>
      </c>
      <c r="AO176" s="60" t="s">
        <v>468</v>
      </c>
      <c r="AP176" s="63"/>
      <c r="AQ176" s="63"/>
      <c r="AR176" s="63"/>
      <c r="AS176" s="63"/>
      <c r="AT176" s="63"/>
      <c r="AU176" s="63"/>
      <c r="AV176" s="63"/>
      <c r="AW176" s="58" t="s">
        <v>512</v>
      </c>
      <c r="AX176" s="69">
        <v>9460.0</v>
      </c>
      <c r="AY176" s="70"/>
      <c r="AZ176" s="70"/>
      <c r="BA176" s="70"/>
      <c r="BB176" s="70"/>
      <c r="BC176" s="58" t="s">
        <v>469</v>
      </c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</row>
    <row r="177">
      <c r="A177" s="59">
        <v>45817.0</v>
      </c>
      <c r="B177" s="60" t="s">
        <v>451</v>
      </c>
      <c r="C177" s="61">
        <v>45817.0</v>
      </c>
      <c r="D177" s="61">
        <v>45817.0</v>
      </c>
      <c r="E177" s="60" t="s">
        <v>452</v>
      </c>
      <c r="F177" s="72" t="s">
        <v>915</v>
      </c>
      <c r="G177" s="63"/>
      <c r="H177" s="66" t="s">
        <v>472</v>
      </c>
      <c r="I177" s="66" t="s">
        <v>916</v>
      </c>
      <c r="J177" s="66" t="s">
        <v>456</v>
      </c>
      <c r="K177" s="66" t="s">
        <v>456</v>
      </c>
      <c r="L177" s="66">
        <v>22.0</v>
      </c>
      <c r="M177" s="66">
        <v>22.0</v>
      </c>
      <c r="N177" s="66" t="s">
        <v>457</v>
      </c>
      <c r="O177" s="66">
        <v>24.0</v>
      </c>
      <c r="P177" s="66" t="s">
        <v>917</v>
      </c>
      <c r="Q177" s="64" t="s">
        <v>459</v>
      </c>
      <c r="R177" s="64" t="s">
        <v>459</v>
      </c>
      <c r="S177" s="64">
        <v>172.0</v>
      </c>
      <c r="T177" s="64">
        <v>1892.0</v>
      </c>
      <c r="U177" s="64">
        <v>172.0</v>
      </c>
      <c r="V177" s="66">
        <v>1892.0</v>
      </c>
      <c r="W177" s="66">
        <v>1892.0</v>
      </c>
      <c r="X177" s="79" t="s">
        <v>460</v>
      </c>
      <c r="Y177" s="64" t="s">
        <v>461</v>
      </c>
      <c r="Z177" s="64" t="s">
        <v>462</v>
      </c>
      <c r="AA177" s="64" t="s">
        <v>463</v>
      </c>
      <c r="AB177" s="64" t="s">
        <v>464</v>
      </c>
      <c r="AC177" s="60" t="s">
        <v>451</v>
      </c>
      <c r="AD177" s="66" t="s">
        <v>765</v>
      </c>
      <c r="AE177" s="66" t="s">
        <v>663</v>
      </c>
      <c r="AF177" s="66" t="s">
        <v>663</v>
      </c>
      <c r="AG177" s="64" t="s">
        <v>467</v>
      </c>
      <c r="AH177" s="64" t="s">
        <v>467</v>
      </c>
      <c r="AI177" s="64">
        <v>330.0</v>
      </c>
      <c r="AJ177" s="64">
        <v>21.5</v>
      </c>
      <c r="AK177" s="67">
        <v>7095.0</v>
      </c>
      <c r="AL177" s="63"/>
      <c r="AM177" s="63"/>
      <c r="AN177" s="64">
        <v>21.5</v>
      </c>
      <c r="AO177" s="64" t="s">
        <v>468</v>
      </c>
      <c r="AP177" s="63"/>
      <c r="AQ177" s="63"/>
      <c r="AR177" s="63"/>
      <c r="AS177" s="63"/>
      <c r="AT177" s="63"/>
      <c r="AU177" s="63"/>
      <c r="AV177" s="63"/>
      <c r="AW177" s="58" t="s">
        <v>512</v>
      </c>
      <c r="AX177" s="69">
        <v>7095.0</v>
      </c>
      <c r="AY177" s="70"/>
      <c r="AZ177" s="70"/>
      <c r="BA177" s="70"/>
      <c r="BB177" s="70"/>
      <c r="BC177" s="58" t="s">
        <v>469</v>
      </c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</row>
    <row r="178">
      <c r="A178" s="59">
        <v>45817.0</v>
      </c>
      <c r="B178" s="60" t="s">
        <v>451</v>
      </c>
      <c r="C178" s="61">
        <v>45817.0</v>
      </c>
      <c r="D178" s="61">
        <v>45817.0</v>
      </c>
      <c r="E178" s="60" t="s">
        <v>452</v>
      </c>
      <c r="F178" s="71" t="s">
        <v>918</v>
      </c>
      <c r="G178" s="63"/>
      <c r="H178" s="64" t="s">
        <v>521</v>
      </c>
      <c r="I178" s="64" t="s">
        <v>555</v>
      </c>
      <c r="J178" s="64" t="s">
        <v>486</v>
      </c>
      <c r="K178" s="64" t="s">
        <v>486</v>
      </c>
      <c r="L178" s="66">
        <v>22.0</v>
      </c>
      <c r="M178" s="66">
        <v>22.0</v>
      </c>
      <c r="N178" s="66" t="s">
        <v>457</v>
      </c>
      <c r="O178" s="66">
        <v>24.0</v>
      </c>
      <c r="P178" s="64" t="s">
        <v>919</v>
      </c>
      <c r="Q178" s="64" t="s">
        <v>459</v>
      </c>
      <c r="R178" s="64" t="s">
        <v>459</v>
      </c>
      <c r="S178" s="64">
        <v>268.0</v>
      </c>
      <c r="T178" s="64">
        <v>2948.0</v>
      </c>
      <c r="U178" s="64">
        <v>268.0</v>
      </c>
      <c r="V178" s="64">
        <v>2948.0</v>
      </c>
      <c r="W178" s="64">
        <v>2948.0</v>
      </c>
      <c r="X178" s="76" t="s">
        <v>460</v>
      </c>
      <c r="Y178" s="64" t="s">
        <v>461</v>
      </c>
      <c r="Z178" s="64" t="s">
        <v>462</v>
      </c>
      <c r="AA178" s="64" t="s">
        <v>463</v>
      </c>
      <c r="AB178" s="64" t="s">
        <v>464</v>
      </c>
      <c r="AC178" s="60" t="s">
        <v>451</v>
      </c>
      <c r="AD178" s="66" t="s">
        <v>678</v>
      </c>
      <c r="AE178" s="66" t="s">
        <v>643</v>
      </c>
      <c r="AF178" s="66" t="s">
        <v>643</v>
      </c>
      <c r="AG178" s="64" t="s">
        <v>467</v>
      </c>
      <c r="AH178" s="64" t="s">
        <v>467</v>
      </c>
      <c r="AI178" s="64">
        <v>805.0</v>
      </c>
      <c r="AJ178" s="64">
        <v>23.5</v>
      </c>
      <c r="AK178" s="67">
        <v>18917.5</v>
      </c>
      <c r="AL178" s="63"/>
      <c r="AM178" s="63"/>
      <c r="AN178" s="64">
        <v>23.5</v>
      </c>
      <c r="AO178" s="66" t="s">
        <v>468</v>
      </c>
      <c r="AP178" s="63"/>
      <c r="AQ178" s="63"/>
      <c r="AR178" s="63"/>
      <c r="AS178" s="63"/>
      <c r="AT178" s="63"/>
      <c r="AU178" s="63"/>
      <c r="AV178" s="68"/>
      <c r="AW178" s="58" t="s">
        <v>512</v>
      </c>
      <c r="AX178" s="69">
        <v>18917.5</v>
      </c>
      <c r="AY178" s="70"/>
      <c r="AZ178" s="70"/>
      <c r="BA178" s="70"/>
      <c r="BB178" s="70"/>
      <c r="BC178" s="58" t="s">
        <v>469</v>
      </c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</row>
    <row r="179">
      <c r="A179" s="59">
        <v>45817.0</v>
      </c>
      <c r="B179" s="60" t="s">
        <v>451</v>
      </c>
      <c r="C179" s="61">
        <v>45817.0</v>
      </c>
      <c r="D179" s="61">
        <v>45817.0</v>
      </c>
      <c r="E179" s="60" t="s">
        <v>452</v>
      </c>
      <c r="F179" s="72" t="s">
        <v>920</v>
      </c>
      <c r="G179" s="63"/>
      <c r="H179" s="66" t="s">
        <v>521</v>
      </c>
      <c r="I179" s="66" t="s">
        <v>769</v>
      </c>
      <c r="J179" s="64" t="s">
        <v>456</v>
      </c>
      <c r="K179" s="64" t="s">
        <v>456</v>
      </c>
      <c r="L179" s="66">
        <v>22.0</v>
      </c>
      <c r="M179" s="66">
        <v>22.0</v>
      </c>
      <c r="N179" s="66" t="s">
        <v>457</v>
      </c>
      <c r="O179" s="66">
        <v>24.0</v>
      </c>
      <c r="P179" s="75">
        <v>2.43E8</v>
      </c>
      <c r="Q179" s="64" t="s">
        <v>459</v>
      </c>
      <c r="R179" s="64" t="s">
        <v>459</v>
      </c>
      <c r="S179" s="64">
        <v>80.0</v>
      </c>
      <c r="T179" s="64">
        <v>880.0</v>
      </c>
      <c r="U179" s="64">
        <v>80.0</v>
      </c>
      <c r="V179" s="64">
        <v>880.0</v>
      </c>
      <c r="W179" s="64">
        <v>880.0</v>
      </c>
      <c r="X179" s="76" t="s">
        <v>460</v>
      </c>
      <c r="Y179" s="64" t="s">
        <v>461</v>
      </c>
      <c r="Z179" s="64" t="s">
        <v>462</v>
      </c>
      <c r="AA179" s="64" t="s">
        <v>463</v>
      </c>
      <c r="AB179" s="64" t="s">
        <v>464</v>
      </c>
      <c r="AC179" s="60" t="s">
        <v>451</v>
      </c>
      <c r="AD179" s="66" t="s">
        <v>557</v>
      </c>
      <c r="AE179" s="64" t="s">
        <v>525</v>
      </c>
      <c r="AF179" s="64" t="s">
        <v>525</v>
      </c>
      <c r="AG179" s="64" t="s">
        <v>467</v>
      </c>
      <c r="AH179" s="64" t="s">
        <v>467</v>
      </c>
      <c r="AI179" s="66">
        <v>800.0</v>
      </c>
      <c r="AJ179" s="64">
        <v>21.5</v>
      </c>
      <c r="AK179" s="67">
        <v>17200.0</v>
      </c>
      <c r="AL179" s="63"/>
      <c r="AM179" s="63"/>
      <c r="AN179" s="64">
        <v>21.5</v>
      </c>
      <c r="AO179" s="66" t="s">
        <v>468</v>
      </c>
      <c r="AP179" s="63"/>
      <c r="AQ179" s="63"/>
      <c r="AR179" s="63"/>
      <c r="AS179" s="63"/>
      <c r="AT179" s="63"/>
      <c r="AU179" s="63"/>
      <c r="AV179" s="68"/>
      <c r="AW179" s="58" t="s">
        <v>512</v>
      </c>
      <c r="AX179" s="69">
        <v>17200.0</v>
      </c>
      <c r="AY179" s="70"/>
      <c r="AZ179" s="70"/>
      <c r="BA179" s="70"/>
      <c r="BB179" s="70"/>
      <c r="BC179" s="58" t="s">
        <v>469</v>
      </c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</row>
    <row r="180">
      <c r="A180" s="59">
        <v>45817.0</v>
      </c>
      <c r="B180" s="60" t="s">
        <v>451</v>
      </c>
      <c r="C180" s="61">
        <v>45817.0</v>
      </c>
      <c r="D180" s="61">
        <v>45817.0</v>
      </c>
      <c r="E180" s="60" t="s">
        <v>452</v>
      </c>
      <c r="F180" s="71" t="s">
        <v>921</v>
      </c>
      <c r="G180" s="63"/>
      <c r="H180" s="64" t="s">
        <v>771</v>
      </c>
      <c r="I180" s="64" t="s">
        <v>772</v>
      </c>
      <c r="J180" s="64" t="s">
        <v>456</v>
      </c>
      <c r="K180" s="64" t="s">
        <v>456</v>
      </c>
      <c r="L180" s="64">
        <v>22.0</v>
      </c>
      <c r="M180" s="64">
        <v>22.0</v>
      </c>
      <c r="N180" s="64" t="s">
        <v>457</v>
      </c>
      <c r="O180" s="64">
        <v>24.0</v>
      </c>
      <c r="P180" s="64" t="s">
        <v>922</v>
      </c>
      <c r="Q180" s="66" t="s">
        <v>459</v>
      </c>
      <c r="R180" s="66" t="s">
        <v>459</v>
      </c>
      <c r="S180" s="66">
        <v>281.0</v>
      </c>
      <c r="T180" s="66">
        <v>3091.0</v>
      </c>
      <c r="U180" s="66">
        <v>281.0</v>
      </c>
      <c r="V180" s="64">
        <v>3091.0</v>
      </c>
      <c r="W180" s="64">
        <v>3091.0</v>
      </c>
      <c r="X180" s="76" t="s">
        <v>460</v>
      </c>
      <c r="Y180" s="64" t="s">
        <v>461</v>
      </c>
      <c r="Z180" s="64" t="s">
        <v>462</v>
      </c>
      <c r="AA180" s="64" t="s">
        <v>463</v>
      </c>
      <c r="AB180" s="64" t="s">
        <v>464</v>
      </c>
      <c r="AC180" s="60" t="s">
        <v>451</v>
      </c>
      <c r="AD180" s="64" t="s">
        <v>561</v>
      </c>
      <c r="AE180" s="64" t="s">
        <v>562</v>
      </c>
      <c r="AF180" s="64" t="s">
        <v>562</v>
      </c>
      <c r="AG180" s="64" t="s">
        <v>467</v>
      </c>
      <c r="AH180" s="64" t="s">
        <v>467</v>
      </c>
      <c r="AI180" s="60">
        <v>325.0</v>
      </c>
      <c r="AJ180" s="64">
        <v>21.5</v>
      </c>
      <c r="AK180" s="67">
        <v>6987.5</v>
      </c>
      <c r="AL180" s="63"/>
      <c r="AM180" s="63"/>
      <c r="AN180" s="64">
        <v>21.5</v>
      </c>
      <c r="AO180" s="64" t="s">
        <v>468</v>
      </c>
      <c r="AP180" s="63"/>
      <c r="AQ180" s="63"/>
      <c r="AR180" s="63"/>
      <c r="AS180" s="63"/>
      <c r="AT180" s="63"/>
      <c r="AU180" s="63"/>
      <c r="AV180" s="63"/>
      <c r="AW180" s="58" t="s">
        <v>512</v>
      </c>
      <c r="AX180" s="69">
        <v>6987.5</v>
      </c>
      <c r="AY180" s="70"/>
      <c r="AZ180" s="70"/>
      <c r="BA180" s="70"/>
      <c r="BB180" s="70"/>
      <c r="BC180" s="58" t="s">
        <v>469</v>
      </c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</row>
    <row r="181">
      <c r="A181" s="59">
        <v>45817.0</v>
      </c>
      <c r="B181" s="60" t="s">
        <v>451</v>
      </c>
      <c r="C181" s="61">
        <v>45817.0</v>
      </c>
      <c r="D181" s="61">
        <v>45817.0</v>
      </c>
      <c r="E181" s="60" t="s">
        <v>452</v>
      </c>
      <c r="F181" s="72" t="s">
        <v>923</v>
      </c>
      <c r="G181" s="63"/>
      <c r="H181" s="66" t="s">
        <v>771</v>
      </c>
      <c r="I181" s="66" t="s">
        <v>775</v>
      </c>
      <c r="J181" s="66" t="s">
        <v>456</v>
      </c>
      <c r="K181" s="66" t="s">
        <v>456</v>
      </c>
      <c r="L181" s="66">
        <v>22.0</v>
      </c>
      <c r="M181" s="66">
        <v>22.0</v>
      </c>
      <c r="N181" s="66" t="s">
        <v>457</v>
      </c>
      <c r="O181" s="66">
        <v>24.0</v>
      </c>
      <c r="P181" s="66" t="s">
        <v>924</v>
      </c>
      <c r="Q181" s="64" t="s">
        <v>459</v>
      </c>
      <c r="R181" s="64" t="s">
        <v>459</v>
      </c>
      <c r="S181" s="64">
        <v>256.0</v>
      </c>
      <c r="T181" s="64">
        <v>2816.0</v>
      </c>
      <c r="U181" s="64">
        <v>256.0</v>
      </c>
      <c r="V181" s="66">
        <v>2816.0</v>
      </c>
      <c r="W181" s="66">
        <v>2816.0</v>
      </c>
      <c r="X181" s="79" t="s">
        <v>460</v>
      </c>
      <c r="Y181" s="64" t="s">
        <v>461</v>
      </c>
      <c r="Z181" s="64" t="s">
        <v>462</v>
      </c>
      <c r="AA181" s="64" t="s">
        <v>463</v>
      </c>
      <c r="AB181" s="64" t="s">
        <v>464</v>
      </c>
      <c r="AC181" s="60" t="s">
        <v>451</v>
      </c>
      <c r="AD181" s="66" t="s">
        <v>566</v>
      </c>
      <c r="AE181" s="66" t="s">
        <v>567</v>
      </c>
      <c r="AF181" s="66" t="s">
        <v>567</v>
      </c>
      <c r="AG181" s="64" t="s">
        <v>467</v>
      </c>
      <c r="AH181" s="64" t="s">
        <v>467</v>
      </c>
      <c r="AI181" s="64">
        <v>475.0</v>
      </c>
      <c r="AJ181" s="66">
        <v>21.5</v>
      </c>
      <c r="AK181" s="67">
        <v>10212.5</v>
      </c>
      <c r="AL181" s="63"/>
      <c r="AM181" s="63"/>
      <c r="AN181" s="64">
        <v>21.5</v>
      </c>
      <c r="AO181" s="64" t="s">
        <v>468</v>
      </c>
      <c r="AP181" s="63"/>
      <c r="AQ181" s="63"/>
      <c r="AR181" s="63"/>
      <c r="AS181" s="63"/>
      <c r="AT181" s="63"/>
      <c r="AU181" s="63"/>
      <c r="AV181" s="63"/>
      <c r="AW181" s="58" t="s">
        <v>512</v>
      </c>
      <c r="AX181" s="69">
        <v>10212.5</v>
      </c>
      <c r="AY181" s="70"/>
      <c r="AZ181" s="70"/>
      <c r="BA181" s="70"/>
      <c r="BB181" s="70"/>
      <c r="BC181" s="58" t="s">
        <v>469</v>
      </c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</row>
    <row r="182">
      <c r="A182" s="59">
        <v>45817.0</v>
      </c>
      <c r="B182" s="60" t="s">
        <v>451</v>
      </c>
      <c r="C182" s="61">
        <v>45817.0</v>
      </c>
      <c r="D182" s="61">
        <v>45817.0</v>
      </c>
      <c r="E182" s="60" t="s">
        <v>452</v>
      </c>
      <c r="F182" s="71" t="s">
        <v>925</v>
      </c>
      <c r="G182" s="63"/>
      <c r="H182" s="64" t="s">
        <v>492</v>
      </c>
      <c r="I182" s="64" t="s">
        <v>569</v>
      </c>
      <c r="J182" s="64" t="s">
        <v>456</v>
      </c>
      <c r="K182" s="64" t="s">
        <v>456</v>
      </c>
      <c r="L182" s="64">
        <v>22.0</v>
      </c>
      <c r="M182" s="64">
        <v>22.0</v>
      </c>
      <c r="N182" s="64" t="s">
        <v>457</v>
      </c>
      <c r="O182" s="64">
        <v>24.0</v>
      </c>
      <c r="P182" s="64" t="s">
        <v>926</v>
      </c>
      <c r="Q182" s="66" t="s">
        <v>459</v>
      </c>
      <c r="R182" s="66" t="s">
        <v>459</v>
      </c>
      <c r="S182" s="66">
        <v>246.0</v>
      </c>
      <c r="T182" s="66">
        <v>2706.0</v>
      </c>
      <c r="U182" s="66">
        <v>246.0</v>
      </c>
      <c r="V182" s="64">
        <v>2706.0</v>
      </c>
      <c r="W182" s="64">
        <v>2706.0</v>
      </c>
      <c r="X182" s="76" t="s">
        <v>460</v>
      </c>
      <c r="Y182" s="64" t="s">
        <v>461</v>
      </c>
      <c r="Z182" s="64" t="s">
        <v>462</v>
      </c>
      <c r="AA182" s="64" t="s">
        <v>463</v>
      </c>
      <c r="AB182" s="64" t="s">
        <v>464</v>
      </c>
      <c r="AC182" s="60" t="s">
        <v>451</v>
      </c>
      <c r="AD182" s="64" t="s">
        <v>571</v>
      </c>
      <c r="AE182" s="64" t="s">
        <v>572</v>
      </c>
      <c r="AF182" s="64" t="s">
        <v>572</v>
      </c>
      <c r="AG182" s="64" t="s">
        <v>467</v>
      </c>
      <c r="AH182" s="64" t="s">
        <v>467</v>
      </c>
      <c r="AI182" s="66">
        <v>655.0</v>
      </c>
      <c r="AJ182" s="66">
        <v>21.5</v>
      </c>
      <c r="AK182" s="67">
        <v>14082.5</v>
      </c>
      <c r="AL182" s="63"/>
      <c r="AM182" s="63"/>
      <c r="AN182" s="64">
        <v>21.5</v>
      </c>
      <c r="AO182" s="60" t="s">
        <v>468</v>
      </c>
      <c r="AP182" s="63"/>
      <c r="AQ182" s="63"/>
      <c r="AR182" s="63"/>
      <c r="AS182" s="63"/>
      <c r="AT182" s="63"/>
      <c r="AU182" s="63"/>
      <c r="AV182" s="68"/>
      <c r="AW182" s="58" t="s">
        <v>512</v>
      </c>
      <c r="AX182" s="69">
        <v>14082.5</v>
      </c>
      <c r="AY182" s="70"/>
      <c r="AZ182" s="70"/>
      <c r="BA182" s="70"/>
      <c r="BB182" s="70"/>
      <c r="BC182" s="58" t="s">
        <v>469</v>
      </c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</row>
    <row r="183">
      <c r="A183" s="59">
        <v>45817.0</v>
      </c>
      <c r="B183" s="60" t="s">
        <v>451</v>
      </c>
      <c r="C183" s="61">
        <v>45817.0</v>
      </c>
      <c r="D183" s="61">
        <v>45817.0</v>
      </c>
      <c r="E183" s="60" t="s">
        <v>452</v>
      </c>
      <c r="F183" s="72" t="s">
        <v>927</v>
      </c>
      <c r="G183" s="63"/>
      <c r="H183" s="66" t="s">
        <v>472</v>
      </c>
      <c r="I183" s="66" t="s">
        <v>632</v>
      </c>
      <c r="J183" s="66" t="s">
        <v>456</v>
      </c>
      <c r="K183" s="66" t="s">
        <v>456</v>
      </c>
      <c r="L183" s="66">
        <v>22.0</v>
      </c>
      <c r="M183" s="66">
        <v>22.0</v>
      </c>
      <c r="N183" s="66" t="s">
        <v>457</v>
      </c>
      <c r="O183" s="66">
        <v>24.0</v>
      </c>
      <c r="P183" s="80">
        <v>2.43E8</v>
      </c>
      <c r="Q183" s="64" t="s">
        <v>459</v>
      </c>
      <c r="R183" s="64" t="s">
        <v>459</v>
      </c>
      <c r="S183" s="64">
        <v>201.0</v>
      </c>
      <c r="T183" s="64">
        <v>2211.0</v>
      </c>
      <c r="U183" s="64">
        <v>201.0</v>
      </c>
      <c r="V183" s="66">
        <v>2211.0</v>
      </c>
      <c r="W183" s="66">
        <v>2211.0</v>
      </c>
      <c r="X183" s="79" t="s">
        <v>460</v>
      </c>
      <c r="Y183" s="64" t="s">
        <v>461</v>
      </c>
      <c r="Z183" s="64" t="s">
        <v>462</v>
      </c>
      <c r="AA183" s="64" t="s">
        <v>463</v>
      </c>
      <c r="AB183" s="64" t="s">
        <v>464</v>
      </c>
      <c r="AC183" s="60" t="s">
        <v>451</v>
      </c>
      <c r="AD183" s="66" t="s">
        <v>577</v>
      </c>
      <c r="AE183" s="66" t="s">
        <v>578</v>
      </c>
      <c r="AF183" s="66" t="s">
        <v>578</v>
      </c>
      <c r="AG183" s="64" t="s">
        <v>467</v>
      </c>
      <c r="AH183" s="64" t="s">
        <v>467</v>
      </c>
      <c r="AI183" s="66">
        <v>396.0</v>
      </c>
      <c r="AJ183" s="64">
        <v>21.5</v>
      </c>
      <c r="AK183" s="67">
        <v>8514.0</v>
      </c>
      <c r="AL183" s="63"/>
      <c r="AM183" s="63"/>
      <c r="AN183" s="64">
        <v>21.5</v>
      </c>
      <c r="AO183" s="64" t="s">
        <v>468</v>
      </c>
      <c r="AP183" s="63"/>
      <c r="AQ183" s="63"/>
      <c r="AR183" s="63"/>
      <c r="AS183" s="63"/>
      <c r="AT183" s="63"/>
      <c r="AU183" s="63"/>
      <c r="AV183" s="63"/>
      <c r="AW183" s="58" t="s">
        <v>512</v>
      </c>
      <c r="AX183" s="69">
        <v>8514.0</v>
      </c>
      <c r="AY183" s="70"/>
      <c r="AZ183" s="70"/>
      <c r="BA183" s="70"/>
      <c r="BB183" s="70"/>
      <c r="BC183" s="58" t="s">
        <v>469</v>
      </c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</row>
    <row r="184">
      <c r="A184" s="59">
        <v>45817.0</v>
      </c>
      <c r="B184" s="60" t="s">
        <v>451</v>
      </c>
      <c r="C184" s="61">
        <v>45817.0</v>
      </c>
      <c r="D184" s="61">
        <v>45817.0</v>
      </c>
      <c r="E184" s="60" t="s">
        <v>452</v>
      </c>
      <c r="F184" s="71" t="s">
        <v>928</v>
      </c>
      <c r="G184" s="63"/>
      <c r="H184" s="64" t="s">
        <v>472</v>
      </c>
      <c r="I184" s="64" t="s">
        <v>636</v>
      </c>
      <c r="J184" s="64" t="s">
        <v>456</v>
      </c>
      <c r="K184" s="64" t="s">
        <v>456</v>
      </c>
      <c r="L184" s="64">
        <v>22.0</v>
      </c>
      <c r="M184" s="64">
        <v>22.0</v>
      </c>
      <c r="N184" s="64" t="s">
        <v>457</v>
      </c>
      <c r="O184" s="64">
        <v>24.0</v>
      </c>
      <c r="P184" s="64" t="s">
        <v>929</v>
      </c>
      <c r="Q184" s="66" t="s">
        <v>459</v>
      </c>
      <c r="R184" s="66" t="s">
        <v>459</v>
      </c>
      <c r="S184" s="66">
        <v>193.0</v>
      </c>
      <c r="T184" s="66">
        <v>2123.0</v>
      </c>
      <c r="U184" s="66">
        <v>193.0</v>
      </c>
      <c r="V184" s="64">
        <v>2123.0</v>
      </c>
      <c r="W184" s="64">
        <v>2123.0</v>
      </c>
      <c r="X184" s="76" t="s">
        <v>460</v>
      </c>
      <c r="Y184" s="64" t="s">
        <v>461</v>
      </c>
      <c r="Z184" s="64" t="s">
        <v>462</v>
      </c>
      <c r="AA184" s="64" t="s">
        <v>463</v>
      </c>
      <c r="AB184" s="64" t="s">
        <v>464</v>
      </c>
      <c r="AC184" s="60" t="s">
        <v>451</v>
      </c>
      <c r="AD184" s="64" t="s">
        <v>583</v>
      </c>
      <c r="AE184" s="64" t="s">
        <v>584</v>
      </c>
      <c r="AF184" s="64" t="s">
        <v>584</v>
      </c>
      <c r="AG184" s="64" t="s">
        <v>467</v>
      </c>
      <c r="AH184" s="64" t="s">
        <v>467</v>
      </c>
      <c r="AI184" s="66">
        <v>510.0</v>
      </c>
      <c r="AJ184" s="66">
        <v>21.5</v>
      </c>
      <c r="AK184" s="67">
        <v>10965.0</v>
      </c>
      <c r="AL184" s="63"/>
      <c r="AM184" s="63"/>
      <c r="AN184" s="64">
        <v>21.5</v>
      </c>
      <c r="AO184" s="64" t="s">
        <v>468</v>
      </c>
      <c r="AP184" s="63"/>
      <c r="AQ184" s="63"/>
      <c r="AR184" s="63"/>
      <c r="AS184" s="63"/>
      <c r="AT184" s="63"/>
      <c r="AU184" s="63"/>
      <c r="AV184" s="68"/>
      <c r="AW184" s="58" t="s">
        <v>512</v>
      </c>
      <c r="AX184" s="69">
        <v>10965.0</v>
      </c>
      <c r="AY184" s="70"/>
      <c r="AZ184" s="70"/>
      <c r="BA184" s="70"/>
      <c r="BB184" s="70"/>
      <c r="BC184" s="58" t="s">
        <v>469</v>
      </c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58"/>
    </row>
    <row r="185">
      <c r="A185" s="59">
        <v>45818.0</v>
      </c>
      <c r="B185" s="60" t="s">
        <v>451</v>
      </c>
      <c r="C185" s="61">
        <v>45818.0</v>
      </c>
      <c r="D185" s="61">
        <v>45818.0</v>
      </c>
      <c r="E185" s="60" t="s">
        <v>452</v>
      </c>
      <c r="F185" s="72" t="s">
        <v>930</v>
      </c>
      <c r="G185" s="63"/>
      <c r="H185" s="66" t="s">
        <v>454</v>
      </c>
      <c r="I185" s="64" t="s">
        <v>931</v>
      </c>
      <c r="J185" s="64" t="s">
        <v>456</v>
      </c>
      <c r="K185" s="64" t="s">
        <v>456</v>
      </c>
      <c r="L185" s="66">
        <v>22.0</v>
      </c>
      <c r="M185" s="66">
        <v>22.0</v>
      </c>
      <c r="N185" s="66" t="s">
        <v>457</v>
      </c>
      <c r="O185" s="66">
        <v>24.0</v>
      </c>
      <c r="P185" s="66" t="s">
        <v>932</v>
      </c>
      <c r="Q185" s="64" t="s">
        <v>459</v>
      </c>
      <c r="R185" s="64" t="s">
        <v>459</v>
      </c>
      <c r="S185" s="64">
        <v>278.0</v>
      </c>
      <c r="T185" s="64">
        <v>3058.0</v>
      </c>
      <c r="U185" s="64">
        <v>278.0</v>
      </c>
      <c r="V185" s="66">
        <v>3058.0</v>
      </c>
      <c r="W185" s="66">
        <v>3058.0</v>
      </c>
      <c r="X185" s="79" t="s">
        <v>460</v>
      </c>
      <c r="Y185" s="64" t="s">
        <v>461</v>
      </c>
      <c r="Z185" s="64" t="s">
        <v>462</v>
      </c>
      <c r="AA185" s="64" t="s">
        <v>463</v>
      </c>
      <c r="AB185" s="60" t="s">
        <v>464</v>
      </c>
      <c r="AC185" s="66" t="s">
        <v>451</v>
      </c>
      <c r="AD185" s="66" t="s">
        <v>465</v>
      </c>
      <c r="AE185" s="66" t="s">
        <v>466</v>
      </c>
      <c r="AF185" s="66" t="s">
        <v>466</v>
      </c>
      <c r="AG185" s="64" t="s">
        <v>467</v>
      </c>
      <c r="AH185" s="64" t="s">
        <v>467</v>
      </c>
      <c r="AI185" s="66">
        <v>735.0</v>
      </c>
      <c r="AJ185" s="66">
        <v>21.5</v>
      </c>
      <c r="AK185" s="67">
        <v>15802.5</v>
      </c>
      <c r="AL185" s="63"/>
      <c r="AM185" s="63"/>
      <c r="AN185" s="64">
        <v>21.5</v>
      </c>
      <c r="AO185" s="60" t="s">
        <v>468</v>
      </c>
      <c r="AP185" s="63"/>
      <c r="AQ185" s="63"/>
      <c r="AR185" s="63"/>
      <c r="AS185" s="63"/>
      <c r="AT185" s="63"/>
      <c r="AU185" s="63"/>
      <c r="AV185" s="68"/>
      <c r="AW185" s="58" t="s">
        <v>512</v>
      </c>
      <c r="AX185" s="69">
        <v>15802.5</v>
      </c>
      <c r="AY185" s="70"/>
      <c r="AZ185" s="70"/>
      <c r="BA185" s="70"/>
      <c r="BB185" s="70"/>
      <c r="BC185" s="58" t="s">
        <v>469</v>
      </c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</row>
    <row r="186">
      <c r="A186" s="59">
        <v>45818.0</v>
      </c>
      <c r="B186" s="60" t="s">
        <v>451</v>
      </c>
      <c r="C186" s="61">
        <v>45818.0</v>
      </c>
      <c r="D186" s="61">
        <v>45818.0</v>
      </c>
      <c r="E186" s="60" t="s">
        <v>452</v>
      </c>
      <c r="F186" s="72" t="s">
        <v>933</v>
      </c>
      <c r="G186" s="63"/>
      <c r="H186" s="66" t="s">
        <v>472</v>
      </c>
      <c r="I186" s="64" t="s">
        <v>588</v>
      </c>
      <c r="J186" s="64" t="s">
        <v>456</v>
      </c>
      <c r="K186" s="64" t="s">
        <v>456</v>
      </c>
      <c r="L186" s="66">
        <v>22.0</v>
      </c>
      <c r="M186" s="66">
        <v>22.0</v>
      </c>
      <c r="N186" s="66" t="s">
        <v>457</v>
      </c>
      <c r="O186" s="66">
        <v>24.0</v>
      </c>
      <c r="P186" s="66" t="s">
        <v>934</v>
      </c>
      <c r="Q186" s="64" t="s">
        <v>459</v>
      </c>
      <c r="R186" s="64" t="s">
        <v>459</v>
      </c>
      <c r="S186" s="64">
        <v>233.0</v>
      </c>
      <c r="T186" s="64">
        <v>2563.0</v>
      </c>
      <c r="U186" s="64">
        <v>233.0</v>
      </c>
      <c r="V186" s="66">
        <v>2563.0</v>
      </c>
      <c r="W186" s="66">
        <v>2563.0</v>
      </c>
      <c r="X186" s="79" t="s">
        <v>460</v>
      </c>
      <c r="Y186" s="64" t="s">
        <v>461</v>
      </c>
      <c r="Z186" s="64" t="s">
        <v>462</v>
      </c>
      <c r="AA186" s="64" t="s">
        <v>463</v>
      </c>
      <c r="AB186" s="60" t="s">
        <v>464</v>
      </c>
      <c r="AC186" s="60" t="s">
        <v>451</v>
      </c>
      <c r="AD186" s="66" t="s">
        <v>475</v>
      </c>
      <c r="AE186" s="66" t="s">
        <v>476</v>
      </c>
      <c r="AF186" s="66" t="s">
        <v>476</v>
      </c>
      <c r="AG186" s="64" t="s">
        <v>467</v>
      </c>
      <c r="AH186" s="64" t="s">
        <v>467</v>
      </c>
      <c r="AI186" s="64">
        <v>650.0</v>
      </c>
      <c r="AJ186" s="66">
        <v>21.5</v>
      </c>
      <c r="AK186" s="67">
        <v>13975.0</v>
      </c>
      <c r="AL186" s="63"/>
      <c r="AM186" s="63"/>
      <c r="AN186" s="64">
        <v>21.5</v>
      </c>
      <c r="AO186" s="64" t="s">
        <v>468</v>
      </c>
      <c r="AP186" s="63"/>
      <c r="AQ186" s="63"/>
      <c r="AR186" s="63"/>
      <c r="AS186" s="63"/>
      <c r="AT186" s="63"/>
      <c r="AU186" s="63"/>
      <c r="AV186" s="63"/>
      <c r="AW186" s="58" t="s">
        <v>512</v>
      </c>
      <c r="AX186" s="69">
        <v>13975.0</v>
      </c>
      <c r="AY186" s="70"/>
      <c r="AZ186" s="70"/>
      <c r="BA186" s="70"/>
      <c r="BB186" s="70"/>
      <c r="BC186" s="58" t="s">
        <v>469</v>
      </c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</row>
    <row r="187">
      <c r="A187" s="59">
        <v>45818.0</v>
      </c>
      <c r="B187" s="60" t="s">
        <v>451</v>
      </c>
      <c r="C187" s="61">
        <v>45818.0</v>
      </c>
      <c r="D187" s="61">
        <v>45818.0</v>
      </c>
      <c r="E187" s="60" t="s">
        <v>452</v>
      </c>
      <c r="F187" s="72" t="s">
        <v>935</v>
      </c>
      <c r="G187" s="63"/>
      <c r="H187" s="64" t="s">
        <v>472</v>
      </c>
      <c r="I187" s="64" t="s">
        <v>779</v>
      </c>
      <c r="J187" s="64" t="s">
        <v>456</v>
      </c>
      <c r="K187" s="64" t="s">
        <v>456</v>
      </c>
      <c r="L187" s="66">
        <v>22.0</v>
      </c>
      <c r="M187" s="66">
        <v>22.0</v>
      </c>
      <c r="N187" s="66" t="s">
        <v>457</v>
      </c>
      <c r="O187" s="66">
        <v>24.0</v>
      </c>
      <c r="P187" s="80">
        <v>2.43E8</v>
      </c>
      <c r="Q187" s="66" t="s">
        <v>459</v>
      </c>
      <c r="R187" s="66" t="s">
        <v>459</v>
      </c>
      <c r="S187" s="66">
        <v>246.0</v>
      </c>
      <c r="T187" s="66">
        <v>2706.0</v>
      </c>
      <c r="U187" s="66">
        <v>246.0</v>
      </c>
      <c r="V187" s="64">
        <v>2706.0</v>
      </c>
      <c r="W187" s="64">
        <v>2706.0</v>
      </c>
      <c r="X187" s="76" t="s">
        <v>460</v>
      </c>
      <c r="Y187" s="64" t="s">
        <v>461</v>
      </c>
      <c r="Z187" s="64" t="s">
        <v>462</v>
      </c>
      <c r="AA187" s="64" t="s">
        <v>463</v>
      </c>
      <c r="AB187" s="60" t="s">
        <v>464</v>
      </c>
      <c r="AC187" s="60" t="s">
        <v>451</v>
      </c>
      <c r="AD187" s="64" t="s">
        <v>481</v>
      </c>
      <c r="AE187" s="66" t="s">
        <v>482</v>
      </c>
      <c r="AF187" s="66" t="s">
        <v>482</v>
      </c>
      <c r="AG187" s="64" t="s">
        <v>467</v>
      </c>
      <c r="AH187" s="64" t="s">
        <v>467</v>
      </c>
      <c r="AI187" s="64">
        <v>655.0</v>
      </c>
      <c r="AJ187" s="64">
        <v>21.5</v>
      </c>
      <c r="AK187" s="67">
        <v>14082.5</v>
      </c>
      <c r="AL187" s="63"/>
      <c r="AM187" s="63"/>
      <c r="AN187" s="64">
        <v>21.5</v>
      </c>
      <c r="AO187" s="64" t="s">
        <v>468</v>
      </c>
      <c r="AP187" s="63"/>
      <c r="AQ187" s="63"/>
      <c r="AR187" s="63"/>
      <c r="AS187" s="63"/>
      <c r="AT187" s="63"/>
      <c r="AU187" s="63"/>
      <c r="AV187" s="68"/>
      <c r="AW187" s="58" t="s">
        <v>512</v>
      </c>
      <c r="AX187" s="69">
        <v>14082.5</v>
      </c>
      <c r="AY187" s="70"/>
      <c r="AZ187" s="70"/>
      <c r="BA187" s="70"/>
      <c r="BB187" s="70"/>
      <c r="BC187" s="58" t="s">
        <v>469</v>
      </c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58"/>
    </row>
    <row r="188">
      <c r="A188" s="59">
        <v>45818.0</v>
      </c>
      <c r="B188" s="60" t="s">
        <v>451</v>
      </c>
      <c r="C188" s="61">
        <v>45818.0</v>
      </c>
      <c r="D188" s="61">
        <v>45818.0</v>
      </c>
      <c r="E188" s="60" t="s">
        <v>452</v>
      </c>
      <c r="F188" s="71" t="s">
        <v>936</v>
      </c>
      <c r="G188" s="63"/>
      <c r="H188" s="66" t="s">
        <v>492</v>
      </c>
      <c r="I188" s="64" t="s">
        <v>593</v>
      </c>
      <c r="J188" s="64" t="s">
        <v>456</v>
      </c>
      <c r="K188" s="64" t="s">
        <v>456</v>
      </c>
      <c r="L188" s="64">
        <v>28.0</v>
      </c>
      <c r="M188" s="64">
        <v>28.0</v>
      </c>
      <c r="N188" s="64" t="s">
        <v>457</v>
      </c>
      <c r="O188" s="64">
        <v>24.0</v>
      </c>
      <c r="P188" s="64" t="s">
        <v>937</v>
      </c>
      <c r="Q188" s="64" t="s">
        <v>459</v>
      </c>
      <c r="R188" s="64" t="s">
        <v>459</v>
      </c>
      <c r="S188" s="64">
        <v>541.0</v>
      </c>
      <c r="T188" s="64">
        <v>5951.0</v>
      </c>
      <c r="U188" s="64">
        <v>541.0</v>
      </c>
      <c r="V188" s="66">
        <v>5951.0</v>
      </c>
      <c r="W188" s="66">
        <v>5951.0</v>
      </c>
      <c r="X188" s="79" t="s">
        <v>460</v>
      </c>
      <c r="Y188" s="64" t="s">
        <v>461</v>
      </c>
      <c r="Z188" s="64" t="s">
        <v>462</v>
      </c>
      <c r="AA188" s="64" t="s">
        <v>463</v>
      </c>
      <c r="AB188" s="60" t="s">
        <v>464</v>
      </c>
      <c r="AC188" s="60" t="s">
        <v>451</v>
      </c>
      <c r="AD188" s="64" t="s">
        <v>495</v>
      </c>
      <c r="AE188" s="64" t="s">
        <v>496</v>
      </c>
      <c r="AF188" s="64" t="s">
        <v>496</v>
      </c>
      <c r="AG188" s="64" t="s">
        <v>467</v>
      </c>
      <c r="AH188" s="64" t="s">
        <v>467</v>
      </c>
      <c r="AI188" s="64">
        <v>570.0</v>
      </c>
      <c r="AJ188" s="60">
        <v>23.5</v>
      </c>
      <c r="AK188" s="67">
        <v>13395.0</v>
      </c>
      <c r="AL188" s="63"/>
      <c r="AM188" s="63"/>
      <c r="AN188" s="64">
        <v>23.5</v>
      </c>
      <c r="AO188" s="64" t="s">
        <v>468</v>
      </c>
      <c r="AP188" s="63"/>
      <c r="AQ188" s="63"/>
      <c r="AR188" s="63"/>
      <c r="AS188" s="63"/>
      <c r="AT188" s="63"/>
      <c r="AU188" s="63"/>
      <c r="AV188" s="63"/>
      <c r="AW188" s="58" t="s">
        <v>512</v>
      </c>
      <c r="AX188" s="69">
        <v>13395.0</v>
      </c>
      <c r="AY188" s="70"/>
      <c r="AZ188" s="70"/>
      <c r="BA188" s="70"/>
      <c r="BB188" s="70"/>
      <c r="BC188" s="58" t="s">
        <v>469</v>
      </c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</row>
    <row r="189">
      <c r="A189" s="59">
        <v>45818.0</v>
      </c>
      <c r="B189" s="60" t="s">
        <v>451</v>
      </c>
      <c r="C189" s="61">
        <v>45818.0</v>
      </c>
      <c r="D189" s="61">
        <v>45818.0</v>
      </c>
      <c r="E189" s="60" t="s">
        <v>452</v>
      </c>
      <c r="F189" s="72" t="s">
        <v>938</v>
      </c>
      <c r="G189" s="63"/>
      <c r="H189" s="64" t="s">
        <v>498</v>
      </c>
      <c r="I189" s="64" t="s">
        <v>549</v>
      </c>
      <c r="J189" s="64" t="s">
        <v>456</v>
      </c>
      <c r="K189" s="64" t="s">
        <v>456</v>
      </c>
      <c r="L189" s="66">
        <v>22.0</v>
      </c>
      <c r="M189" s="66">
        <v>22.0</v>
      </c>
      <c r="N189" s="66" t="s">
        <v>457</v>
      </c>
      <c r="O189" s="66">
        <v>24.0</v>
      </c>
      <c r="P189" s="66" t="s">
        <v>939</v>
      </c>
      <c r="Q189" s="66" t="s">
        <v>459</v>
      </c>
      <c r="R189" s="66" t="s">
        <v>459</v>
      </c>
      <c r="S189" s="66">
        <v>215.0</v>
      </c>
      <c r="T189" s="66">
        <v>2365.0</v>
      </c>
      <c r="U189" s="66">
        <v>215.0</v>
      </c>
      <c r="V189" s="64">
        <v>2365.0</v>
      </c>
      <c r="W189" s="64">
        <v>2365.0</v>
      </c>
      <c r="X189" s="76" t="s">
        <v>460</v>
      </c>
      <c r="Y189" s="64" t="s">
        <v>461</v>
      </c>
      <c r="Z189" s="64" t="s">
        <v>462</v>
      </c>
      <c r="AA189" s="64" t="s">
        <v>463</v>
      </c>
      <c r="AB189" s="60" t="s">
        <v>464</v>
      </c>
      <c r="AC189" s="60" t="s">
        <v>451</v>
      </c>
      <c r="AD189" s="64" t="s">
        <v>501</v>
      </c>
      <c r="AE189" s="64" t="s">
        <v>470</v>
      </c>
      <c r="AF189" s="64" t="s">
        <v>470</v>
      </c>
      <c r="AG189" s="64" t="s">
        <v>467</v>
      </c>
      <c r="AH189" s="64" t="s">
        <v>467</v>
      </c>
      <c r="AI189" s="64">
        <v>380.0</v>
      </c>
      <c r="AJ189" s="64">
        <v>21.5</v>
      </c>
      <c r="AK189" s="67">
        <v>8170.0</v>
      </c>
      <c r="AL189" s="63"/>
      <c r="AM189" s="63"/>
      <c r="AN189" s="64">
        <v>21.5</v>
      </c>
      <c r="AO189" s="64" t="s">
        <v>468</v>
      </c>
      <c r="AP189" s="63"/>
      <c r="AQ189" s="63"/>
      <c r="AR189" s="63"/>
      <c r="AS189" s="63"/>
      <c r="AT189" s="63"/>
      <c r="AU189" s="63"/>
      <c r="AV189" s="68"/>
      <c r="AW189" s="58" t="s">
        <v>512</v>
      </c>
      <c r="AX189" s="69">
        <v>8170.0</v>
      </c>
      <c r="AY189" s="70"/>
      <c r="AZ189" s="70"/>
      <c r="BA189" s="70"/>
      <c r="BB189" s="70"/>
      <c r="BC189" s="58" t="s">
        <v>469</v>
      </c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8"/>
      <c r="BR189" s="58"/>
    </row>
    <row r="190">
      <c r="A190" s="59">
        <v>45818.0</v>
      </c>
      <c r="B190" s="60" t="s">
        <v>451</v>
      </c>
      <c r="C190" s="61">
        <v>45818.0</v>
      </c>
      <c r="D190" s="61">
        <v>45818.0</v>
      </c>
      <c r="E190" s="60" t="s">
        <v>452</v>
      </c>
      <c r="F190" s="71" t="s">
        <v>940</v>
      </c>
      <c r="G190" s="63"/>
      <c r="H190" s="66" t="s">
        <v>454</v>
      </c>
      <c r="I190" s="64" t="s">
        <v>485</v>
      </c>
      <c r="J190" s="64" t="s">
        <v>486</v>
      </c>
      <c r="K190" s="64" t="s">
        <v>486</v>
      </c>
      <c r="L190" s="66">
        <v>22.0</v>
      </c>
      <c r="M190" s="66">
        <v>22.0</v>
      </c>
      <c r="N190" s="66" t="s">
        <v>457</v>
      </c>
      <c r="O190" s="66">
        <v>24.0</v>
      </c>
      <c r="P190" s="64" t="s">
        <v>941</v>
      </c>
      <c r="Q190" s="64" t="s">
        <v>459</v>
      </c>
      <c r="R190" s="64" t="s">
        <v>459</v>
      </c>
      <c r="S190" s="64">
        <v>104.0</v>
      </c>
      <c r="T190" s="64">
        <v>1144.0</v>
      </c>
      <c r="U190" s="64">
        <v>104.0</v>
      </c>
      <c r="V190" s="66">
        <v>1144.0</v>
      </c>
      <c r="W190" s="66">
        <v>1144.0</v>
      </c>
      <c r="X190" s="79" t="s">
        <v>460</v>
      </c>
      <c r="Y190" s="64" t="s">
        <v>461</v>
      </c>
      <c r="Z190" s="64" t="s">
        <v>462</v>
      </c>
      <c r="AA190" s="64" t="s">
        <v>463</v>
      </c>
      <c r="AB190" s="60" t="s">
        <v>464</v>
      </c>
      <c r="AC190" s="60" t="s">
        <v>451</v>
      </c>
      <c r="AD190" s="60" t="s">
        <v>715</v>
      </c>
      <c r="AE190" s="60" t="s">
        <v>519</v>
      </c>
      <c r="AF190" s="64" t="s">
        <v>513</v>
      </c>
      <c r="AG190" s="64" t="s">
        <v>467</v>
      </c>
      <c r="AH190" s="64" t="s">
        <v>467</v>
      </c>
      <c r="AI190" s="64">
        <v>780.0</v>
      </c>
      <c r="AJ190" s="64">
        <v>23.5</v>
      </c>
      <c r="AK190" s="67">
        <v>18330.0</v>
      </c>
      <c r="AL190" s="63"/>
      <c r="AM190" s="63"/>
      <c r="AN190" s="64">
        <v>23.5</v>
      </c>
      <c r="AO190" s="64" t="s">
        <v>468</v>
      </c>
      <c r="AP190" s="63"/>
      <c r="AQ190" s="63"/>
      <c r="AR190" s="63"/>
      <c r="AS190" s="63"/>
      <c r="AT190" s="63"/>
      <c r="AU190" s="63"/>
      <c r="AV190" s="63"/>
      <c r="AW190" s="58" t="s">
        <v>443</v>
      </c>
      <c r="AX190" s="85">
        <v>18330.0</v>
      </c>
      <c r="AY190" s="70"/>
      <c r="AZ190" s="70"/>
      <c r="BA190" s="70"/>
      <c r="BB190" s="70"/>
      <c r="BC190" s="58" t="s">
        <v>469</v>
      </c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</row>
    <row r="191">
      <c r="A191" s="59">
        <v>45818.0</v>
      </c>
      <c r="B191" s="60" t="s">
        <v>451</v>
      </c>
      <c r="C191" s="61">
        <v>45818.0</v>
      </c>
      <c r="D191" s="61">
        <v>45818.0</v>
      </c>
      <c r="E191" s="60" t="s">
        <v>452</v>
      </c>
      <c r="F191" s="72" t="s">
        <v>942</v>
      </c>
      <c r="G191" s="63"/>
      <c r="H191" s="64" t="s">
        <v>492</v>
      </c>
      <c r="I191" s="64" t="s">
        <v>793</v>
      </c>
      <c r="J191" s="64" t="s">
        <v>456</v>
      </c>
      <c r="K191" s="64" t="s">
        <v>456</v>
      </c>
      <c r="L191" s="66">
        <v>22.0</v>
      </c>
      <c r="M191" s="66">
        <v>22.0</v>
      </c>
      <c r="N191" s="66" t="s">
        <v>457</v>
      </c>
      <c r="O191" s="66">
        <v>24.0</v>
      </c>
      <c r="P191" s="66" t="s">
        <v>943</v>
      </c>
      <c r="Q191" s="66" t="s">
        <v>459</v>
      </c>
      <c r="R191" s="66" t="s">
        <v>459</v>
      </c>
      <c r="S191" s="66">
        <v>248.0</v>
      </c>
      <c r="T191" s="66">
        <v>2728.0</v>
      </c>
      <c r="U191" s="66">
        <v>248.0</v>
      </c>
      <c r="V191" s="64">
        <v>2728.0</v>
      </c>
      <c r="W191" s="64">
        <v>2728.0</v>
      </c>
      <c r="X191" s="76" t="s">
        <v>460</v>
      </c>
      <c r="Y191" s="64" t="s">
        <v>461</v>
      </c>
      <c r="Z191" s="64" t="s">
        <v>462</v>
      </c>
      <c r="AA191" s="64" t="s">
        <v>463</v>
      </c>
      <c r="AB191" s="60" t="s">
        <v>464</v>
      </c>
      <c r="AC191" s="60" t="s">
        <v>451</v>
      </c>
      <c r="AD191" s="64" t="s">
        <v>601</v>
      </c>
      <c r="AE191" s="64" t="s">
        <v>547</v>
      </c>
      <c r="AF191" s="64" t="s">
        <v>547</v>
      </c>
      <c r="AG191" s="64" t="s">
        <v>467</v>
      </c>
      <c r="AH191" s="64" t="s">
        <v>467</v>
      </c>
      <c r="AI191" s="64">
        <v>770.0</v>
      </c>
      <c r="AJ191" s="64">
        <v>21.5</v>
      </c>
      <c r="AK191" s="67">
        <v>16555.0</v>
      </c>
      <c r="AL191" s="63"/>
      <c r="AM191" s="63"/>
      <c r="AN191" s="64">
        <v>21.5</v>
      </c>
      <c r="AO191" s="64" t="s">
        <v>468</v>
      </c>
      <c r="AP191" s="63"/>
      <c r="AQ191" s="63"/>
      <c r="AR191" s="63"/>
      <c r="AS191" s="63"/>
      <c r="AT191" s="63"/>
      <c r="AU191" s="63"/>
      <c r="AV191" s="63"/>
      <c r="AW191" s="58" t="s">
        <v>512</v>
      </c>
      <c r="AX191" s="69">
        <v>16555.0</v>
      </c>
      <c r="AY191" s="70"/>
      <c r="AZ191" s="70"/>
      <c r="BA191" s="70"/>
      <c r="BB191" s="70"/>
      <c r="BC191" s="58" t="s">
        <v>469</v>
      </c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</row>
    <row r="192">
      <c r="A192" s="59">
        <v>45818.0</v>
      </c>
      <c r="B192" s="60" t="s">
        <v>451</v>
      </c>
      <c r="C192" s="61">
        <v>45818.0</v>
      </c>
      <c r="D192" s="61">
        <v>45818.0</v>
      </c>
      <c r="E192" s="60" t="s">
        <v>452</v>
      </c>
      <c r="F192" s="72" t="s">
        <v>944</v>
      </c>
      <c r="G192" s="63"/>
      <c r="H192" s="66" t="s">
        <v>504</v>
      </c>
      <c r="I192" s="64" t="s">
        <v>603</v>
      </c>
      <c r="J192" s="64" t="s">
        <v>456</v>
      </c>
      <c r="K192" s="64" t="s">
        <v>456</v>
      </c>
      <c r="L192" s="66">
        <v>22.0</v>
      </c>
      <c r="M192" s="66">
        <v>22.0</v>
      </c>
      <c r="N192" s="66" t="s">
        <v>457</v>
      </c>
      <c r="O192" s="66">
        <v>24.0</v>
      </c>
      <c r="P192" s="66" t="s">
        <v>945</v>
      </c>
      <c r="Q192" s="64" t="s">
        <v>459</v>
      </c>
      <c r="R192" s="64" t="s">
        <v>459</v>
      </c>
      <c r="S192" s="64">
        <v>160.0</v>
      </c>
      <c r="T192" s="64">
        <v>1760.0</v>
      </c>
      <c r="U192" s="64">
        <v>160.0</v>
      </c>
      <c r="V192" s="66">
        <v>1760.0</v>
      </c>
      <c r="W192" s="66">
        <v>1760.0</v>
      </c>
      <c r="X192" s="79" t="s">
        <v>460</v>
      </c>
      <c r="Y192" s="64" t="s">
        <v>461</v>
      </c>
      <c r="Z192" s="64" t="s">
        <v>462</v>
      </c>
      <c r="AA192" s="64" t="s">
        <v>463</v>
      </c>
      <c r="AB192" s="60" t="s">
        <v>464</v>
      </c>
      <c r="AC192" s="60" t="s">
        <v>451</v>
      </c>
      <c r="AD192" s="66" t="s">
        <v>507</v>
      </c>
      <c r="AE192" s="64" t="s">
        <v>508</v>
      </c>
      <c r="AF192" s="64" t="s">
        <v>509</v>
      </c>
      <c r="AG192" s="64" t="s">
        <v>467</v>
      </c>
      <c r="AH192" s="64" t="s">
        <v>467</v>
      </c>
      <c r="AI192" s="66">
        <v>790.0</v>
      </c>
      <c r="AJ192" s="66">
        <v>21.5</v>
      </c>
      <c r="AK192" s="67">
        <v>16985.0</v>
      </c>
      <c r="AL192" s="63"/>
      <c r="AM192" s="63"/>
      <c r="AN192" s="64">
        <v>21.5</v>
      </c>
      <c r="AO192" s="64" t="s">
        <v>468</v>
      </c>
      <c r="AP192" s="63"/>
      <c r="AQ192" s="63"/>
      <c r="AR192" s="63"/>
      <c r="AS192" s="73">
        <v>0.5</v>
      </c>
      <c r="AT192" s="64">
        <v>8492.5</v>
      </c>
      <c r="AU192" s="60" t="s">
        <v>510</v>
      </c>
      <c r="AV192" s="74" t="s">
        <v>511</v>
      </c>
      <c r="AW192" s="58" t="s">
        <v>512</v>
      </c>
      <c r="AX192" s="69">
        <v>8492.5</v>
      </c>
      <c r="AY192" s="70"/>
      <c r="AZ192" s="70"/>
      <c r="BA192" s="69">
        <v>8492.5</v>
      </c>
      <c r="BB192" s="70"/>
      <c r="BC192" s="58" t="s">
        <v>469</v>
      </c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</row>
    <row r="193">
      <c r="A193" s="59">
        <v>45818.0</v>
      </c>
      <c r="B193" s="60" t="s">
        <v>451</v>
      </c>
      <c r="C193" s="61">
        <v>45818.0</v>
      </c>
      <c r="D193" s="61">
        <v>45818.0</v>
      </c>
      <c r="E193" s="60" t="s">
        <v>452</v>
      </c>
      <c r="F193" s="71" t="s">
        <v>946</v>
      </c>
      <c r="G193" s="63"/>
      <c r="H193" s="64" t="s">
        <v>504</v>
      </c>
      <c r="I193" s="64" t="s">
        <v>606</v>
      </c>
      <c r="J193" s="64" t="s">
        <v>456</v>
      </c>
      <c r="K193" s="64" t="s">
        <v>456</v>
      </c>
      <c r="L193" s="66">
        <v>22.0</v>
      </c>
      <c r="M193" s="66">
        <v>22.0</v>
      </c>
      <c r="N193" s="66" t="s">
        <v>457</v>
      </c>
      <c r="O193" s="66">
        <v>24.0</v>
      </c>
      <c r="P193" s="64" t="s">
        <v>947</v>
      </c>
      <c r="Q193" s="66" t="s">
        <v>459</v>
      </c>
      <c r="R193" s="66" t="s">
        <v>459</v>
      </c>
      <c r="S193" s="66">
        <v>143.0</v>
      </c>
      <c r="T193" s="66">
        <v>1573.0</v>
      </c>
      <c r="U193" s="66">
        <v>143.0</v>
      </c>
      <c r="V193" s="64">
        <v>1573.0</v>
      </c>
      <c r="W193" s="64">
        <v>1573.0</v>
      </c>
      <c r="X193" s="76" t="s">
        <v>460</v>
      </c>
      <c r="Y193" s="64" t="s">
        <v>461</v>
      </c>
      <c r="Z193" s="64" t="s">
        <v>462</v>
      </c>
      <c r="AA193" s="64" t="s">
        <v>463</v>
      </c>
      <c r="AB193" s="60" t="s">
        <v>464</v>
      </c>
      <c r="AC193" s="60" t="s">
        <v>451</v>
      </c>
      <c r="AD193" s="64" t="s">
        <v>517</v>
      </c>
      <c r="AE193" s="64" t="s">
        <v>518</v>
      </c>
      <c r="AF193" s="64" t="s">
        <v>518</v>
      </c>
      <c r="AG193" s="64" t="s">
        <v>467</v>
      </c>
      <c r="AH193" s="64" t="s">
        <v>467</v>
      </c>
      <c r="AI193" s="64">
        <v>815.0</v>
      </c>
      <c r="AJ193" s="64">
        <v>21.5</v>
      </c>
      <c r="AK193" s="67">
        <v>17522.5</v>
      </c>
      <c r="AL193" s="63"/>
      <c r="AM193" s="63"/>
      <c r="AN193" s="64">
        <v>21.5</v>
      </c>
      <c r="AO193" s="64" t="s">
        <v>468</v>
      </c>
      <c r="AP193" s="63"/>
      <c r="AQ193" s="63"/>
      <c r="AR193" s="63"/>
      <c r="AS193" s="63"/>
      <c r="AT193" s="63"/>
      <c r="AU193" s="63"/>
      <c r="AV193" s="68"/>
      <c r="AW193" s="58" t="s">
        <v>512</v>
      </c>
      <c r="AX193" s="69">
        <v>17522.5</v>
      </c>
      <c r="AY193" s="70"/>
      <c r="AZ193" s="70"/>
      <c r="BA193" s="70"/>
      <c r="BB193" s="70"/>
      <c r="BC193" s="58" t="s">
        <v>469</v>
      </c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</row>
    <row r="194">
      <c r="A194" s="59">
        <v>45818.0</v>
      </c>
      <c r="B194" s="60" t="s">
        <v>451</v>
      </c>
      <c r="C194" s="61">
        <v>45818.0</v>
      </c>
      <c r="D194" s="61">
        <v>45818.0</v>
      </c>
      <c r="E194" s="60" t="s">
        <v>452</v>
      </c>
      <c r="F194" s="72" t="s">
        <v>948</v>
      </c>
      <c r="G194" s="63"/>
      <c r="H194" s="66" t="s">
        <v>521</v>
      </c>
      <c r="I194" s="64" t="s">
        <v>608</v>
      </c>
      <c r="J194" s="64" t="s">
        <v>456</v>
      </c>
      <c r="K194" s="64" t="s">
        <v>456</v>
      </c>
      <c r="L194" s="66">
        <v>22.0</v>
      </c>
      <c r="M194" s="66">
        <v>22.0</v>
      </c>
      <c r="N194" s="66" t="s">
        <v>457</v>
      </c>
      <c r="O194" s="66">
        <v>24.0</v>
      </c>
      <c r="P194" s="66" t="s">
        <v>949</v>
      </c>
      <c r="Q194" s="64" t="s">
        <v>459</v>
      </c>
      <c r="R194" s="64" t="s">
        <v>459</v>
      </c>
      <c r="S194" s="64">
        <v>257.0</v>
      </c>
      <c r="T194" s="64">
        <v>2827.0</v>
      </c>
      <c r="U194" s="64">
        <v>257.0</v>
      </c>
      <c r="V194" s="66">
        <v>2827.0</v>
      </c>
      <c r="W194" s="66">
        <v>2827.0</v>
      </c>
      <c r="X194" s="79" t="s">
        <v>460</v>
      </c>
      <c r="Y194" s="64" t="s">
        <v>461</v>
      </c>
      <c r="Z194" s="64" t="s">
        <v>462</v>
      </c>
      <c r="AA194" s="64" t="s">
        <v>463</v>
      </c>
      <c r="AB194" s="60" t="s">
        <v>464</v>
      </c>
      <c r="AC194" s="60" t="s">
        <v>451</v>
      </c>
      <c r="AD194" s="66" t="s">
        <v>524</v>
      </c>
      <c r="AE194" s="66" t="s">
        <v>483</v>
      </c>
      <c r="AF194" s="66" t="s">
        <v>483</v>
      </c>
      <c r="AG194" s="64" t="s">
        <v>467</v>
      </c>
      <c r="AH194" s="64" t="s">
        <v>467</v>
      </c>
      <c r="AI194" s="66">
        <v>600.0</v>
      </c>
      <c r="AJ194" s="66">
        <v>21.5</v>
      </c>
      <c r="AK194" s="67">
        <v>12900.0</v>
      </c>
      <c r="AL194" s="63"/>
      <c r="AM194" s="63"/>
      <c r="AN194" s="64">
        <v>21.5</v>
      </c>
      <c r="AO194" s="64" t="s">
        <v>468</v>
      </c>
      <c r="AP194" s="63"/>
      <c r="AQ194" s="63"/>
      <c r="AR194" s="63"/>
      <c r="AS194" s="63"/>
      <c r="AT194" s="63"/>
      <c r="AU194" s="63"/>
      <c r="AV194" s="68"/>
      <c r="AW194" s="58" t="s">
        <v>512</v>
      </c>
      <c r="AX194" s="69">
        <v>12900.0</v>
      </c>
      <c r="AY194" s="70"/>
      <c r="AZ194" s="70"/>
      <c r="BA194" s="70"/>
      <c r="BB194" s="70"/>
      <c r="BC194" s="58" t="s">
        <v>469</v>
      </c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</row>
    <row r="195">
      <c r="A195" s="59">
        <v>45818.0</v>
      </c>
      <c r="B195" s="60" t="s">
        <v>451</v>
      </c>
      <c r="C195" s="61">
        <v>45818.0</v>
      </c>
      <c r="D195" s="61">
        <v>45818.0</v>
      </c>
      <c r="E195" s="60" t="s">
        <v>452</v>
      </c>
      <c r="F195" s="72" t="s">
        <v>950</v>
      </c>
      <c r="G195" s="63"/>
      <c r="H195" s="64" t="s">
        <v>492</v>
      </c>
      <c r="I195" s="64" t="s">
        <v>527</v>
      </c>
      <c r="J195" s="64" t="s">
        <v>456</v>
      </c>
      <c r="K195" s="64" t="s">
        <v>456</v>
      </c>
      <c r="L195" s="66">
        <v>22.0</v>
      </c>
      <c r="M195" s="66">
        <v>22.0</v>
      </c>
      <c r="N195" s="66" t="s">
        <v>457</v>
      </c>
      <c r="O195" s="66">
        <v>24.0</v>
      </c>
      <c r="P195" s="64" t="s">
        <v>951</v>
      </c>
      <c r="Q195" s="66" t="s">
        <v>459</v>
      </c>
      <c r="R195" s="66" t="s">
        <v>459</v>
      </c>
      <c r="S195" s="66">
        <v>237.0</v>
      </c>
      <c r="T195" s="66">
        <v>2607.0</v>
      </c>
      <c r="U195" s="66">
        <v>237.0</v>
      </c>
      <c r="V195" s="64">
        <v>2607.0</v>
      </c>
      <c r="W195" s="64">
        <v>2607.0</v>
      </c>
      <c r="X195" s="76" t="s">
        <v>460</v>
      </c>
      <c r="Y195" s="64" t="s">
        <v>461</v>
      </c>
      <c r="Z195" s="64" t="s">
        <v>462</v>
      </c>
      <c r="AA195" s="64" t="s">
        <v>463</v>
      </c>
      <c r="AB195" s="60" t="s">
        <v>464</v>
      </c>
      <c r="AC195" s="60" t="s">
        <v>451</v>
      </c>
      <c r="AD195" s="60" t="s">
        <v>529</v>
      </c>
      <c r="AE195" s="64" t="s">
        <v>530</v>
      </c>
      <c r="AF195" s="64" t="s">
        <v>530</v>
      </c>
      <c r="AG195" s="64" t="s">
        <v>467</v>
      </c>
      <c r="AH195" s="64" t="s">
        <v>467</v>
      </c>
      <c r="AI195" s="66">
        <v>510.0</v>
      </c>
      <c r="AJ195" s="66">
        <v>21.5</v>
      </c>
      <c r="AK195" s="67">
        <v>10965.0</v>
      </c>
      <c r="AL195" s="63"/>
      <c r="AM195" s="63"/>
      <c r="AN195" s="64">
        <v>21.5</v>
      </c>
      <c r="AO195" s="64" t="s">
        <v>468</v>
      </c>
      <c r="AP195" s="63"/>
      <c r="AQ195" s="63"/>
      <c r="AR195" s="63"/>
      <c r="AS195" s="63"/>
      <c r="AT195" s="63"/>
      <c r="AU195" s="63"/>
      <c r="AV195" s="68"/>
      <c r="AW195" s="58" t="s">
        <v>512</v>
      </c>
      <c r="AX195" s="69">
        <v>10965.0</v>
      </c>
      <c r="AY195" s="70"/>
      <c r="AZ195" s="70"/>
      <c r="BA195" s="70"/>
      <c r="BB195" s="70"/>
      <c r="BC195" s="58" t="s">
        <v>469</v>
      </c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</row>
    <row r="196">
      <c r="A196" s="59">
        <v>45818.0</v>
      </c>
      <c r="B196" s="60" t="s">
        <v>451</v>
      </c>
      <c r="C196" s="61">
        <v>45818.0</v>
      </c>
      <c r="D196" s="61">
        <v>45818.0</v>
      </c>
      <c r="E196" s="60" t="s">
        <v>452</v>
      </c>
      <c r="F196" s="72" t="s">
        <v>952</v>
      </c>
      <c r="G196" s="63"/>
      <c r="H196" s="66" t="s">
        <v>538</v>
      </c>
      <c r="I196" s="64" t="s">
        <v>539</v>
      </c>
      <c r="J196" s="64" t="s">
        <v>456</v>
      </c>
      <c r="K196" s="64" t="s">
        <v>456</v>
      </c>
      <c r="L196" s="64">
        <v>32.0</v>
      </c>
      <c r="M196" s="64">
        <v>32.0</v>
      </c>
      <c r="N196" s="64" t="s">
        <v>540</v>
      </c>
      <c r="O196" s="64">
        <v>24.0</v>
      </c>
      <c r="P196" s="75">
        <v>2.44E8</v>
      </c>
      <c r="Q196" s="64" t="s">
        <v>459</v>
      </c>
      <c r="R196" s="64" t="s">
        <v>459</v>
      </c>
      <c r="S196" s="64">
        <v>195.0</v>
      </c>
      <c r="T196" s="64">
        <v>2145.0</v>
      </c>
      <c r="U196" s="64">
        <v>195.0</v>
      </c>
      <c r="V196" s="66">
        <v>2145.0</v>
      </c>
      <c r="W196" s="66">
        <v>2145.0</v>
      </c>
      <c r="X196" s="79" t="s">
        <v>460</v>
      </c>
      <c r="Y196" s="64" t="s">
        <v>461</v>
      </c>
      <c r="Z196" s="64" t="s">
        <v>462</v>
      </c>
      <c r="AA196" s="64" t="s">
        <v>463</v>
      </c>
      <c r="AB196" s="60" t="s">
        <v>464</v>
      </c>
      <c r="AC196" s="60" t="s">
        <v>451</v>
      </c>
      <c r="AD196" s="64" t="s">
        <v>541</v>
      </c>
      <c r="AE196" s="66" t="s">
        <v>490</v>
      </c>
      <c r="AF196" s="66" t="s">
        <v>490</v>
      </c>
      <c r="AG196" s="64" t="s">
        <v>467</v>
      </c>
      <c r="AH196" s="64" t="s">
        <v>467</v>
      </c>
      <c r="AI196" s="66">
        <v>325.0</v>
      </c>
      <c r="AJ196" s="66">
        <v>28.4</v>
      </c>
      <c r="AK196" s="67">
        <v>9213.75</v>
      </c>
      <c r="AL196" s="63"/>
      <c r="AM196" s="63"/>
      <c r="AN196" s="64">
        <v>28.35</v>
      </c>
      <c r="AO196" s="64" t="s">
        <v>468</v>
      </c>
      <c r="AP196" s="63"/>
      <c r="AQ196" s="63"/>
      <c r="AR196" s="63"/>
      <c r="AS196" s="63"/>
      <c r="AT196" s="63"/>
      <c r="AU196" s="63"/>
      <c r="AV196" s="68"/>
      <c r="AW196" s="58" t="s">
        <v>512</v>
      </c>
      <c r="AX196" s="69">
        <v>9213.75</v>
      </c>
      <c r="AY196" s="70"/>
      <c r="AZ196" s="70"/>
      <c r="BA196" s="70"/>
      <c r="BB196" s="70"/>
      <c r="BC196" s="58" t="s">
        <v>469</v>
      </c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</row>
    <row r="197">
      <c r="A197" s="59">
        <v>45818.0</v>
      </c>
      <c r="B197" s="60" t="s">
        <v>451</v>
      </c>
      <c r="C197" s="61">
        <v>45818.0</v>
      </c>
      <c r="D197" s="61">
        <v>45818.0</v>
      </c>
      <c r="E197" s="60" t="s">
        <v>452</v>
      </c>
      <c r="F197" s="71" t="s">
        <v>953</v>
      </c>
      <c r="G197" s="63"/>
      <c r="H197" s="64" t="s">
        <v>521</v>
      </c>
      <c r="I197" s="64" t="s">
        <v>713</v>
      </c>
      <c r="J197" s="64" t="s">
        <v>486</v>
      </c>
      <c r="K197" s="64" t="s">
        <v>486</v>
      </c>
      <c r="L197" s="66">
        <v>22.0</v>
      </c>
      <c r="M197" s="66">
        <v>22.0</v>
      </c>
      <c r="N197" s="66" t="s">
        <v>457</v>
      </c>
      <c r="O197" s="66">
        <v>24.0</v>
      </c>
      <c r="P197" s="64" t="s">
        <v>954</v>
      </c>
      <c r="Q197" s="64" t="s">
        <v>459</v>
      </c>
      <c r="R197" s="64" t="s">
        <v>459</v>
      </c>
      <c r="S197" s="64">
        <v>274.0</v>
      </c>
      <c r="T197" s="64">
        <v>3014.0</v>
      </c>
      <c r="U197" s="64">
        <v>274.0</v>
      </c>
      <c r="V197" s="64">
        <v>3014.0</v>
      </c>
      <c r="W197" s="64">
        <v>3014.0</v>
      </c>
      <c r="X197" s="76" t="s">
        <v>460</v>
      </c>
      <c r="Y197" s="64" t="s">
        <v>461</v>
      </c>
      <c r="Z197" s="64" t="s">
        <v>462</v>
      </c>
      <c r="AA197" s="64" t="s">
        <v>463</v>
      </c>
      <c r="AB197" s="60" t="s">
        <v>464</v>
      </c>
      <c r="AC197" s="60" t="s">
        <v>451</v>
      </c>
      <c r="AD197" s="66" t="s">
        <v>678</v>
      </c>
      <c r="AE197" s="66" t="s">
        <v>643</v>
      </c>
      <c r="AF197" s="66" t="s">
        <v>643</v>
      </c>
      <c r="AG197" s="64" t="s">
        <v>467</v>
      </c>
      <c r="AH197" s="64" t="s">
        <v>467</v>
      </c>
      <c r="AI197" s="64">
        <v>805.0</v>
      </c>
      <c r="AJ197" s="64">
        <v>23.5</v>
      </c>
      <c r="AK197" s="67">
        <v>18917.5</v>
      </c>
      <c r="AL197" s="63"/>
      <c r="AM197" s="63"/>
      <c r="AN197" s="64">
        <v>23.5</v>
      </c>
      <c r="AO197" s="66" t="s">
        <v>468</v>
      </c>
      <c r="AP197" s="63"/>
      <c r="AQ197" s="63"/>
      <c r="AR197" s="63"/>
      <c r="AS197" s="63"/>
      <c r="AT197" s="63"/>
      <c r="AU197" s="63"/>
      <c r="AV197" s="68"/>
      <c r="AW197" s="58" t="s">
        <v>512</v>
      </c>
      <c r="AX197" s="69">
        <v>18917.5</v>
      </c>
      <c r="AY197" s="70"/>
      <c r="AZ197" s="70"/>
      <c r="BA197" s="70"/>
      <c r="BB197" s="70"/>
      <c r="BC197" s="58" t="s">
        <v>469</v>
      </c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</row>
    <row r="198">
      <c r="A198" s="59">
        <v>45818.0</v>
      </c>
      <c r="B198" s="60" t="s">
        <v>451</v>
      </c>
      <c r="C198" s="61">
        <v>45818.0</v>
      </c>
      <c r="D198" s="61">
        <v>45818.0</v>
      </c>
      <c r="E198" s="60" t="s">
        <v>452</v>
      </c>
      <c r="F198" s="72" t="s">
        <v>955</v>
      </c>
      <c r="G198" s="63"/>
      <c r="H198" s="66" t="s">
        <v>521</v>
      </c>
      <c r="I198" s="64" t="s">
        <v>914</v>
      </c>
      <c r="J198" s="64" t="s">
        <v>456</v>
      </c>
      <c r="K198" s="64" t="s">
        <v>456</v>
      </c>
      <c r="L198" s="66">
        <v>22.0</v>
      </c>
      <c r="M198" s="66">
        <v>22.0</v>
      </c>
      <c r="N198" s="66" t="s">
        <v>457</v>
      </c>
      <c r="O198" s="66">
        <v>24.0</v>
      </c>
      <c r="P198" s="64" t="s">
        <v>956</v>
      </c>
      <c r="Q198" s="64" t="s">
        <v>459</v>
      </c>
      <c r="R198" s="64" t="s">
        <v>459</v>
      </c>
      <c r="S198" s="64">
        <v>159.0</v>
      </c>
      <c r="T198" s="64">
        <v>1749.0</v>
      </c>
      <c r="U198" s="64">
        <v>159.0</v>
      </c>
      <c r="V198" s="64">
        <v>1749.0</v>
      </c>
      <c r="W198" s="64">
        <v>1749.0</v>
      </c>
      <c r="X198" s="76" t="s">
        <v>460</v>
      </c>
      <c r="Y198" s="64" t="s">
        <v>461</v>
      </c>
      <c r="Z198" s="64" t="s">
        <v>462</v>
      </c>
      <c r="AA198" s="64" t="s">
        <v>463</v>
      </c>
      <c r="AB198" s="60" t="s">
        <v>464</v>
      </c>
      <c r="AC198" s="60" t="s">
        <v>451</v>
      </c>
      <c r="AD198" s="66" t="s">
        <v>557</v>
      </c>
      <c r="AE198" s="64" t="s">
        <v>525</v>
      </c>
      <c r="AF198" s="64" t="s">
        <v>525</v>
      </c>
      <c r="AG198" s="64" t="s">
        <v>467</v>
      </c>
      <c r="AH198" s="64" t="s">
        <v>467</v>
      </c>
      <c r="AI198" s="66">
        <v>800.0</v>
      </c>
      <c r="AJ198" s="64">
        <v>21.5</v>
      </c>
      <c r="AK198" s="67">
        <v>17200.0</v>
      </c>
      <c r="AL198" s="63"/>
      <c r="AM198" s="63"/>
      <c r="AN198" s="64">
        <v>21.5</v>
      </c>
      <c r="AO198" s="66" t="s">
        <v>468</v>
      </c>
      <c r="AP198" s="63"/>
      <c r="AQ198" s="63"/>
      <c r="AR198" s="63"/>
      <c r="AS198" s="63"/>
      <c r="AT198" s="63"/>
      <c r="AU198" s="63"/>
      <c r="AV198" s="68"/>
      <c r="AW198" s="58" t="s">
        <v>512</v>
      </c>
      <c r="AX198" s="69">
        <v>17200.0</v>
      </c>
      <c r="AY198" s="70"/>
      <c r="AZ198" s="70"/>
      <c r="BA198" s="70"/>
      <c r="BB198" s="70"/>
      <c r="BC198" s="58" t="s">
        <v>469</v>
      </c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</row>
    <row r="199">
      <c r="A199" s="59">
        <v>45818.0</v>
      </c>
      <c r="B199" s="60" t="s">
        <v>451</v>
      </c>
      <c r="C199" s="61">
        <v>45818.0</v>
      </c>
      <c r="D199" s="61">
        <v>45818.0</v>
      </c>
      <c r="E199" s="60" t="s">
        <v>452</v>
      </c>
      <c r="F199" s="71" t="s">
        <v>957</v>
      </c>
      <c r="G199" s="63"/>
      <c r="H199" s="64" t="s">
        <v>771</v>
      </c>
      <c r="I199" s="64" t="s">
        <v>772</v>
      </c>
      <c r="J199" s="64" t="s">
        <v>456</v>
      </c>
      <c r="K199" s="64" t="s">
        <v>456</v>
      </c>
      <c r="L199" s="66">
        <v>22.0</v>
      </c>
      <c r="M199" s="66">
        <v>22.0</v>
      </c>
      <c r="N199" s="66" t="s">
        <v>457</v>
      </c>
      <c r="O199" s="66">
        <v>24.0</v>
      </c>
      <c r="P199" s="64" t="s">
        <v>958</v>
      </c>
      <c r="Q199" s="66" t="s">
        <v>459</v>
      </c>
      <c r="R199" s="66" t="s">
        <v>459</v>
      </c>
      <c r="S199" s="66">
        <v>233.0</v>
      </c>
      <c r="T199" s="66">
        <v>2563.0</v>
      </c>
      <c r="U199" s="66">
        <v>233.0</v>
      </c>
      <c r="V199" s="64">
        <v>2563.0</v>
      </c>
      <c r="W199" s="64">
        <v>2563.0</v>
      </c>
      <c r="X199" s="76" t="s">
        <v>460</v>
      </c>
      <c r="Y199" s="64" t="s">
        <v>461</v>
      </c>
      <c r="Z199" s="64" t="s">
        <v>462</v>
      </c>
      <c r="AA199" s="64" t="s">
        <v>463</v>
      </c>
      <c r="AB199" s="60" t="s">
        <v>464</v>
      </c>
      <c r="AC199" s="60" t="s">
        <v>451</v>
      </c>
      <c r="AD199" s="64" t="s">
        <v>561</v>
      </c>
      <c r="AE199" s="64" t="s">
        <v>562</v>
      </c>
      <c r="AF199" s="64" t="s">
        <v>562</v>
      </c>
      <c r="AG199" s="64" t="s">
        <v>467</v>
      </c>
      <c r="AH199" s="64" t="s">
        <v>467</v>
      </c>
      <c r="AI199" s="60">
        <v>325.0</v>
      </c>
      <c r="AJ199" s="64">
        <v>21.5</v>
      </c>
      <c r="AK199" s="67">
        <v>6987.5</v>
      </c>
      <c r="AL199" s="63"/>
      <c r="AM199" s="63"/>
      <c r="AN199" s="64">
        <v>21.5</v>
      </c>
      <c r="AO199" s="64" t="s">
        <v>468</v>
      </c>
      <c r="AP199" s="63"/>
      <c r="AQ199" s="63"/>
      <c r="AR199" s="63"/>
      <c r="AS199" s="63"/>
      <c r="AT199" s="63"/>
      <c r="AU199" s="63"/>
      <c r="AV199" s="63"/>
      <c r="AW199" s="58" t="s">
        <v>512</v>
      </c>
      <c r="AX199" s="69">
        <v>6987.5</v>
      </c>
      <c r="AY199" s="70"/>
      <c r="AZ199" s="70"/>
      <c r="BA199" s="70"/>
      <c r="BB199" s="70"/>
      <c r="BC199" s="58" t="s">
        <v>469</v>
      </c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</row>
    <row r="200">
      <c r="A200" s="59">
        <v>45818.0</v>
      </c>
      <c r="B200" s="60" t="s">
        <v>451</v>
      </c>
      <c r="C200" s="61">
        <v>45818.0</v>
      </c>
      <c r="D200" s="61">
        <v>45818.0</v>
      </c>
      <c r="E200" s="60" t="s">
        <v>452</v>
      </c>
      <c r="F200" s="72" t="s">
        <v>959</v>
      </c>
      <c r="G200" s="63"/>
      <c r="H200" s="66" t="s">
        <v>771</v>
      </c>
      <c r="I200" s="64" t="s">
        <v>775</v>
      </c>
      <c r="J200" s="64" t="s">
        <v>456</v>
      </c>
      <c r="K200" s="64" t="s">
        <v>456</v>
      </c>
      <c r="L200" s="66">
        <v>22.0</v>
      </c>
      <c r="M200" s="66">
        <v>22.0</v>
      </c>
      <c r="N200" s="66" t="s">
        <v>457</v>
      </c>
      <c r="O200" s="66">
        <v>24.0</v>
      </c>
      <c r="P200" s="64" t="s">
        <v>960</v>
      </c>
      <c r="Q200" s="64" t="s">
        <v>459</v>
      </c>
      <c r="R200" s="64" t="s">
        <v>459</v>
      </c>
      <c r="S200" s="64">
        <v>241.0</v>
      </c>
      <c r="T200" s="64">
        <v>2651.0</v>
      </c>
      <c r="U200" s="64">
        <v>241.0</v>
      </c>
      <c r="V200" s="66">
        <v>2651.0</v>
      </c>
      <c r="W200" s="66">
        <v>2651.0</v>
      </c>
      <c r="X200" s="79" t="s">
        <v>460</v>
      </c>
      <c r="Y200" s="64" t="s">
        <v>461</v>
      </c>
      <c r="Z200" s="64" t="s">
        <v>462</v>
      </c>
      <c r="AA200" s="64" t="s">
        <v>463</v>
      </c>
      <c r="AB200" s="60" t="s">
        <v>464</v>
      </c>
      <c r="AC200" s="60" t="s">
        <v>451</v>
      </c>
      <c r="AD200" s="64" t="s">
        <v>566</v>
      </c>
      <c r="AE200" s="64" t="s">
        <v>567</v>
      </c>
      <c r="AF200" s="64" t="s">
        <v>567</v>
      </c>
      <c r="AG200" s="64" t="s">
        <v>467</v>
      </c>
      <c r="AH200" s="64" t="s">
        <v>467</v>
      </c>
      <c r="AI200" s="64">
        <v>475.0</v>
      </c>
      <c r="AJ200" s="66">
        <v>21.5</v>
      </c>
      <c r="AK200" s="67">
        <v>10212.5</v>
      </c>
      <c r="AL200" s="63"/>
      <c r="AM200" s="63"/>
      <c r="AN200" s="64">
        <v>21.5</v>
      </c>
      <c r="AO200" s="64" t="s">
        <v>468</v>
      </c>
      <c r="AP200" s="63"/>
      <c r="AQ200" s="63"/>
      <c r="AR200" s="63"/>
      <c r="AS200" s="63"/>
      <c r="AT200" s="63"/>
      <c r="AU200" s="63"/>
      <c r="AV200" s="63"/>
      <c r="AW200" s="58" t="s">
        <v>512</v>
      </c>
      <c r="AX200" s="69">
        <v>10212.5</v>
      </c>
      <c r="AY200" s="70"/>
      <c r="AZ200" s="70"/>
      <c r="BA200" s="70"/>
      <c r="BB200" s="70"/>
      <c r="BC200" s="58" t="s">
        <v>469</v>
      </c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</row>
    <row r="201">
      <c r="A201" s="59">
        <v>45818.0</v>
      </c>
      <c r="B201" s="60" t="s">
        <v>451</v>
      </c>
      <c r="C201" s="61">
        <v>45818.0</v>
      </c>
      <c r="D201" s="61">
        <v>45818.0</v>
      </c>
      <c r="E201" s="60" t="s">
        <v>452</v>
      </c>
      <c r="F201" s="71" t="s">
        <v>961</v>
      </c>
      <c r="G201" s="63"/>
      <c r="H201" s="64" t="s">
        <v>492</v>
      </c>
      <c r="I201" s="64" t="s">
        <v>626</v>
      </c>
      <c r="J201" s="64" t="s">
        <v>456</v>
      </c>
      <c r="K201" s="64" t="s">
        <v>456</v>
      </c>
      <c r="L201" s="66">
        <v>22.0</v>
      </c>
      <c r="M201" s="66">
        <v>22.0</v>
      </c>
      <c r="N201" s="66" t="s">
        <v>457</v>
      </c>
      <c r="O201" s="66">
        <v>24.0</v>
      </c>
      <c r="P201" s="64" t="s">
        <v>962</v>
      </c>
      <c r="Q201" s="66" t="s">
        <v>459</v>
      </c>
      <c r="R201" s="66" t="s">
        <v>459</v>
      </c>
      <c r="S201" s="66">
        <v>185.0</v>
      </c>
      <c r="T201" s="66">
        <v>2035.0</v>
      </c>
      <c r="U201" s="66">
        <v>185.0</v>
      </c>
      <c r="V201" s="64">
        <v>2035.0</v>
      </c>
      <c r="W201" s="64">
        <v>2035.0</v>
      </c>
      <c r="X201" s="76" t="s">
        <v>460</v>
      </c>
      <c r="Y201" s="64" t="s">
        <v>461</v>
      </c>
      <c r="Z201" s="64" t="s">
        <v>462</v>
      </c>
      <c r="AA201" s="64" t="s">
        <v>463</v>
      </c>
      <c r="AB201" s="60" t="s">
        <v>464</v>
      </c>
      <c r="AC201" s="60" t="s">
        <v>451</v>
      </c>
      <c r="AD201" s="64" t="s">
        <v>571</v>
      </c>
      <c r="AE201" s="66" t="s">
        <v>572</v>
      </c>
      <c r="AF201" s="66" t="s">
        <v>572</v>
      </c>
      <c r="AG201" s="64" t="s">
        <v>467</v>
      </c>
      <c r="AH201" s="64" t="s">
        <v>467</v>
      </c>
      <c r="AI201" s="66">
        <v>655.0</v>
      </c>
      <c r="AJ201" s="66">
        <v>21.5</v>
      </c>
      <c r="AK201" s="67">
        <v>14082.5</v>
      </c>
      <c r="AL201" s="63"/>
      <c r="AM201" s="63"/>
      <c r="AN201" s="64">
        <v>21.5</v>
      </c>
      <c r="AO201" s="60" t="s">
        <v>468</v>
      </c>
      <c r="AP201" s="63"/>
      <c r="AQ201" s="63"/>
      <c r="AR201" s="63"/>
      <c r="AS201" s="63"/>
      <c r="AT201" s="63"/>
      <c r="AU201" s="63"/>
      <c r="AV201" s="68"/>
      <c r="AW201" s="58" t="s">
        <v>512</v>
      </c>
      <c r="AX201" s="69">
        <v>14082.5</v>
      </c>
      <c r="AY201" s="70"/>
      <c r="AZ201" s="70"/>
      <c r="BA201" s="70"/>
      <c r="BB201" s="70"/>
      <c r="BC201" s="58" t="s">
        <v>469</v>
      </c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</row>
    <row r="202">
      <c r="A202" s="59">
        <v>45818.0</v>
      </c>
      <c r="B202" s="60" t="s">
        <v>451</v>
      </c>
      <c r="C202" s="61">
        <v>45818.0</v>
      </c>
      <c r="D202" s="61">
        <v>45818.0</v>
      </c>
      <c r="E202" s="60" t="s">
        <v>452</v>
      </c>
      <c r="F202" s="72" t="s">
        <v>963</v>
      </c>
      <c r="G202" s="63"/>
      <c r="H202" s="66" t="s">
        <v>472</v>
      </c>
      <c r="I202" s="64" t="s">
        <v>632</v>
      </c>
      <c r="J202" s="64" t="s">
        <v>456</v>
      </c>
      <c r="K202" s="64" t="s">
        <v>456</v>
      </c>
      <c r="L202" s="66">
        <v>22.0</v>
      </c>
      <c r="M202" s="66">
        <v>22.0</v>
      </c>
      <c r="N202" s="66" t="s">
        <v>457</v>
      </c>
      <c r="O202" s="66">
        <v>24.0</v>
      </c>
      <c r="P202" s="64" t="s">
        <v>964</v>
      </c>
      <c r="Q202" s="64" t="s">
        <v>459</v>
      </c>
      <c r="R202" s="64" t="s">
        <v>459</v>
      </c>
      <c r="S202" s="64">
        <v>149.0</v>
      </c>
      <c r="T202" s="64">
        <v>1639.0</v>
      </c>
      <c r="U202" s="64">
        <v>149.0</v>
      </c>
      <c r="V202" s="66">
        <v>1639.0</v>
      </c>
      <c r="W202" s="66">
        <v>1639.0</v>
      </c>
      <c r="X202" s="79" t="s">
        <v>460</v>
      </c>
      <c r="Y202" s="64" t="s">
        <v>461</v>
      </c>
      <c r="Z202" s="64" t="s">
        <v>462</v>
      </c>
      <c r="AA202" s="64" t="s">
        <v>463</v>
      </c>
      <c r="AB202" s="60" t="s">
        <v>464</v>
      </c>
      <c r="AC202" s="60" t="s">
        <v>451</v>
      </c>
      <c r="AD202" s="66" t="s">
        <v>577</v>
      </c>
      <c r="AE202" s="64" t="s">
        <v>578</v>
      </c>
      <c r="AF202" s="64" t="s">
        <v>578</v>
      </c>
      <c r="AG202" s="64" t="s">
        <v>467</v>
      </c>
      <c r="AH202" s="64" t="s">
        <v>467</v>
      </c>
      <c r="AI202" s="66">
        <v>396.0</v>
      </c>
      <c r="AJ202" s="64">
        <v>21.5</v>
      </c>
      <c r="AK202" s="67">
        <v>8514.0</v>
      </c>
      <c r="AL202" s="63"/>
      <c r="AM202" s="63"/>
      <c r="AN202" s="64">
        <v>21.5</v>
      </c>
      <c r="AO202" s="64" t="s">
        <v>468</v>
      </c>
      <c r="AP202" s="63"/>
      <c r="AQ202" s="63"/>
      <c r="AR202" s="63"/>
      <c r="AS202" s="63"/>
      <c r="AT202" s="63"/>
      <c r="AU202" s="63"/>
      <c r="AV202" s="63"/>
      <c r="AW202" s="58" t="s">
        <v>512</v>
      </c>
      <c r="AX202" s="69">
        <v>8514.0</v>
      </c>
      <c r="AY202" s="70"/>
      <c r="AZ202" s="70"/>
      <c r="BA202" s="70"/>
      <c r="BB202" s="70"/>
      <c r="BC202" s="58" t="s">
        <v>469</v>
      </c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</row>
    <row r="203">
      <c r="A203" s="59">
        <v>45818.0</v>
      </c>
      <c r="B203" s="60" t="s">
        <v>451</v>
      </c>
      <c r="C203" s="61">
        <v>45818.0</v>
      </c>
      <c r="D203" s="61">
        <v>45818.0</v>
      </c>
      <c r="E203" s="60" t="s">
        <v>452</v>
      </c>
      <c r="F203" s="71" t="s">
        <v>965</v>
      </c>
      <c r="G203" s="63"/>
      <c r="H203" s="64" t="s">
        <v>472</v>
      </c>
      <c r="I203" s="64" t="s">
        <v>891</v>
      </c>
      <c r="J203" s="64" t="s">
        <v>456</v>
      </c>
      <c r="K203" s="64" t="s">
        <v>456</v>
      </c>
      <c r="L203" s="66">
        <v>22.0</v>
      </c>
      <c r="M203" s="66">
        <v>22.0</v>
      </c>
      <c r="N203" s="66" t="s">
        <v>457</v>
      </c>
      <c r="O203" s="66">
        <v>24.0</v>
      </c>
      <c r="P203" s="75">
        <v>2.44E8</v>
      </c>
      <c r="Q203" s="66" t="s">
        <v>459</v>
      </c>
      <c r="R203" s="66" t="s">
        <v>459</v>
      </c>
      <c r="S203" s="66">
        <v>75.0</v>
      </c>
      <c r="T203" s="66">
        <v>825.0</v>
      </c>
      <c r="U203" s="66">
        <v>75.0</v>
      </c>
      <c r="V203" s="64">
        <v>825.0</v>
      </c>
      <c r="W203" s="64">
        <v>825.0</v>
      </c>
      <c r="X203" s="76" t="s">
        <v>460</v>
      </c>
      <c r="Y203" s="64" t="s">
        <v>461</v>
      </c>
      <c r="Z203" s="64" t="s">
        <v>462</v>
      </c>
      <c r="AA203" s="64" t="s">
        <v>463</v>
      </c>
      <c r="AB203" s="60" t="s">
        <v>464</v>
      </c>
      <c r="AC203" s="60" t="s">
        <v>451</v>
      </c>
      <c r="AD203" s="64" t="s">
        <v>634</v>
      </c>
      <c r="AE203" s="64" t="s">
        <v>617</v>
      </c>
      <c r="AF203" s="64" t="s">
        <v>617</v>
      </c>
      <c r="AG203" s="64" t="s">
        <v>467</v>
      </c>
      <c r="AH203" s="64" t="s">
        <v>467</v>
      </c>
      <c r="AI203" s="64">
        <v>330.0</v>
      </c>
      <c r="AJ203" s="64">
        <v>21.5</v>
      </c>
      <c r="AK203" s="67">
        <v>7095.0</v>
      </c>
      <c r="AL203" s="63"/>
      <c r="AM203" s="63"/>
      <c r="AN203" s="64">
        <v>21.5</v>
      </c>
      <c r="AO203" s="64" t="s">
        <v>468</v>
      </c>
      <c r="AP203" s="63"/>
      <c r="AQ203" s="63"/>
      <c r="AR203" s="63"/>
      <c r="AS203" s="63"/>
      <c r="AT203" s="63"/>
      <c r="AU203" s="63"/>
      <c r="AV203" s="63"/>
      <c r="AW203" s="58" t="s">
        <v>512</v>
      </c>
      <c r="AX203" s="69">
        <v>7095.0</v>
      </c>
      <c r="AY203" s="70"/>
      <c r="AZ203" s="70"/>
      <c r="BA203" s="70"/>
      <c r="BB203" s="70"/>
      <c r="BC203" s="58" t="s">
        <v>469</v>
      </c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</row>
    <row r="204">
      <c r="A204" s="59">
        <v>45818.0</v>
      </c>
      <c r="B204" s="60" t="s">
        <v>451</v>
      </c>
      <c r="C204" s="61">
        <v>45818.0</v>
      </c>
      <c r="D204" s="61">
        <v>45818.0</v>
      </c>
      <c r="E204" s="60" t="s">
        <v>452</v>
      </c>
      <c r="F204" s="71" t="s">
        <v>966</v>
      </c>
      <c r="G204" s="63"/>
      <c r="H204" s="66" t="s">
        <v>472</v>
      </c>
      <c r="I204" s="64" t="s">
        <v>575</v>
      </c>
      <c r="J204" s="64" t="s">
        <v>456</v>
      </c>
      <c r="K204" s="64" t="s">
        <v>456</v>
      </c>
      <c r="L204" s="66">
        <v>22.0</v>
      </c>
      <c r="M204" s="66">
        <v>22.0</v>
      </c>
      <c r="N204" s="66" t="s">
        <v>457</v>
      </c>
      <c r="O204" s="66">
        <v>24.0</v>
      </c>
      <c r="P204" s="75">
        <v>2.44E8</v>
      </c>
      <c r="Q204" s="64" t="s">
        <v>459</v>
      </c>
      <c r="R204" s="64" t="s">
        <v>459</v>
      </c>
      <c r="S204" s="64">
        <v>143.0</v>
      </c>
      <c r="T204" s="64">
        <v>1573.0</v>
      </c>
      <c r="U204" s="64">
        <v>143.0</v>
      </c>
      <c r="V204" s="66">
        <v>1573.0</v>
      </c>
      <c r="W204" s="66">
        <v>1573.0</v>
      </c>
      <c r="X204" s="79" t="s">
        <v>460</v>
      </c>
      <c r="Y204" s="64" t="s">
        <v>461</v>
      </c>
      <c r="Z204" s="64" t="s">
        <v>462</v>
      </c>
      <c r="AA204" s="64" t="s">
        <v>463</v>
      </c>
      <c r="AB204" s="60" t="s">
        <v>464</v>
      </c>
      <c r="AC204" s="60" t="s">
        <v>451</v>
      </c>
      <c r="AD204" s="64" t="s">
        <v>638</v>
      </c>
      <c r="AE204" s="64" t="s">
        <v>531</v>
      </c>
      <c r="AF204" s="64" t="s">
        <v>531</v>
      </c>
      <c r="AG204" s="64" t="s">
        <v>467</v>
      </c>
      <c r="AH204" s="64" t="s">
        <v>467</v>
      </c>
      <c r="AI204" s="66">
        <v>510.0</v>
      </c>
      <c r="AJ204" s="66">
        <v>21.5</v>
      </c>
      <c r="AK204" s="67">
        <v>10965.0</v>
      </c>
      <c r="AL204" s="63"/>
      <c r="AM204" s="63"/>
      <c r="AN204" s="64">
        <v>21.5</v>
      </c>
      <c r="AO204" s="64" t="s">
        <v>468</v>
      </c>
      <c r="AP204" s="63"/>
      <c r="AQ204" s="63"/>
      <c r="AR204" s="63"/>
      <c r="AS204" s="63"/>
      <c r="AT204" s="63"/>
      <c r="AU204" s="63"/>
      <c r="AV204" s="68"/>
      <c r="AW204" s="58" t="s">
        <v>512</v>
      </c>
      <c r="AX204" s="69">
        <v>10965.0</v>
      </c>
      <c r="AY204" s="70"/>
      <c r="AZ204" s="70"/>
      <c r="BA204" s="70"/>
      <c r="BB204" s="70"/>
      <c r="BC204" s="58" t="s">
        <v>469</v>
      </c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</row>
    <row r="205">
      <c r="A205" s="59">
        <v>45819.0</v>
      </c>
      <c r="B205" s="60" t="s">
        <v>451</v>
      </c>
      <c r="C205" s="61">
        <v>45819.0</v>
      </c>
      <c r="D205" s="61">
        <v>45819.0</v>
      </c>
      <c r="E205" s="60" t="s">
        <v>452</v>
      </c>
      <c r="F205" s="71" t="s">
        <v>967</v>
      </c>
      <c r="G205" s="63"/>
      <c r="H205" s="66" t="s">
        <v>454</v>
      </c>
      <c r="I205" s="64" t="s">
        <v>641</v>
      </c>
      <c r="J205" s="64" t="s">
        <v>456</v>
      </c>
      <c r="K205" s="64" t="s">
        <v>456</v>
      </c>
      <c r="L205" s="66">
        <v>22.0</v>
      </c>
      <c r="M205" s="66">
        <v>22.0</v>
      </c>
      <c r="N205" s="66" t="s">
        <v>457</v>
      </c>
      <c r="O205" s="66">
        <v>24.0</v>
      </c>
      <c r="P205" s="64" t="s">
        <v>459</v>
      </c>
      <c r="Q205" s="64" t="s">
        <v>459</v>
      </c>
      <c r="R205" s="64" t="s">
        <v>459</v>
      </c>
      <c r="S205" s="64">
        <v>260.0</v>
      </c>
      <c r="T205" s="64">
        <v>2860.0</v>
      </c>
      <c r="U205" s="64">
        <v>260.0</v>
      </c>
      <c r="V205" s="66">
        <v>2860.0</v>
      </c>
      <c r="W205" s="66">
        <v>2860.0</v>
      </c>
      <c r="X205" s="79" t="s">
        <v>460</v>
      </c>
      <c r="Y205" s="64" t="s">
        <v>461</v>
      </c>
      <c r="Z205" s="64" t="s">
        <v>462</v>
      </c>
      <c r="AA205" s="64" t="s">
        <v>463</v>
      </c>
      <c r="AB205" s="60" t="s">
        <v>464</v>
      </c>
      <c r="AC205" s="60" t="s">
        <v>451</v>
      </c>
      <c r="AD205" s="64" t="s">
        <v>465</v>
      </c>
      <c r="AE205" s="64" t="s">
        <v>466</v>
      </c>
      <c r="AF205" s="64" t="s">
        <v>466</v>
      </c>
      <c r="AG205" s="64" t="s">
        <v>467</v>
      </c>
      <c r="AH205" s="64" t="s">
        <v>467</v>
      </c>
      <c r="AI205" s="66">
        <v>735.0</v>
      </c>
      <c r="AJ205" s="66">
        <v>21.5</v>
      </c>
      <c r="AK205" s="67">
        <v>15802.5</v>
      </c>
      <c r="AL205" s="63"/>
      <c r="AM205" s="63"/>
      <c r="AN205" s="64">
        <v>21.5</v>
      </c>
      <c r="AO205" s="60" t="s">
        <v>468</v>
      </c>
      <c r="AP205" s="63"/>
      <c r="AQ205" s="63"/>
      <c r="AR205" s="63"/>
      <c r="AS205" s="63"/>
      <c r="AT205" s="63"/>
      <c r="AU205" s="63"/>
      <c r="AV205" s="68"/>
      <c r="AW205" s="58" t="s">
        <v>512</v>
      </c>
      <c r="AX205" s="69">
        <v>15802.5</v>
      </c>
      <c r="AY205" s="70"/>
      <c r="AZ205" s="70"/>
      <c r="BA205" s="70"/>
      <c r="BB205" s="70"/>
      <c r="BC205" s="58" t="s">
        <v>469</v>
      </c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</row>
    <row r="206">
      <c r="A206" s="59">
        <v>45819.0</v>
      </c>
      <c r="B206" s="60" t="s">
        <v>451</v>
      </c>
      <c r="C206" s="61">
        <v>45819.0</v>
      </c>
      <c r="D206" s="61">
        <v>45819.0</v>
      </c>
      <c r="E206" s="60" t="s">
        <v>452</v>
      </c>
      <c r="F206" s="71" t="s">
        <v>968</v>
      </c>
      <c r="G206" s="63"/>
      <c r="H206" s="66" t="s">
        <v>472</v>
      </c>
      <c r="I206" s="64" t="s">
        <v>473</v>
      </c>
      <c r="J206" s="64" t="s">
        <v>456</v>
      </c>
      <c r="K206" s="64" t="s">
        <v>456</v>
      </c>
      <c r="L206" s="66">
        <v>22.0</v>
      </c>
      <c r="M206" s="66">
        <v>22.0</v>
      </c>
      <c r="N206" s="66" t="s">
        <v>457</v>
      </c>
      <c r="O206" s="66">
        <v>24.0</v>
      </c>
      <c r="P206" s="64" t="s">
        <v>969</v>
      </c>
      <c r="Q206" s="64" t="s">
        <v>459</v>
      </c>
      <c r="R206" s="64" t="s">
        <v>459</v>
      </c>
      <c r="S206" s="64">
        <v>177.0</v>
      </c>
      <c r="T206" s="64">
        <v>1947.0</v>
      </c>
      <c r="U206" s="64">
        <v>177.0</v>
      </c>
      <c r="V206" s="66">
        <v>1947.0</v>
      </c>
      <c r="W206" s="66">
        <v>1947.0</v>
      </c>
      <c r="X206" s="79" t="s">
        <v>460</v>
      </c>
      <c r="Y206" s="64" t="s">
        <v>461</v>
      </c>
      <c r="Z206" s="64" t="s">
        <v>462</v>
      </c>
      <c r="AA206" s="64" t="s">
        <v>463</v>
      </c>
      <c r="AB206" s="60" t="s">
        <v>464</v>
      </c>
      <c r="AC206" s="60" t="s">
        <v>451</v>
      </c>
      <c r="AD206" s="60" t="s">
        <v>475</v>
      </c>
      <c r="AE206" s="64" t="s">
        <v>476</v>
      </c>
      <c r="AF206" s="64" t="s">
        <v>476</v>
      </c>
      <c r="AG206" s="64" t="s">
        <v>467</v>
      </c>
      <c r="AH206" s="64" t="s">
        <v>467</v>
      </c>
      <c r="AI206" s="64">
        <v>650.0</v>
      </c>
      <c r="AJ206" s="66">
        <v>21.5</v>
      </c>
      <c r="AK206" s="67">
        <v>13975.0</v>
      </c>
      <c r="AL206" s="63"/>
      <c r="AM206" s="63"/>
      <c r="AN206" s="64">
        <v>21.5</v>
      </c>
      <c r="AO206" s="64" t="s">
        <v>468</v>
      </c>
      <c r="AP206" s="63"/>
      <c r="AQ206" s="63"/>
      <c r="AR206" s="63"/>
      <c r="AS206" s="63"/>
      <c r="AT206" s="63"/>
      <c r="AU206" s="63"/>
      <c r="AV206" s="63"/>
      <c r="AW206" s="58" t="s">
        <v>512</v>
      </c>
      <c r="AX206" s="69">
        <v>13975.0</v>
      </c>
      <c r="AY206" s="70"/>
      <c r="AZ206" s="70"/>
      <c r="BA206" s="70"/>
      <c r="BB206" s="70"/>
      <c r="BC206" s="58" t="s">
        <v>469</v>
      </c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</row>
    <row r="207">
      <c r="A207" s="59">
        <v>45819.0</v>
      </c>
      <c r="B207" s="60" t="s">
        <v>451</v>
      </c>
      <c r="C207" s="61">
        <v>45819.0</v>
      </c>
      <c r="D207" s="61">
        <v>45819.0</v>
      </c>
      <c r="E207" s="60" t="s">
        <v>452</v>
      </c>
      <c r="F207" s="72" t="s">
        <v>970</v>
      </c>
      <c r="G207" s="63"/>
      <c r="H207" s="64" t="s">
        <v>472</v>
      </c>
      <c r="I207" s="64" t="s">
        <v>479</v>
      </c>
      <c r="J207" s="64" t="s">
        <v>456</v>
      </c>
      <c r="K207" s="64" t="s">
        <v>456</v>
      </c>
      <c r="L207" s="66">
        <v>22.0</v>
      </c>
      <c r="M207" s="66">
        <v>22.0</v>
      </c>
      <c r="N207" s="66" t="s">
        <v>457</v>
      </c>
      <c r="O207" s="66">
        <v>24.0</v>
      </c>
      <c r="P207" s="64" t="s">
        <v>971</v>
      </c>
      <c r="Q207" s="66" t="s">
        <v>459</v>
      </c>
      <c r="R207" s="66" t="s">
        <v>459</v>
      </c>
      <c r="S207" s="66">
        <v>215.0</v>
      </c>
      <c r="T207" s="66">
        <v>2365.0</v>
      </c>
      <c r="U207" s="66">
        <v>215.0</v>
      </c>
      <c r="V207" s="64">
        <v>2365.0</v>
      </c>
      <c r="W207" s="64">
        <v>2365.0</v>
      </c>
      <c r="X207" s="76" t="s">
        <v>460</v>
      </c>
      <c r="Y207" s="64" t="s">
        <v>461</v>
      </c>
      <c r="Z207" s="64" t="s">
        <v>462</v>
      </c>
      <c r="AA207" s="64" t="s">
        <v>463</v>
      </c>
      <c r="AB207" s="60" t="s">
        <v>464</v>
      </c>
      <c r="AC207" s="60" t="s">
        <v>451</v>
      </c>
      <c r="AD207" s="64" t="s">
        <v>481</v>
      </c>
      <c r="AE207" s="66" t="s">
        <v>482</v>
      </c>
      <c r="AF207" s="66" t="s">
        <v>482</v>
      </c>
      <c r="AG207" s="64" t="s">
        <v>467</v>
      </c>
      <c r="AH207" s="64" t="s">
        <v>467</v>
      </c>
      <c r="AI207" s="64">
        <v>655.0</v>
      </c>
      <c r="AJ207" s="64">
        <v>21.5</v>
      </c>
      <c r="AK207" s="67">
        <v>14082.5</v>
      </c>
      <c r="AL207" s="63"/>
      <c r="AM207" s="63"/>
      <c r="AN207" s="64">
        <v>21.5</v>
      </c>
      <c r="AO207" s="64" t="s">
        <v>468</v>
      </c>
      <c r="AP207" s="63"/>
      <c r="AQ207" s="63"/>
      <c r="AR207" s="63"/>
      <c r="AS207" s="63"/>
      <c r="AT207" s="63"/>
      <c r="AU207" s="63"/>
      <c r="AV207" s="68"/>
      <c r="AW207" s="58" t="s">
        <v>512</v>
      </c>
      <c r="AX207" s="69">
        <v>14082.5</v>
      </c>
      <c r="AY207" s="70"/>
      <c r="AZ207" s="70"/>
      <c r="BA207" s="70"/>
      <c r="BB207" s="70"/>
      <c r="BC207" s="58" t="s">
        <v>469</v>
      </c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</row>
    <row r="208">
      <c r="A208" s="59">
        <v>45819.0</v>
      </c>
      <c r="B208" s="60" t="s">
        <v>451</v>
      </c>
      <c r="C208" s="61">
        <v>45819.0</v>
      </c>
      <c r="D208" s="61">
        <v>45819.0</v>
      </c>
      <c r="E208" s="60" t="s">
        <v>452</v>
      </c>
      <c r="F208" s="71" t="s">
        <v>972</v>
      </c>
      <c r="G208" s="63"/>
      <c r="H208" s="66" t="s">
        <v>492</v>
      </c>
      <c r="I208" s="64" t="s">
        <v>493</v>
      </c>
      <c r="J208" s="64" t="s">
        <v>456</v>
      </c>
      <c r="K208" s="64" t="s">
        <v>456</v>
      </c>
      <c r="L208" s="64">
        <v>28.0</v>
      </c>
      <c r="M208" s="64">
        <v>28.0</v>
      </c>
      <c r="N208" s="64" t="s">
        <v>457</v>
      </c>
      <c r="O208" s="64">
        <v>24.0</v>
      </c>
      <c r="P208" s="64" t="s">
        <v>973</v>
      </c>
      <c r="Q208" s="64" t="s">
        <v>459</v>
      </c>
      <c r="R208" s="64" t="s">
        <v>459</v>
      </c>
      <c r="S208" s="64">
        <v>555.0</v>
      </c>
      <c r="T208" s="64">
        <v>6105.0</v>
      </c>
      <c r="U208" s="64">
        <v>555.0</v>
      </c>
      <c r="V208" s="66">
        <v>6105.0</v>
      </c>
      <c r="W208" s="66">
        <v>6105.0</v>
      </c>
      <c r="X208" s="79" t="s">
        <v>460</v>
      </c>
      <c r="Y208" s="64" t="s">
        <v>461</v>
      </c>
      <c r="Z208" s="64" t="s">
        <v>462</v>
      </c>
      <c r="AA208" s="64" t="s">
        <v>463</v>
      </c>
      <c r="AB208" s="60" t="s">
        <v>464</v>
      </c>
      <c r="AC208" s="60" t="s">
        <v>451</v>
      </c>
      <c r="AD208" s="64" t="s">
        <v>495</v>
      </c>
      <c r="AE208" s="64" t="s">
        <v>496</v>
      </c>
      <c r="AF208" s="64" t="s">
        <v>496</v>
      </c>
      <c r="AG208" s="64" t="s">
        <v>467</v>
      </c>
      <c r="AH208" s="64" t="s">
        <v>467</v>
      </c>
      <c r="AI208" s="64">
        <v>570.0</v>
      </c>
      <c r="AJ208" s="60">
        <v>23.5</v>
      </c>
      <c r="AK208" s="67">
        <v>13395.0</v>
      </c>
      <c r="AL208" s="63"/>
      <c r="AM208" s="63"/>
      <c r="AN208" s="64">
        <v>23.5</v>
      </c>
      <c r="AO208" s="64" t="s">
        <v>468</v>
      </c>
      <c r="AP208" s="63"/>
      <c r="AQ208" s="63"/>
      <c r="AR208" s="63"/>
      <c r="AS208" s="63"/>
      <c r="AT208" s="63"/>
      <c r="AU208" s="63"/>
      <c r="AV208" s="63"/>
      <c r="AW208" s="58" t="s">
        <v>512</v>
      </c>
      <c r="AX208" s="69">
        <v>13395.0</v>
      </c>
      <c r="AY208" s="70"/>
      <c r="AZ208" s="70"/>
      <c r="BA208" s="70"/>
      <c r="BB208" s="70"/>
      <c r="BC208" s="58" t="s">
        <v>469</v>
      </c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</row>
    <row r="209">
      <c r="A209" s="59">
        <v>45819.0</v>
      </c>
      <c r="B209" s="60" t="s">
        <v>451</v>
      </c>
      <c r="C209" s="61">
        <v>45819.0</v>
      </c>
      <c r="D209" s="61">
        <v>45819.0</v>
      </c>
      <c r="E209" s="60" t="s">
        <v>452</v>
      </c>
      <c r="F209" s="72" t="s">
        <v>974</v>
      </c>
      <c r="G209" s="63"/>
      <c r="H209" s="64" t="s">
        <v>454</v>
      </c>
      <c r="I209" s="64" t="s">
        <v>455</v>
      </c>
      <c r="J209" s="64" t="s">
        <v>486</v>
      </c>
      <c r="K209" s="64" t="s">
        <v>486</v>
      </c>
      <c r="L209" s="66">
        <v>22.0</v>
      </c>
      <c r="M209" s="66">
        <v>22.0</v>
      </c>
      <c r="N209" s="66" t="s">
        <v>457</v>
      </c>
      <c r="O209" s="66">
        <v>24.0</v>
      </c>
      <c r="P209" s="64" t="s">
        <v>975</v>
      </c>
      <c r="Q209" s="66" t="s">
        <v>459</v>
      </c>
      <c r="R209" s="66" t="s">
        <v>459</v>
      </c>
      <c r="S209" s="66">
        <v>165.0</v>
      </c>
      <c r="T209" s="66">
        <v>1815.0</v>
      </c>
      <c r="U209" s="66">
        <v>165.0</v>
      </c>
      <c r="V209" s="64">
        <v>1815.0</v>
      </c>
      <c r="W209" s="64">
        <v>1815.0</v>
      </c>
      <c r="X209" s="76" t="s">
        <v>460</v>
      </c>
      <c r="Y209" s="64" t="s">
        <v>461</v>
      </c>
      <c r="Z209" s="64" t="s">
        <v>462</v>
      </c>
      <c r="AA209" s="64" t="s">
        <v>463</v>
      </c>
      <c r="AB209" s="60" t="s">
        <v>464</v>
      </c>
      <c r="AC209" s="60" t="s">
        <v>451</v>
      </c>
      <c r="AD209" s="60" t="s">
        <v>651</v>
      </c>
      <c r="AE209" s="64" t="s">
        <v>652</v>
      </c>
      <c r="AF209" s="64" t="s">
        <v>652</v>
      </c>
      <c r="AG209" s="64" t="s">
        <v>467</v>
      </c>
      <c r="AH209" s="64" t="s">
        <v>467</v>
      </c>
      <c r="AI209" s="64">
        <v>655.0</v>
      </c>
      <c r="AJ209" s="64">
        <v>23.5</v>
      </c>
      <c r="AK209" s="67">
        <v>15392.5</v>
      </c>
      <c r="AL209" s="63"/>
      <c r="AM209" s="63"/>
      <c r="AN209" s="64">
        <v>23.5</v>
      </c>
      <c r="AO209" s="64" t="s">
        <v>468</v>
      </c>
      <c r="AP209" s="63"/>
      <c r="AQ209" s="63"/>
      <c r="AR209" s="63"/>
      <c r="AS209" s="63"/>
      <c r="AT209" s="63"/>
      <c r="AU209" s="63"/>
      <c r="AV209" s="63"/>
      <c r="AW209" s="58" t="s">
        <v>443</v>
      </c>
      <c r="AX209" s="85">
        <v>15393.0</v>
      </c>
      <c r="AY209" s="70"/>
      <c r="AZ209" s="70"/>
      <c r="BA209" s="70"/>
      <c r="BB209" s="70"/>
      <c r="BC209" s="58" t="s">
        <v>469</v>
      </c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</row>
    <row r="210">
      <c r="A210" s="59">
        <v>45819.0</v>
      </c>
      <c r="B210" s="60" t="s">
        <v>451</v>
      </c>
      <c r="C210" s="61">
        <v>45819.0</v>
      </c>
      <c r="D210" s="61">
        <v>45819.0</v>
      </c>
      <c r="E210" s="60" t="s">
        <v>452</v>
      </c>
      <c r="F210" s="71" t="s">
        <v>976</v>
      </c>
      <c r="G210" s="63"/>
      <c r="H210" s="66" t="s">
        <v>498</v>
      </c>
      <c r="I210" s="64" t="s">
        <v>596</v>
      </c>
      <c r="J210" s="64" t="s">
        <v>456</v>
      </c>
      <c r="K210" s="64" t="s">
        <v>456</v>
      </c>
      <c r="L210" s="66">
        <v>22.0</v>
      </c>
      <c r="M210" s="66">
        <v>22.0</v>
      </c>
      <c r="N210" s="66" t="s">
        <v>457</v>
      </c>
      <c r="O210" s="66">
        <v>24.0</v>
      </c>
      <c r="P210" s="64" t="s">
        <v>977</v>
      </c>
      <c r="Q210" s="64" t="s">
        <v>459</v>
      </c>
      <c r="R210" s="64" t="s">
        <v>459</v>
      </c>
      <c r="S210" s="64">
        <v>202.0</v>
      </c>
      <c r="T210" s="64">
        <v>2222.0</v>
      </c>
      <c r="U210" s="64">
        <v>202.0</v>
      </c>
      <c r="V210" s="66">
        <v>2222.0</v>
      </c>
      <c r="W210" s="66">
        <v>2222.0</v>
      </c>
      <c r="X210" s="79" t="s">
        <v>460</v>
      </c>
      <c r="Y210" s="64" t="s">
        <v>461</v>
      </c>
      <c r="Z210" s="64" t="s">
        <v>462</v>
      </c>
      <c r="AA210" s="64" t="s">
        <v>463</v>
      </c>
      <c r="AB210" s="60" t="s">
        <v>464</v>
      </c>
      <c r="AC210" s="60" t="s">
        <v>451</v>
      </c>
      <c r="AD210" s="64" t="s">
        <v>501</v>
      </c>
      <c r="AE210" s="64" t="s">
        <v>470</v>
      </c>
      <c r="AF210" s="64" t="s">
        <v>470</v>
      </c>
      <c r="AG210" s="64" t="s">
        <v>467</v>
      </c>
      <c r="AH210" s="64" t="s">
        <v>467</v>
      </c>
      <c r="AI210" s="64">
        <v>380.0</v>
      </c>
      <c r="AJ210" s="64">
        <v>21.5</v>
      </c>
      <c r="AK210" s="67">
        <v>8170.0</v>
      </c>
      <c r="AL210" s="63"/>
      <c r="AM210" s="63"/>
      <c r="AN210" s="64">
        <v>21.5</v>
      </c>
      <c r="AO210" s="64" t="s">
        <v>468</v>
      </c>
      <c r="AP210" s="63"/>
      <c r="AQ210" s="63"/>
      <c r="AR210" s="63"/>
      <c r="AS210" s="63"/>
      <c r="AT210" s="63"/>
      <c r="AU210" s="63"/>
      <c r="AV210" s="68"/>
      <c r="AW210" s="58" t="s">
        <v>512</v>
      </c>
      <c r="AX210" s="69">
        <v>8170.0</v>
      </c>
      <c r="AY210" s="70"/>
      <c r="AZ210" s="70"/>
      <c r="BA210" s="70"/>
      <c r="BB210" s="70"/>
      <c r="BC210" s="58" t="s">
        <v>469</v>
      </c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</row>
    <row r="211">
      <c r="A211" s="59">
        <v>45819.0</v>
      </c>
      <c r="B211" s="60" t="s">
        <v>451</v>
      </c>
      <c r="C211" s="61">
        <v>45819.0</v>
      </c>
      <c r="D211" s="61">
        <v>45819.0</v>
      </c>
      <c r="E211" s="60" t="s">
        <v>452</v>
      </c>
      <c r="F211" s="72" t="s">
        <v>978</v>
      </c>
      <c r="G211" s="63"/>
      <c r="H211" s="64" t="s">
        <v>504</v>
      </c>
      <c r="I211" s="64" t="s">
        <v>505</v>
      </c>
      <c r="J211" s="64" t="s">
        <v>456</v>
      </c>
      <c r="K211" s="64" t="s">
        <v>456</v>
      </c>
      <c r="L211" s="66">
        <v>22.0</v>
      </c>
      <c r="M211" s="66">
        <v>22.0</v>
      </c>
      <c r="N211" s="66" t="s">
        <v>457</v>
      </c>
      <c r="O211" s="66">
        <v>24.0</v>
      </c>
      <c r="P211" s="64" t="s">
        <v>979</v>
      </c>
      <c r="Q211" s="66" t="s">
        <v>459</v>
      </c>
      <c r="R211" s="66" t="s">
        <v>459</v>
      </c>
      <c r="S211" s="66">
        <v>173.0</v>
      </c>
      <c r="T211" s="66">
        <v>1903.0</v>
      </c>
      <c r="U211" s="66">
        <v>173.0</v>
      </c>
      <c r="V211" s="64">
        <v>1903.0</v>
      </c>
      <c r="W211" s="64">
        <v>1903.0</v>
      </c>
      <c r="X211" s="76" t="s">
        <v>460</v>
      </c>
      <c r="Y211" s="64" t="s">
        <v>461</v>
      </c>
      <c r="Z211" s="64" t="s">
        <v>462</v>
      </c>
      <c r="AA211" s="64" t="s">
        <v>463</v>
      </c>
      <c r="AB211" s="60" t="s">
        <v>464</v>
      </c>
      <c r="AC211" s="60" t="s">
        <v>451</v>
      </c>
      <c r="AD211" s="66" t="s">
        <v>507</v>
      </c>
      <c r="AE211" s="64" t="s">
        <v>508</v>
      </c>
      <c r="AF211" s="64" t="s">
        <v>509</v>
      </c>
      <c r="AG211" s="64" t="s">
        <v>467</v>
      </c>
      <c r="AH211" s="64" t="s">
        <v>467</v>
      </c>
      <c r="AI211" s="66">
        <v>790.0</v>
      </c>
      <c r="AJ211" s="66">
        <v>21.5</v>
      </c>
      <c r="AK211" s="67">
        <v>16985.0</v>
      </c>
      <c r="AL211" s="63"/>
      <c r="AM211" s="63"/>
      <c r="AN211" s="64">
        <v>21.5</v>
      </c>
      <c r="AO211" s="64" t="s">
        <v>468</v>
      </c>
      <c r="AP211" s="63"/>
      <c r="AQ211" s="63"/>
      <c r="AR211" s="63"/>
      <c r="AS211" s="73">
        <v>0.5</v>
      </c>
      <c r="AT211" s="64">
        <v>8492.5</v>
      </c>
      <c r="AU211" s="60" t="s">
        <v>510</v>
      </c>
      <c r="AV211" s="74" t="s">
        <v>511</v>
      </c>
      <c r="AW211" s="58" t="s">
        <v>512</v>
      </c>
      <c r="AX211" s="69">
        <v>8492.5</v>
      </c>
      <c r="AY211" s="70"/>
      <c r="AZ211" s="70"/>
      <c r="BA211" s="69">
        <v>8492.5</v>
      </c>
      <c r="BB211" s="70"/>
      <c r="BC211" s="58" t="s">
        <v>469</v>
      </c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</row>
    <row r="212">
      <c r="A212" s="59">
        <v>45819.0</v>
      </c>
      <c r="B212" s="60" t="s">
        <v>451</v>
      </c>
      <c r="C212" s="61">
        <v>45819.0</v>
      </c>
      <c r="D212" s="61">
        <v>45819.0</v>
      </c>
      <c r="E212" s="60" t="s">
        <v>452</v>
      </c>
      <c r="F212" s="71" t="s">
        <v>980</v>
      </c>
      <c r="G212" s="63"/>
      <c r="H212" s="66" t="s">
        <v>504</v>
      </c>
      <c r="I212" s="64" t="s">
        <v>515</v>
      </c>
      <c r="J212" s="64" t="s">
        <v>456</v>
      </c>
      <c r="K212" s="64" t="s">
        <v>456</v>
      </c>
      <c r="L212" s="66">
        <v>22.0</v>
      </c>
      <c r="M212" s="66">
        <v>22.0</v>
      </c>
      <c r="N212" s="66" t="s">
        <v>457</v>
      </c>
      <c r="O212" s="66">
        <v>24.0</v>
      </c>
      <c r="P212" s="64" t="s">
        <v>981</v>
      </c>
      <c r="Q212" s="64" t="s">
        <v>459</v>
      </c>
      <c r="R212" s="64" t="s">
        <v>459</v>
      </c>
      <c r="S212" s="64">
        <v>200.0</v>
      </c>
      <c r="T212" s="64">
        <v>2200.0</v>
      </c>
      <c r="U212" s="64">
        <v>200.0</v>
      </c>
      <c r="V212" s="66">
        <v>2200.0</v>
      </c>
      <c r="W212" s="66">
        <v>2200.0</v>
      </c>
      <c r="X212" s="79" t="s">
        <v>460</v>
      </c>
      <c r="Y212" s="64" t="s">
        <v>461</v>
      </c>
      <c r="Z212" s="64" t="s">
        <v>462</v>
      </c>
      <c r="AA212" s="64" t="s">
        <v>463</v>
      </c>
      <c r="AB212" s="60" t="s">
        <v>464</v>
      </c>
      <c r="AC212" s="60" t="s">
        <v>451</v>
      </c>
      <c r="AD212" s="64" t="s">
        <v>517</v>
      </c>
      <c r="AE212" s="64" t="s">
        <v>518</v>
      </c>
      <c r="AF212" s="64" t="s">
        <v>518</v>
      </c>
      <c r="AG212" s="64" t="s">
        <v>467</v>
      </c>
      <c r="AH212" s="64" t="s">
        <v>467</v>
      </c>
      <c r="AI212" s="64">
        <v>815.0</v>
      </c>
      <c r="AJ212" s="64">
        <v>21.5</v>
      </c>
      <c r="AK212" s="67">
        <v>17522.5</v>
      </c>
      <c r="AL212" s="63"/>
      <c r="AM212" s="63"/>
      <c r="AN212" s="64">
        <v>21.5</v>
      </c>
      <c r="AO212" s="64" t="s">
        <v>468</v>
      </c>
      <c r="AP212" s="63"/>
      <c r="AQ212" s="63"/>
      <c r="AR212" s="63"/>
      <c r="AS212" s="63"/>
      <c r="AT212" s="63"/>
      <c r="AU212" s="63"/>
      <c r="AV212" s="68"/>
      <c r="AW212" s="58" t="s">
        <v>512</v>
      </c>
      <c r="AX212" s="69">
        <v>17522.5</v>
      </c>
      <c r="AY212" s="70"/>
      <c r="AZ212" s="70"/>
      <c r="BA212" s="70"/>
      <c r="BB212" s="70"/>
      <c r="BC212" s="58" t="s">
        <v>469</v>
      </c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</row>
    <row r="213">
      <c r="A213" s="59">
        <v>45819.0</v>
      </c>
      <c r="B213" s="60" t="s">
        <v>451</v>
      </c>
      <c r="C213" s="61">
        <v>45819.0</v>
      </c>
      <c r="D213" s="61">
        <v>45819.0</v>
      </c>
      <c r="E213" s="60" t="s">
        <v>452</v>
      </c>
      <c r="F213" s="72" t="s">
        <v>982</v>
      </c>
      <c r="G213" s="63"/>
      <c r="H213" s="64" t="s">
        <v>521</v>
      </c>
      <c r="I213" s="64" t="s">
        <v>555</v>
      </c>
      <c r="J213" s="64" t="s">
        <v>456</v>
      </c>
      <c r="K213" s="64" t="s">
        <v>456</v>
      </c>
      <c r="L213" s="66">
        <v>22.0</v>
      </c>
      <c r="M213" s="66">
        <v>22.0</v>
      </c>
      <c r="N213" s="66" t="s">
        <v>457</v>
      </c>
      <c r="O213" s="66">
        <v>24.0</v>
      </c>
      <c r="P213" s="64" t="s">
        <v>983</v>
      </c>
      <c r="Q213" s="66" t="s">
        <v>459</v>
      </c>
      <c r="R213" s="66" t="s">
        <v>459</v>
      </c>
      <c r="S213" s="66">
        <v>204.0</v>
      </c>
      <c r="T213" s="66">
        <v>2244.0</v>
      </c>
      <c r="U213" s="66">
        <v>204.0</v>
      </c>
      <c r="V213" s="64">
        <v>2244.0</v>
      </c>
      <c r="W213" s="64">
        <v>2244.0</v>
      </c>
      <c r="X213" s="76" t="s">
        <v>460</v>
      </c>
      <c r="Y213" s="64" t="s">
        <v>461</v>
      </c>
      <c r="Z213" s="64" t="s">
        <v>462</v>
      </c>
      <c r="AA213" s="64" t="s">
        <v>463</v>
      </c>
      <c r="AB213" s="60" t="s">
        <v>464</v>
      </c>
      <c r="AC213" s="60" t="s">
        <v>451</v>
      </c>
      <c r="AD213" s="66" t="s">
        <v>524</v>
      </c>
      <c r="AE213" s="66" t="s">
        <v>483</v>
      </c>
      <c r="AF213" s="66" t="s">
        <v>483</v>
      </c>
      <c r="AG213" s="64" t="s">
        <v>467</v>
      </c>
      <c r="AH213" s="64" t="s">
        <v>467</v>
      </c>
      <c r="AI213" s="66">
        <v>600.0</v>
      </c>
      <c r="AJ213" s="66">
        <v>21.5</v>
      </c>
      <c r="AK213" s="67">
        <v>12900.0</v>
      </c>
      <c r="AL213" s="63"/>
      <c r="AM213" s="63"/>
      <c r="AN213" s="64">
        <v>21.5</v>
      </c>
      <c r="AO213" s="64" t="s">
        <v>468</v>
      </c>
      <c r="AP213" s="63"/>
      <c r="AQ213" s="63"/>
      <c r="AR213" s="63"/>
      <c r="AS213" s="63"/>
      <c r="AT213" s="63"/>
      <c r="AU213" s="63"/>
      <c r="AV213" s="68"/>
      <c r="AW213" s="58" t="s">
        <v>512</v>
      </c>
      <c r="AX213" s="69">
        <v>12900.0</v>
      </c>
      <c r="AY213" s="70"/>
      <c r="AZ213" s="70"/>
      <c r="BA213" s="70"/>
      <c r="BB213" s="70"/>
      <c r="BC213" s="58" t="s">
        <v>469</v>
      </c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</row>
    <row r="214">
      <c r="A214" s="59">
        <v>45819.0</v>
      </c>
      <c r="B214" s="60" t="s">
        <v>451</v>
      </c>
      <c r="C214" s="61">
        <v>45819.0</v>
      </c>
      <c r="D214" s="61">
        <v>45819.0</v>
      </c>
      <c r="E214" s="60" t="s">
        <v>452</v>
      </c>
      <c r="F214" s="71" t="s">
        <v>984</v>
      </c>
      <c r="G214" s="63"/>
      <c r="H214" s="66" t="s">
        <v>492</v>
      </c>
      <c r="I214" s="64" t="s">
        <v>527</v>
      </c>
      <c r="J214" s="64" t="s">
        <v>456</v>
      </c>
      <c r="K214" s="64" t="s">
        <v>456</v>
      </c>
      <c r="L214" s="66">
        <v>22.0</v>
      </c>
      <c r="M214" s="66">
        <v>22.0</v>
      </c>
      <c r="N214" s="66" t="s">
        <v>457</v>
      </c>
      <c r="O214" s="66">
        <v>24.0</v>
      </c>
      <c r="P214" s="64" t="s">
        <v>985</v>
      </c>
      <c r="Q214" s="64" t="s">
        <v>459</v>
      </c>
      <c r="R214" s="64" t="s">
        <v>459</v>
      </c>
      <c r="S214" s="64">
        <v>232.0</v>
      </c>
      <c r="T214" s="64">
        <v>2552.0</v>
      </c>
      <c r="U214" s="64">
        <v>232.0</v>
      </c>
      <c r="V214" s="66">
        <v>2552.0</v>
      </c>
      <c r="W214" s="66">
        <v>2552.0</v>
      </c>
      <c r="X214" s="79" t="s">
        <v>460</v>
      </c>
      <c r="Y214" s="64" t="s">
        <v>461</v>
      </c>
      <c r="Z214" s="64" t="s">
        <v>462</v>
      </c>
      <c r="AA214" s="64" t="s">
        <v>463</v>
      </c>
      <c r="AB214" s="60" t="s">
        <v>464</v>
      </c>
      <c r="AC214" s="60" t="s">
        <v>451</v>
      </c>
      <c r="AD214" s="60" t="s">
        <v>529</v>
      </c>
      <c r="AE214" s="64" t="s">
        <v>530</v>
      </c>
      <c r="AF214" s="64" t="s">
        <v>530</v>
      </c>
      <c r="AG214" s="64" t="s">
        <v>467</v>
      </c>
      <c r="AH214" s="64" t="s">
        <v>467</v>
      </c>
      <c r="AI214" s="66">
        <v>510.0</v>
      </c>
      <c r="AJ214" s="66">
        <v>21.5</v>
      </c>
      <c r="AK214" s="67">
        <v>10965.0</v>
      </c>
      <c r="AL214" s="63"/>
      <c r="AM214" s="63"/>
      <c r="AN214" s="64">
        <v>21.5</v>
      </c>
      <c r="AO214" s="64" t="s">
        <v>468</v>
      </c>
      <c r="AP214" s="63"/>
      <c r="AQ214" s="63"/>
      <c r="AR214" s="63"/>
      <c r="AS214" s="63"/>
      <c r="AT214" s="63"/>
      <c r="AU214" s="63"/>
      <c r="AV214" s="68"/>
      <c r="AW214" s="58" t="s">
        <v>512</v>
      </c>
      <c r="AX214" s="69">
        <v>10965.0</v>
      </c>
      <c r="AY214" s="70"/>
      <c r="AZ214" s="70"/>
      <c r="BA214" s="70"/>
      <c r="BB214" s="70"/>
      <c r="BC214" s="58" t="s">
        <v>469</v>
      </c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</row>
    <row r="215">
      <c r="A215" s="59">
        <v>45819.0</v>
      </c>
      <c r="B215" s="60" t="s">
        <v>451</v>
      </c>
      <c r="C215" s="61">
        <v>45819.0</v>
      </c>
      <c r="D215" s="61">
        <v>45819.0</v>
      </c>
      <c r="E215" s="60" t="s">
        <v>452</v>
      </c>
      <c r="F215" s="72" t="s">
        <v>986</v>
      </c>
      <c r="G215" s="63"/>
      <c r="H215" s="64" t="s">
        <v>492</v>
      </c>
      <c r="I215" s="64" t="s">
        <v>533</v>
      </c>
      <c r="J215" s="64" t="s">
        <v>486</v>
      </c>
      <c r="K215" s="64" t="s">
        <v>486</v>
      </c>
      <c r="L215" s="66">
        <v>22.0</v>
      </c>
      <c r="M215" s="66">
        <v>22.0</v>
      </c>
      <c r="N215" s="66" t="s">
        <v>457</v>
      </c>
      <c r="O215" s="66">
        <v>24.0</v>
      </c>
      <c r="P215" s="64" t="s">
        <v>987</v>
      </c>
      <c r="Q215" s="66" t="s">
        <v>459</v>
      </c>
      <c r="R215" s="66" t="s">
        <v>459</v>
      </c>
      <c r="S215" s="66">
        <v>55.0</v>
      </c>
      <c r="T215" s="66">
        <v>605.0</v>
      </c>
      <c r="U215" s="66">
        <v>55.0</v>
      </c>
      <c r="V215" s="64">
        <v>605.0</v>
      </c>
      <c r="W215" s="64">
        <v>605.0</v>
      </c>
      <c r="X215" s="76" t="s">
        <v>460</v>
      </c>
      <c r="Y215" s="64" t="s">
        <v>461</v>
      </c>
      <c r="Z215" s="64" t="s">
        <v>462</v>
      </c>
      <c r="AA215" s="64" t="s">
        <v>463</v>
      </c>
      <c r="AB215" s="60" t="s">
        <v>464</v>
      </c>
      <c r="AC215" s="60" t="s">
        <v>451</v>
      </c>
      <c r="AD215" s="60" t="s">
        <v>529</v>
      </c>
      <c r="AE215" s="64" t="s">
        <v>535</v>
      </c>
      <c r="AF215" s="64" t="s">
        <v>535</v>
      </c>
      <c r="AG215" s="64" t="s">
        <v>467</v>
      </c>
      <c r="AH215" s="64" t="s">
        <v>467</v>
      </c>
      <c r="AI215" s="66">
        <v>510.0</v>
      </c>
      <c r="AJ215" s="66">
        <v>23.5</v>
      </c>
      <c r="AK215" s="67">
        <v>11985.0</v>
      </c>
      <c r="AL215" s="63"/>
      <c r="AM215" s="63"/>
      <c r="AN215" s="64">
        <v>23.5</v>
      </c>
      <c r="AO215" s="64" t="s">
        <v>468</v>
      </c>
      <c r="AP215" s="63"/>
      <c r="AQ215" s="63"/>
      <c r="AR215" s="63"/>
      <c r="AS215" s="63"/>
      <c r="AT215" s="63"/>
      <c r="AU215" s="63"/>
      <c r="AV215" s="68"/>
      <c r="AW215" s="58" t="s">
        <v>512</v>
      </c>
      <c r="AX215" s="69">
        <v>11985.0</v>
      </c>
      <c r="AY215" s="70"/>
      <c r="AZ215" s="70"/>
      <c r="BA215" s="70"/>
      <c r="BB215" s="70"/>
      <c r="BC215" s="58" t="s">
        <v>469</v>
      </c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</row>
    <row r="216">
      <c r="A216" s="59">
        <v>45819.0</v>
      </c>
      <c r="B216" s="60" t="s">
        <v>451</v>
      </c>
      <c r="C216" s="61">
        <v>45819.0</v>
      </c>
      <c r="D216" s="61">
        <v>45819.0</v>
      </c>
      <c r="E216" s="60" t="s">
        <v>452</v>
      </c>
      <c r="F216" s="71" t="s">
        <v>988</v>
      </c>
      <c r="G216" s="63"/>
      <c r="H216" s="66" t="s">
        <v>538</v>
      </c>
      <c r="I216" s="64" t="s">
        <v>539</v>
      </c>
      <c r="J216" s="64" t="s">
        <v>456</v>
      </c>
      <c r="K216" s="64" t="s">
        <v>456</v>
      </c>
      <c r="L216" s="64">
        <v>32.0</v>
      </c>
      <c r="M216" s="64">
        <v>32.0</v>
      </c>
      <c r="N216" s="64" t="s">
        <v>540</v>
      </c>
      <c r="O216" s="64">
        <v>24.0</v>
      </c>
      <c r="P216" s="75">
        <v>2.44E8</v>
      </c>
      <c r="Q216" s="64" t="s">
        <v>459</v>
      </c>
      <c r="R216" s="64" t="s">
        <v>459</v>
      </c>
      <c r="S216" s="64">
        <v>155.0</v>
      </c>
      <c r="T216" s="64">
        <v>1705.0</v>
      </c>
      <c r="U216" s="64">
        <v>155.0</v>
      </c>
      <c r="V216" s="66">
        <v>1705.0</v>
      </c>
      <c r="W216" s="66">
        <v>1705.0</v>
      </c>
      <c r="X216" s="79" t="s">
        <v>460</v>
      </c>
      <c r="Y216" s="64" t="s">
        <v>461</v>
      </c>
      <c r="Z216" s="64" t="s">
        <v>462</v>
      </c>
      <c r="AA216" s="64" t="s">
        <v>463</v>
      </c>
      <c r="AB216" s="60" t="s">
        <v>464</v>
      </c>
      <c r="AC216" s="60" t="s">
        <v>451</v>
      </c>
      <c r="AD216" s="64" t="s">
        <v>541</v>
      </c>
      <c r="AE216" s="64" t="s">
        <v>490</v>
      </c>
      <c r="AF216" s="64" t="s">
        <v>490</v>
      </c>
      <c r="AG216" s="64" t="s">
        <v>467</v>
      </c>
      <c r="AH216" s="64" t="s">
        <v>467</v>
      </c>
      <c r="AI216" s="66">
        <v>325.0</v>
      </c>
      <c r="AJ216" s="66">
        <v>28.4</v>
      </c>
      <c r="AK216" s="67">
        <v>9213.75</v>
      </c>
      <c r="AL216" s="63"/>
      <c r="AM216" s="63"/>
      <c r="AN216" s="64">
        <v>28.35</v>
      </c>
      <c r="AO216" s="64" t="s">
        <v>468</v>
      </c>
      <c r="AP216" s="63"/>
      <c r="AQ216" s="63"/>
      <c r="AR216" s="63"/>
      <c r="AS216" s="63"/>
      <c r="AT216" s="63"/>
      <c r="AU216" s="63"/>
      <c r="AV216" s="68"/>
      <c r="AW216" s="58" t="s">
        <v>512</v>
      </c>
      <c r="AX216" s="69">
        <v>9213.75</v>
      </c>
      <c r="AY216" s="70"/>
      <c r="AZ216" s="70"/>
      <c r="BA216" s="70"/>
      <c r="BB216" s="70"/>
      <c r="BC216" s="58" t="s">
        <v>469</v>
      </c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</row>
    <row r="217">
      <c r="A217" s="59">
        <v>45819.0</v>
      </c>
      <c r="B217" s="60" t="s">
        <v>451</v>
      </c>
      <c r="C217" s="61">
        <v>45819.0</v>
      </c>
      <c r="D217" s="61">
        <v>45819.0</v>
      </c>
      <c r="E217" s="60" t="s">
        <v>452</v>
      </c>
      <c r="F217" s="72" t="s">
        <v>989</v>
      </c>
      <c r="G217" s="63"/>
      <c r="H217" s="64" t="s">
        <v>521</v>
      </c>
      <c r="I217" s="64" t="s">
        <v>615</v>
      </c>
      <c r="J217" s="64" t="s">
        <v>456</v>
      </c>
      <c r="K217" s="64" t="s">
        <v>456</v>
      </c>
      <c r="L217" s="66">
        <v>22.0</v>
      </c>
      <c r="M217" s="66">
        <v>22.0</v>
      </c>
      <c r="N217" s="66" t="s">
        <v>457</v>
      </c>
      <c r="O217" s="66">
        <v>24.0</v>
      </c>
      <c r="P217" s="75">
        <v>2.44E8</v>
      </c>
      <c r="Q217" s="66" t="s">
        <v>459</v>
      </c>
      <c r="R217" s="66" t="s">
        <v>459</v>
      </c>
      <c r="S217" s="66">
        <v>186.0</v>
      </c>
      <c r="T217" s="66">
        <v>2046.0</v>
      </c>
      <c r="U217" s="66">
        <v>186.0</v>
      </c>
      <c r="V217" s="64">
        <v>2046.0</v>
      </c>
      <c r="W217" s="64">
        <v>2046.0</v>
      </c>
      <c r="X217" s="76" t="s">
        <v>460</v>
      </c>
      <c r="Y217" s="64" t="s">
        <v>461</v>
      </c>
      <c r="Z217" s="64" t="s">
        <v>462</v>
      </c>
      <c r="AA217" s="64" t="s">
        <v>463</v>
      </c>
      <c r="AB217" s="60" t="s">
        <v>464</v>
      </c>
      <c r="AC217" s="60" t="s">
        <v>451</v>
      </c>
      <c r="AD217" s="66" t="s">
        <v>544</v>
      </c>
      <c r="AE217" s="66" t="s">
        <v>545</v>
      </c>
      <c r="AF217" s="66" t="s">
        <v>546</v>
      </c>
      <c r="AG217" s="64" t="s">
        <v>467</v>
      </c>
      <c r="AH217" s="64" t="s">
        <v>467</v>
      </c>
      <c r="AI217" s="64">
        <v>440.0</v>
      </c>
      <c r="AJ217" s="64">
        <v>21.5</v>
      </c>
      <c r="AK217" s="67">
        <v>9460.0</v>
      </c>
      <c r="AL217" s="63"/>
      <c r="AM217" s="63"/>
      <c r="AN217" s="64">
        <v>21.5</v>
      </c>
      <c r="AO217" s="64" t="s">
        <v>468</v>
      </c>
      <c r="AP217" s="63"/>
      <c r="AQ217" s="63"/>
      <c r="AR217" s="63"/>
      <c r="AS217" s="63"/>
      <c r="AT217" s="63"/>
      <c r="AU217" s="63"/>
      <c r="AV217" s="63"/>
      <c r="AW217" s="58" t="s">
        <v>512</v>
      </c>
      <c r="AX217" s="69">
        <v>9460.0</v>
      </c>
      <c r="AY217" s="70"/>
      <c r="AZ217" s="70"/>
      <c r="BA217" s="70"/>
      <c r="BB217" s="70"/>
      <c r="BC217" s="58" t="s">
        <v>469</v>
      </c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</row>
    <row r="218">
      <c r="A218" s="59">
        <v>45819.0</v>
      </c>
      <c r="B218" s="60" t="s">
        <v>451</v>
      </c>
      <c r="C218" s="61">
        <v>45819.0</v>
      </c>
      <c r="D218" s="61">
        <v>45819.0</v>
      </c>
      <c r="E218" s="60" t="s">
        <v>452</v>
      </c>
      <c r="F218" s="71" t="s">
        <v>990</v>
      </c>
      <c r="G218" s="63"/>
      <c r="H218" s="66" t="s">
        <v>472</v>
      </c>
      <c r="I218" s="64" t="s">
        <v>590</v>
      </c>
      <c r="J218" s="64" t="s">
        <v>456</v>
      </c>
      <c r="K218" s="64" t="s">
        <v>456</v>
      </c>
      <c r="L218" s="66">
        <v>22.0</v>
      </c>
      <c r="M218" s="66">
        <v>22.0</v>
      </c>
      <c r="N218" s="66" t="s">
        <v>457</v>
      </c>
      <c r="O218" s="66">
        <v>24.0</v>
      </c>
      <c r="P218" s="75">
        <v>2.44E8</v>
      </c>
      <c r="Q218" s="64" t="s">
        <v>459</v>
      </c>
      <c r="R218" s="64" t="s">
        <v>459</v>
      </c>
      <c r="S218" s="64">
        <v>152.0</v>
      </c>
      <c r="T218" s="64">
        <v>1672.0</v>
      </c>
      <c r="U218" s="64">
        <v>152.0</v>
      </c>
      <c r="V218" s="66">
        <v>1672.0</v>
      </c>
      <c r="W218" s="66">
        <v>1672.0</v>
      </c>
      <c r="X218" s="79" t="s">
        <v>460</v>
      </c>
      <c r="Y218" s="64" t="s">
        <v>461</v>
      </c>
      <c r="Z218" s="64" t="s">
        <v>462</v>
      </c>
      <c r="AA218" s="64" t="s">
        <v>463</v>
      </c>
      <c r="AB218" s="60" t="s">
        <v>464</v>
      </c>
      <c r="AC218" s="60" t="s">
        <v>451</v>
      </c>
      <c r="AD218" s="60" t="s">
        <v>765</v>
      </c>
      <c r="AE218" s="64" t="s">
        <v>663</v>
      </c>
      <c r="AF218" s="64" t="s">
        <v>663</v>
      </c>
      <c r="AG218" s="64" t="s">
        <v>467</v>
      </c>
      <c r="AH218" s="64" t="s">
        <v>467</v>
      </c>
      <c r="AI218" s="64">
        <v>330.0</v>
      </c>
      <c r="AJ218" s="64">
        <v>21.5</v>
      </c>
      <c r="AK218" s="67">
        <v>7095.0</v>
      </c>
      <c r="AL218" s="63"/>
      <c r="AM218" s="63"/>
      <c r="AN218" s="64">
        <v>21.5</v>
      </c>
      <c r="AO218" s="64" t="s">
        <v>468</v>
      </c>
      <c r="AP218" s="63"/>
      <c r="AQ218" s="63"/>
      <c r="AR218" s="63"/>
      <c r="AS218" s="63"/>
      <c r="AT218" s="63"/>
      <c r="AU218" s="63"/>
      <c r="AV218" s="63"/>
      <c r="AW218" s="58" t="s">
        <v>512</v>
      </c>
      <c r="AX218" s="69">
        <v>7095.0</v>
      </c>
      <c r="AY218" s="70"/>
      <c r="AZ218" s="70"/>
      <c r="BA218" s="70"/>
      <c r="BB218" s="70"/>
      <c r="BC218" s="58" t="s">
        <v>469</v>
      </c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/>
      <c r="BR218" s="58"/>
    </row>
    <row r="219">
      <c r="A219" s="59">
        <v>45819.0</v>
      </c>
      <c r="B219" s="60" t="s">
        <v>451</v>
      </c>
      <c r="C219" s="61">
        <v>45819.0</v>
      </c>
      <c r="D219" s="61">
        <v>45819.0</v>
      </c>
      <c r="E219" s="60" t="s">
        <v>452</v>
      </c>
      <c r="F219" s="72" t="s">
        <v>991</v>
      </c>
      <c r="G219" s="63"/>
      <c r="H219" s="64" t="s">
        <v>521</v>
      </c>
      <c r="I219" s="64" t="s">
        <v>619</v>
      </c>
      <c r="J219" s="64" t="s">
        <v>456</v>
      </c>
      <c r="K219" s="64" t="s">
        <v>456</v>
      </c>
      <c r="L219" s="66">
        <v>22.0</v>
      </c>
      <c r="M219" s="66">
        <v>22.0</v>
      </c>
      <c r="N219" s="66" t="s">
        <v>457</v>
      </c>
      <c r="O219" s="66">
        <v>24.0</v>
      </c>
      <c r="P219" s="64" t="s">
        <v>992</v>
      </c>
      <c r="Q219" s="64" t="s">
        <v>459</v>
      </c>
      <c r="R219" s="64" t="s">
        <v>459</v>
      </c>
      <c r="S219" s="64">
        <v>169.0</v>
      </c>
      <c r="T219" s="64">
        <v>1859.0</v>
      </c>
      <c r="U219" s="64">
        <v>169.0</v>
      </c>
      <c r="V219" s="64">
        <v>1859.0</v>
      </c>
      <c r="W219" s="64">
        <v>1859.0</v>
      </c>
      <c r="X219" s="76" t="s">
        <v>460</v>
      </c>
      <c r="Y219" s="64" t="s">
        <v>461</v>
      </c>
      <c r="Z219" s="64" t="s">
        <v>462</v>
      </c>
      <c r="AA219" s="64" t="s">
        <v>463</v>
      </c>
      <c r="AB219" s="60" t="s">
        <v>464</v>
      </c>
      <c r="AC219" s="60" t="s">
        <v>451</v>
      </c>
      <c r="AD219" s="66" t="s">
        <v>678</v>
      </c>
      <c r="AE219" s="66" t="s">
        <v>643</v>
      </c>
      <c r="AF219" s="66" t="s">
        <v>643</v>
      </c>
      <c r="AG219" s="64" t="s">
        <v>467</v>
      </c>
      <c r="AH219" s="64" t="s">
        <v>467</v>
      </c>
      <c r="AI219" s="64">
        <v>805.0</v>
      </c>
      <c r="AJ219" s="64">
        <v>21.5</v>
      </c>
      <c r="AK219" s="67">
        <v>17307.5</v>
      </c>
      <c r="AL219" s="63"/>
      <c r="AM219" s="63"/>
      <c r="AN219" s="64">
        <v>21.5</v>
      </c>
      <c r="AO219" s="66" t="s">
        <v>468</v>
      </c>
      <c r="AP219" s="63"/>
      <c r="AQ219" s="63"/>
      <c r="AR219" s="63"/>
      <c r="AS219" s="63"/>
      <c r="AT219" s="63"/>
      <c r="AU219" s="63"/>
      <c r="AV219" s="68"/>
      <c r="AW219" s="58" t="s">
        <v>512</v>
      </c>
      <c r="AX219" s="69">
        <v>17307.5</v>
      </c>
      <c r="AY219" s="70"/>
      <c r="AZ219" s="70"/>
      <c r="BA219" s="70"/>
      <c r="BB219" s="70"/>
      <c r="BC219" s="58" t="s">
        <v>469</v>
      </c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/>
      <c r="BR219" s="58"/>
    </row>
    <row r="220">
      <c r="A220" s="59">
        <v>45819.0</v>
      </c>
      <c r="B220" s="60" t="s">
        <v>451</v>
      </c>
      <c r="C220" s="61">
        <v>45819.0</v>
      </c>
      <c r="D220" s="61">
        <v>45819.0</v>
      </c>
      <c r="E220" s="60" t="s">
        <v>452</v>
      </c>
      <c r="F220" s="71" t="s">
        <v>993</v>
      </c>
      <c r="G220" s="63"/>
      <c r="H220" s="66" t="s">
        <v>521</v>
      </c>
      <c r="I220" s="64" t="s">
        <v>769</v>
      </c>
      <c r="J220" s="64" t="s">
        <v>456</v>
      </c>
      <c r="K220" s="64" t="s">
        <v>456</v>
      </c>
      <c r="L220" s="66">
        <v>22.0</v>
      </c>
      <c r="M220" s="66">
        <v>22.0</v>
      </c>
      <c r="N220" s="66" t="s">
        <v>457</v>
      </c>
      <c r="O220" s="66">
        <v>24.0</v>
      </c>
      <c r="P220" s="64" t="s">
        <v>994</v>
      </c>
      <c r="Q220" s="64" t="s">
        <v>459</v>
      </c>
      <c r="R220" s="64" t="s">
        <v>459</v>
      </c>
      <c r="S220" s="64">
        <v>299.0</v>
      </c>
      <c r="T220" s="64">
        <v>3289.0</v>
      </c>
      <c r="U220" s="64">
        <v>299.0</v>
      </c>
      <c r="V220" s="64">
        <v>3289.0</v>
      </c>
      <c r="W220" s="64">
        <v>3289.0</v>
      </c>
      <c r="X220" s="76" t="s">
        <v>460</v>
      </c>
      <c r="Y220" s="64" t="s">
        <v>461</v>
      </c>
      <c r="Z220" s="64" t="s">
        <v>462</v>
      </c>
      <c r="AA220" s="64" t="s">
        <v>463</v>
      </c>
      <c r="AB220" s="60" t="s">
        <v>464</v>
      </c>
      <c r="AC220" s="60" t="s">
        <v>451</v>
      </c>
      <c r="AD220" s="66" t="s">
        <v>678</v>
      </c>
      <c r="AE220" s="66" t="s">
        <v>643</v>
      </c>
      <c r="AF220" s="66" t="s">
        <v>643</v>
      </c>
      <c r="AG220" s="64" t="s">
        <v>467</v>
      </c>
      <c r="AH220" s="64" t="s">
        <v>467</v>
      </c>
      <c r="AI220" s="64">
        <v>805.0</v>
      </c>
      <c r="AJ220" s="64">
        <v>23.5</v>
      </c>
      <c r="AK220" s="67">
        <v>18917.5</v>
      </c>
      <c r="AL220" s="63"/>
      <c r="AM220" s="63"/>
      <c r="AN220" s="64">
        <v>23.5</v>
      </c>
      <c r="AO220" s="66" t="s">
        <v>468</v>
      </c>
      <c r="AP220" s="63"/>
      <c r="AQ220" s="63"/>
      <c r="AR220" s="63"/>
      <c r="AS220" s="63"/>
      <c r="AT220" s="63"/>
      <c r="AU220" s="63"/>
      <c r="AV220" s="68"/>
      <c r="AW220" s="58" t="s">
        <v>512</v>
      </c>
      <c r="AX220" s="69">
        <v>18917.5</v>
      </c>
      <c r="AY220" s="70"/>
      <c r="AZ220" s="70"/>
      <c r="BA220" s="70"/>
      <c r="BB220" s="70"/>
      <c r="BC220" s="58" t="s">
        <v>469</v>
      </c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</row>
    <row r="221">
      <c r="A221" s="59">
        <v>45819.0</v>
      </c>
      <c r="B221" s="60" t="s">
        <v>451</v>
      </c>
      <c r="C221" s="61">
        <v>45819.0</v>
      </c>
      <c r="D221" s="61">
        <v>45819.0</v>
      </c>
      <c r="E221" s="60" t="s">
        <v>452</v>
      </c>
      <c r="F221" s="71" t="s">
        <v>995</v>
      </c>
      <c r="G221" s="63"/>
      <c r="H221" s="64" t="s">
        <v>771</v>
      </c>
      <c r="I221" s="64" t="s">
        <v>772</v>
      </c>
      <c r="J221" s="64" t="s">
        <v>456</v>
      </c>
      <c r="K221" s="64" t="s">
        <v>456</v>
      </c>
      <c r="L221" s="66">
        <v>22.0</v>
      </c>
      <c r="M221" s="66">
        <v>22.0</v>
      </c>
      <c r="N221" s="66" t="s">
        <v>457</v>
      </c>
      <c r="O221" s="66">
        <v>24.0</v>
      </c>
      <c r="P221" s="64" t="s">
        <v>996</v>
      </c>
      <c r="Q221" s="66" t="s">
        <v>459</v>
      </c>
      <c r="R221" s="66" t="s">
        <v>459</v>
      </c>
      <c r="S221" s="66">
        <v>208.0</v>
      </c>
      <c r="T221" s="66">
        <v>2288.0</v>
      </c>
      <c r="U221" s="66">
        <v>208.0</v>
      </c>
      <c r="V221" s="64">
        <v>2288.0</v>
      </c>
      <c r="W221" s="64">
        <v>2288.0</v>
      </c>
      <c r="X221" s="76" t="s">
        <v>460</v>
      </c>
      <c r="Y221" s="64" t="s">
        <v>461</v>
      </c>
      <c r="Z221" s="64" t="s">
        <v>462</v>
      </c>
      <c r="AA221" s="64" t="s">
        <v>463</v>
      </c>
      <c r="AB221" s="60" t="s">
        <v>464</v>
      </c>
      <c r="AC221" s="60" t="s">
        <v>451</v>
      </c>
      <c r="AD221" s="60" t="s">
        <v>561</v>
      </c>
      <c r="AE221" s="64" t="s">
        <v>562</v>
      </c>
      <c r="AF221" s="64" t="s">
        <v>562</v>
      </c>
      <c r="AG221" s="64" t="s">
        <v>467</v>
      </c>
      <c r="AH221" s="64" t="s">
        <v>467</v>
      </c>
      <c r="AI221" s="60">
        <v>325.0</v>
      </c>
      <c r="AJ221" s="64">
        <v>21.5</v>
      </c>
      <c r="AK221" s="67">
        <v>6987.5</v>
      </c>
      <c r="AL221" s="63"/>
      <c r="AM221" s="63"/>
      <c r="AN221" s="64">
        <v>21.5</v>
      </c>
      <c r="AO221" s="64" t="s">
        <v>468</v>
      </c>
      <c r="AP221" s="63"/>
      <c r="AQ221" s="63"/>
      <c r="AR221" s="63"/>
      <c r="AS221" s="63"/>
      <c r="AT221" s="63"/>
      <c r="AU221" s="63"/>
      <c r="AV221" s="63"/>
      <c r="AW221" s="58" t="s">
        <v>512</v>
      </c>
      <c r="AX221" s="69">
        <v>6987.5</v>
      </c>
      <c r="AY221" s="70"/>
      <c r="AZ221" s="70"/>
      <c r="BA221" s="70"/>
      <c r="BB221" s="70"/>
      <c r="BC221" s="58" t="s">
        <v>469</v>
      </c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</row>
    <row r="222">
      <c r="A222" s="59">
        <v>45819.0</v>
      </c>
      <c r="B222" s="60" t="s">
        <v>451</v>
      </c>
      <c r="C222" s="61">
        <v>45819.0</v>
      </c>
      <c r="D222" s="61">
        <v>45819.0</v>
      </c>
      <c r="E222" s="60" t="s">
        <v>452</v>
      </c>
      <c r="F222" s="72" t="s">
        <v>997</v>
      </c>
      <c r="G222" s="63"/>
      <c r="H222" s="66" t="s">
        <v>771</v>
      </c>
      <c r="I222" s="64" t="s">
        <v>775</v>
      </c>
      <c r="J222" s="64" t="s">
        <v>456</v>
      </c>
      <c r="K222" s="64" t="s">
        <v>456</v>
      </c>
      <c r="L222" s="66">
        <v>22.0</v>
      </c>
      <c r="M222" s="66">
        <v>22.0</v>
      </c>
      <c r="N222" s="66" t="s">
        <v>457</v>
      </c>
      <c r="O222" s="66">
        <v>24.0</v>
      </c>
      <c r="P222" s="64" t="s">
        <v>998</v>
      </c>
      <c r="Q222" s="64" t="s">
        <v>459</v>
      </c>
      <c r="R222" s="64" t="s">
        <v>459</v>
      </c>
      <c r="S222" s="64">
        <v>206.0</v>
      </c>
      <c r="T222" s="64">
        <v>2266.0</v>
      </c>
      <c r="U222" s="64">
        <v>206.0</v>
      </c>
      <c r="V222" s="66">
        <v>2266.0</v>
      </c>
      <c r="W222" s="66">
        <v>2266.0</v>
      </c>
      <c r="X222" s="79" t="s">
        <v>460</v>
      </c>
      <c r="Y222" s="64" t="s">
        <v>461</v>
      </c>
      <c r="Z222" s="64" t="s">
        <v>462</v>
      </c>
      <c r="AA222" s="64" t="s">
        <v>463</v>
      </c>
      <c r="AB222" s="60" t="s">
        <v>464</v>
      </c>
      <c r="AC222" s="60" t="s">
        <v>451</v>
      </c>
      <c r="AD222" s="64" t="s">
        <v>566</v>
      </c>
      <c r="AE222" s="64" t="s">
        <v>567</v>
      </c>
      <c r="AF222" s="64" t="s">
        <v>567</v>
      </c>
      <c r="AG222" s="64" t="s">
        <v>467</v>
      </c>
      <c r="AH222" s="64" t="s">
        <v>467</v>
      </c>
      <c r="AI222" s="64">
        <v>475.0</v>
      </c>
      <c r="AJ222" s="66">
        <v>21.5</v>
      </c>
      <c r="AK222" s="67">
        <v>10212.5</v>
      </c>
      <c r="AL222" s="63"/>
      <c r="AM222" s="63"/>
      <c r="AN222" s="64">
        <v>21.5</v>
      </c>
      <c r="AO222" s="64" t="s">
        <v>468</v>
      </c>
      <c r="AP222" s="63"/>
      <c r="AQ222" s="63"/>
      <c r="AR222" s="63"/>
      <c r="AS222" s="63"/>
      <c r="AT222" s="63"/>
      <c r="AU222" s="63"/>
      <c r="AV222" s="63"/>
      <c r="AW222" s="58" t="s">
        <v>512</v>
      </c>
      <c r="AX222" s="69">
        <v>10212.5</v>
      </c>
      <c r="AY222" s="70"/>
      <c r="AZ222" s="70"/>
      <c r="BA222" s="70"/>
      <c r="BB222" s="70"/>
      <c r="BC222" s="58" t="s">
        <v>469</v>
      </c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</row>
    <row r="223">
      <c r="A223" s="59">
        <v>45819.0</v>
      </c>
      <c r="B223" s="60" t="s">
        <v>451</v>
      </c>
      <c r="C223" s="61">
        <v>45819.0</v>
      </c>
      <c r="D223" s="61">
        <v>45819.0</v>
      </c>
      <c r="E223" s="60" t="s">
        <v>452</v>
      </c>
      <c r="F223" s="71" t="s">
        <v>999</v>
      </c>
      <c r="G223" s="63"/>
      <c r="H223" s="64" t="s">
        <v>492</v>
      </c>
      <c r="I223" s="64" t="s">
        <v>569</v>
      </c>
      <c r="J223" s="64" t="s">
        <v>456</v>
      </c>
      <c r="K223" s="64" t="s">
        <v>456</v>
      </c>
      <c r="L223" s="66">
        <v>22.0</v>
      </c>
      <c r="M223" s="66">
        <v>22.0</v>
      </c>
      <c r="N223" s="66" t="s">
        <v>457</v>
      </c>
      <c r="O223" s="66">
        <v>24.0</v>
      </c>
      <c r="P223" s="64" t="s">
        <v>1000</v>
      </c>
      <c r="Q223" s="66" t="s">
        <v>459</v>
      </c>
      <c r="R223" s="66" t="s">
        <v>459</v>
      </c>
      <c r="S223" s="66">
        <v>230.0</v>
      </c>
      <c r="T223" s="66">
        <v>2530.0</v>
      </c>
      <c r="U223" s="66">
        <v>230.0</v>
      </c>
      <c r="V223" s="64">
        <v>2530.0</v>
      </c>
      <c r="W223" s="64">
        <v>2530.0</v>
      </c>
      <c r="X223" s="76" t="s">
        <v>460</v>
      </c>
      <c r="Y223" s="64" t="s">
        <v>461</v>
      </c>
      <c r="Z223" s="64" t="s">
        <v>462</v>
      </c>
      <c r="AA223" s="64" t="s">
        <v>463</v>
      </c>
      <c r="AB223" s="60" t="s">
        <v>464</v>
      </c>
      <c r="AC223" s="60" t="s">
        <v>451</v>
      </c>
      <c r="AD223" s="64" t="s">
        <v>571</v>
      </c>
      <c r="AE223" s="66" t="s">
        <v>572</v>
      </c>
      <c r="AF223" s="66" t="s">
        <v>572</v>
      </c>
      <c r="AG223" s="64" t="s">
        <v>467</v>
      </c>
      <c r="AH223" s="64" t="s">
        <v>467</v>
      </c>
      <c r="AI223" s="66">
        <v>655.0</v>
      </c>
      <c r="AJ223" s="66">
        <v>21.5</v>
      </c>
      <c r="AK223" s="67">
        <v>14082.5</v>
      </c>
      <c r="AL223" s="63"/>
      <c r="AM223" s="63"/>
      <c r="AN223" s="64">
        <v>21.5</v>
      </c>
      <c r="AO223" s="60" t="s">
        <v>468</v>
      </c>
      <c r="AP223" s="63"/>
      <c r="AQ223" s="63"/>
      <c r="AR223" s="63"/>
      <c r="AS223" s="63"/>
      <c r="AT223" s="63"/>
      <c r="AU223" s="63"/>
      <c r="AV223" s="68"/>
      <c r="AW223" s="58" t="s">
        <v>512</v>
      </c>
      <c r="AX223" s="69">
        <v>14082.5</v>
      </c>
      <c r="AY223" s="70"/>
      <c r="AZ223" s="70"/>
      <c r="BA223" s="70"/>
      <c r="BB223" s="70"/>
      <c r="BC223" s="58" t="s">
        <v>469</v>
      </c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</row>
    <row r="224">
      <c r="A224" s="59">
        <v>45819.0</v>
      </c>
      <c r="B224" s="60" t="s">
        <v>451</v>
      </c>
      <c r="C224" s="61">
        <v>45819.0</v>
      </c>
      <c r="D224" s="61">
        <v>45819.0</v>
      </c>
      <c r="E224" s="60" t="s">
        <v>452</v>
      </c>
      <c r="F224" s="72" t="s">
        <v>1001</v>
      </c>
      <c r="G224" s="63"/>
      <c r="H224" s="66" t="s">
        <v>472</v>
      </c>
      <c r="I224" s="64" t="s">
        <v>632</v>
      </c>
      <c r="J224" s="64" t="s">
        <v>456</v>
      </c>
      <c r="K224" s="64" t="s">
        <v>456</v>
      </c>
      <c r="L224" s="66">
        <v>22.0</v>
      </c>
      <c r="M224" s="66">
        <v>22.0</v>
      </c>
      <c r="N224" s="66" t="s">
        <v>457</v>
      </c>
      <c r="O224" s="66">
        <v>24.0</v>
      </c>
      <c r="P224" s="64" t="s">
        <v>1002</v>
      </c>
      <c r="Q224" s="64" t="s">
        <v>459</v>
      </c>
      <c r="R224" s="64" t="s">
        <v>459</v>
      </c>
      <c r="S224" s="64">
        <v>187.0</v>
      </c>
      <c r="T224" s="64">
        <v>2057.0</v>
      </c>
      <c r="U224" s="64">
        <v>187.0</v>
      </c>
      <c r="V224" s="66">
        <v>2057.0</v>
      </c>
      <c r="W224" s="66">
        <v>2057.0</v>
      </c>
      <c r="X224" s="79" t="s">
        <v>460</v>
      </c>
      <c r="Y224" s="64" t="s">
        <v>461</v>
      </c>
      <c r="Z224" s="64" t="s">
        <v>462</v>
      </c>
      <c r="AA224" s="64" t="s">
        <v>463</v>
      </c>
      <c r="AB224" s="60" t="s">
        <v>464</v>
      </c>
      <c r="AC224" s="60" t="s">
        <v>451</v>
      </c>
      <c r="AD224" s="66" t="s">
        <v>577</v>
      </c>
      <c r="AE224" s="64" t="s">
        <v>578</v>
      </c>
      <c r="AF224" s="64" t="s">
        <v>578</v>
      </c>
      <c r="AG224" s="64" t="s">
        <v>467</v>
      </c>
      <c r="AH224" s="64" t="s">
        <v>467</v>
      </c>
      <c r="AI224" s="66">
        <v>396.0</v>
      </c>
      <c r="AJ224" s="64">
        <v>21.5</v>
      </c>
      <c r="AK224" s="67">
        <v>8514.0</v>
      </c>
      <c r="AL224" s="63"/>
      <c r="AM224" s="63"/>
      <c r="AN224" s="64">
        <v>21.5</v>
      </c>
      <c r="AO224" s="64" t="s">
        <v>468</v>
      </c>
      <c r="AP224" s="63"/>
      <c r="AQ224" s="63"/>
      <c r="AR224" s="63"/>
      <c r="AS224" s="63"/>
      <c r="AT224" s="63"/>
      <c r="AU224" s="63"/>
      <c r="AV224" s="63"/>
      <c r="AW224" s="58" t="s">
        <v>512</v>
      </c>
      <c r="AX224" s="69">
        <v>8514.0</v>
      </c>
      <c r="AY224" s="70"/>
      <c r="AZ224" s="70"/>
      <c r="BA224" s="70"/>
      <c r="BB224" s="70"/>
      <c r="BC224" s="58" t="s">
        <v>469</v>
      </c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</row>
    <row r="225">
      <c r="A225" s="59">
        <v>45819.0</v>
      </c>
      <c r="B225" s="60" t="s">
        <v>451</v>
      </c>
      <c r="C225" s="61">
        <v>45819.0</v>
      </c>
      <c r="D225" s="61">
        <v>45819.0</v>
      </c>
      <c r="E225" s="60" t="s">
        <v>452</v>
      </c>
      <c r="F225" s="72" t="s">
        <v>1003</v>
      </c>
      <c r="G225" s="63"/>
      <c r="H225" s="64" t="s">
        <v>472</v>
      </c>
      <c r="I225" s="64" t="s">
        <v>636</v>
      </c>
      <c r="J225" s="64" t="s">
        <v>456</v>
      </c>
      <c r="K225" s="64" t="s">
        <v>456</v>
      </c>
      <c r="L225" s="66">
        <v>22.0</v>
      </c>
      <c r="M225" s="66">
        <v>22.0</v>
      </c>
      <c r="N225" s="66" t="s">
        <v>457</v>
      </c>
      <c r="O225" s="66">
        <v>24.0</v>
      </c>
      <c r="P225" s="64" t="s">
        <v>1004</v>
      </c>
      <c r="Q225" s="66" t="s">
        <v>459</v>
      </c>
      <c r="R225" s="66" t="s">
        <v>459</v>
      </c>
      <c r="S225" s="66">
        <v>175.0</v>
      </c>
      <c r="T225" s="66">
        <v>1925.0</v>
      </c>
      <c r="U225" s="66">
        <v>175.0</v>
      </c>
      <c r="V225" s="64">
        <v>1925.0</v>
      </c>
      <c r="W225" s="64">
        <v>1925.0</v>
      </c>
      <c r="X225" s="76" t="s">
        <v>460</v>
      </c>
      <c r="Y225" s="64" t="s">
        <v>461</v>
      </c>
      <c r="Z225" s="64" t="s">
        <v>462</v>
      </c>
      <c r="AA225" s="64" t="s">
        <v>463</v>
      </c>
      <c r="AB225" s="60" t="s">
        <v>464</v>
      </c>
      <c r="AC225" s="60" t="s">
        <v>451</v>
      </c>
      <c r="AD225" s="64" t="s">
        <v>583</v>
      </c>
      <c r="AE225" s="64" t="s">
        <v>584</v>
      </c>
      <c r="AF225" s="64" t="s">
        <v>584</v>
      </c>
      <c r="AG225" s="64" t="s">
        <v>467</v>
      </c>
      <c r="AH225" s="64" t="s">
        <v>467</v>
      </c>
      <c r="AI225" s="66">
        <v>510.0</v>
      </c>
      <c r="AJ225" s="66">
        <v>21.5</v>
      </c>
      <c r="AK225" s="67">
        <v>10965.0</v>
      </c>
      <c r="AL225" s="63"/>
      <c r="AM225" s="63"/>
      <c r="AN225" s="64">
        <v>21.5</v>
      </c>
      <c r="AO225" s="64" t="s">
        <v>468</v>
      </c>
      <c r="AP225" s="63"/>
      <c r="AQ225" s="63"/>
      <c r="AR225" s="63"/>
      <c r="AS225" s="63"/>
      <c r="AT225" s="63"/>
      <c r="AU225" s="63"/>
      <c r="AV225" s="68"/>
      <c r="AW225" s="58" t="s">
        <v>512</v>
      </c>
      <c r="AX225" s="69">
        <v>10965.0</v>
      </c>
      <c r="AY225" s="70"/>
      <c r="AZ225" s="70"/>
      <c r="BA225" s="70"/>
      <c r="BB225" s="70"/>
      <c r="BC225" s="58" t="s">
        <v>469</v>
      </c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</row>
    <row r="226">
      <c r="A226" s="59">
        <v>45820.0</v>
      </c>
      <c r="B226" s="60" t="s">
        <v>451</v>
      </c>
      <c r="C226" s="61">
        <v>45820.0</v>
      </c>
      <c r="D226" s="61">
        <v>45820.0</v>
      </c>
      <c r="E226" s="60" t="s">
        <v>452</v>
      </c>
      <c r="F226" s="72" t="s">
        <v>1005</v>
      </c>
      <c r="G226" s="77"/>
      <c r="H226" s="66" t="s">
        <v>454</v>
      </c>
      <c r="I226" s="66" t="s">
        <v>706</v>
      </c>
      <c r="J226" s="66" t="s">
        <v>456</v>
      </c>
      <c r="K226" s="66" t="s">
        <v>456</v>
      </c>
      <c r="L226" s="66">
        <v>22.0</v>
      </c>
      <c r="M226" s="66">
        <v>22.0</v>
      </c>
      <c r="N226" s="66" t="s">
        <v>457</v>
      </c>
      <c r="O226" s="66">
        <v>24.0</v>
      </c>
      <c r="P226" s="66" t="s">
        <v>1006</v>
      </c>
      <c r="Q226" s="64" t="s">
        <v>459</v>
      </c>
      <c r="R226" s="64" t="s">
        <v>459</v>
      </c>
      <c r="S226" s="64">
        <v>337.0</v>
      </c>
      <c r="T226" s="64">
        <v>3707.0</v>
      </c>
      <c r="U226" s="64">
        <v>337.0</v>
      </c>
      <c r="V226" s="66">
        <v>3707.0</v>
      </c>
      <c r="W226" s="66">
        <v>3707.0</v>
      </c>
      <c r="X226" s="79" t="s">
        <v>460</v>
      </c>
      <c r="Y226" s="66" t="s">
        <v>461</v>
      </c>
      <c r="Z226" s="66" t="s">
        <v>462</v>
      </c>
      <c r="AA226" s="66" t="s">
        <v>463</v>
      </c>
      <c r="AB226" s="66" t="s">
        <v>464</v>
      </c>
      <c r="AC226" s="66" t="s">
        <v>451</v>
      </c>
      <c r="AD226" s="64" t="s">
        <v>465</v>
      </c>
      <c r="AE226" s="64" t="s">
        <v>466</v>
      </c>
      <c r="AF226" s="64" t="s">
        <v>466</v>
      </c>
      <c r="AG226" s="64" t="s">
        <v>467</v>
      </c>
      <c r="AH226" s="64" t="s">
        <v>467</v>
      </c>
      <c r="AI226" s="66">
        <v>735.0</v>
      </c>
      <c r="AJ226" s="66">
        <v>21.5</v>
      </c>
      <c r="AK226" s="67">
        <v>15802.5</v>
      </c>
      <c r="AL226" s="63"/>
      <c r="AM226" s="63"/>
      <c r="AN226" s="64">
        <v>21.5</v>
      </c>
      <c r="AO226" s="60" t="s">
        <v>468</v>
      </c>
      <c r="AP226" s="63"/>
      <c r="AQ226" s="63"/>
      <c r="AR226" s="63"/>
      <c r="AS226" s="63"/>
      <c r="AT226" s="63"/>
      <c r="AU226" s="63"/>
      <c r="AV226" s="68"/>
      <c r="AW226" s="58" t="s">
        <v>512</v>
      </c>
      <c r="AX226" s="69">
        <v>15802.5</v>
      </c>
      <c r="AY226" s="70"/>
      <c r="AZ226" s="70"/>
      <c r="BA226" s="70"/>
      <c r="BB226" s="70"/>
      <c r="BC226" s="58" t="s">
        <v>469</v>
      </c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</row>
    <row r="227">
      <c r="A227" s="59">
        <v>45820.0</v>
      </c>
      <c r="B227" s="60" t="s">
        <v>451</v>
      </c>
      <c r="C227" s="61">
        <v>45820.0</v>
      </c>
      <c r="D227" s="61">
        <v>45820.0</v>
      </c>
      <c r="E227" s="60" t="s">
        <v>452</v>
      </c>
      <c r="F227" s="72" t="s">
        <v>1007</v>
      </c>
      <c r="G227" s="77"/>
      <c r="H227" s="66" t="s">
        <v>472</v>
      </c>
      <c r="I227" s="66" t="s">
        <v>629</v>
      </c>
      <c r="J227" s="66" t="s">
        <v>456</v>
      </c>
      <c r="K227" s="66" t="s">
        <v>456</v>
      </c>
      <c r="L227" s="66">
        <v>22.0</v>
      </c>
      <c r="M227" s="66">
        <v>22.0</v>
      </c>
      <c r="N227" s="66" t="s">
        <v>457</v>
      </c>
      <c r="O227" s="66">
        <v>24.0</v>
      </c>
      <c r="P227" s="66" t="s">
        <v>1008</v>
      </c>
      <c r="Q227" s="64" t="s">
        <v>459</v>
      </c>
      <c r="R227" s="64" t="s">
        <v>459</v>
      </c>
      <c r="S227" s="64">
        <v>224.0</v>
      </c>
      <c r="T227" s="64">
        <v>2464.0</v>
      </c>
      <c r="U227" s="64">
        <v>224.0</v>
      </c>
      <c r="V227" s="66">
        <v>2464.0</v>
      </c>
      <c r="W227" s="66">
        <v>2464.0</v>
      </c>
      <c r="X227" s="79" t="s">
        <v>460</v>
      </c>
      <c r="Y227" s="66" t="s">
        <v>461</v>
      </c>
      <c r="Z227" s="66" t="s">
        <v>462</v>
      </c>
      <c r="AA227" s="66" t="s">
        <v>463</v>
      </c>
      <c r="AB227" s="66" t="s">
        <v>464</v>
      </c>
      <c r="AC227" s="66" t="s">
        <v>451</v>
      </c>
      <c r="AD227" s="60" t="s">
        <v>475</v>
      </c>
      <c r="AE227" s="64" t="s">
        <v>476</v>
      </c>
      <c r="AF227" s="64" t="s">
        <v>476</v>
      </c>
      <c r="AG227" s="64" t="s">
        <v>467</v>
      </c>
      <c r="AH227" s="64" t="s">
        <v>467</v>
      </c>
      <c r="AI227" s="64">
        <v>650.0</v>
      </c>
      <c r="AJ227" s="66">
        <v>21.5</v>
      </c>
      <c r="AK227" s="67">
        <v>13975.0</v>
      </c>
      <c r="AL227" s="63"/>
      <c r="AM227" s="63"/>
      <c r="AN227" s="64">
        <v>21.5</v>
      </c>
      <c r="AO227" s="64" t="s">
        <v>468</v>
      </c>
      <c r="AP227" s="63"/>
      <c r="AQ227" s="63"/>
      <c r="AR227" s="63"/>
      <c r="AS227" s="63"/>
      <c r="AT227" s="63"/>
      <c r="AU227" s="63"/>
      <c r="AV227" s="63"/>
      <c r="AW227" s="58" t="s">
        <v>512</v>
      </c>
      <c r="AX227" s="69">
        <v>13975.0</v>
      </c>
      <c r="AY227" s="70"/>
      <c r="AZ227" s="70"/>
      <c r="BA227" s="70"/>
      <c r="BB227" s="70"/>
      <c r="BC227" s="58" t="s">
        <v>469</v>
      </c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</row>
    <row r="228">
      <c r="A228" s="59">
        <v>45820.0</v>
      </c>
      <c r="B228" s="60" t="s">
        <v>451</v>
      </c>
      <c r="C228" s="61">
        <v>45820.0</v>
      </c>
      <c r="D228" s="61">
        <v>45820.0</v>
      </c>
      <c r="E228" s="60" t="s">
        <v>452</v>
      </c>
      <c r="F228" s="71" t="s">
        <v>1009</v>
      </c>
      <c r="G228" s="63"/>
      <c r="H228" s="64" t="s">
        <v>472</v>
      </c>
      <c r="I228" s="64" t="s">
        <v>779</v>
      </c>
      <c r="J228" s="64" t="s">
        <v>456</v>
      </c>
      <c r="K228" s="64" t="s">
        <v>456</v>
      </c>
      <c r="L228" s="64">
        <v>22.0</v>
      </c>
      <c r="M228" s="64">
        <v>22.0</v>
      </c>
      <c r="N228" s="64" t="s">
        <v>457</v>
      </c>
      <c r="O228" s="64">
        <v>24.0</v>
      </c>
      <c r="P228" s="64" t="s">
        <v>1010</v>
      </c>
      <c r="Q228" s="66" t="s">
        <v>459</v>
      </c>
      <c r="R228" s="66" t="s">
        <v>459</v>
      </c>
      <c r="S228" s="66">
        <v>251.0</v>
      </c>
      <c r="T228" s="66">
        <v>2761.0</v>
      </c>
      <c r="U228" s="66">
        <v>251.0</v>
      </c>
      <c r="V228" s="64">
        <v>2761.0</v>
      </c>
      <c r="W228" s="64">
        <v>2761.0</v>
      </c>
      <c r="X228" s="76" t="s">
        <v>460</v>
      </c>
      <c r="Y228" s="64" t="s">
        <v>461</v>
      </c>
      <c r="Z228" s="64" t="s">
        <v>462</v>
      </c>
      <c r="AA228" s="64" t="s">
        <v>463</v>
      </c>
      <c r="AB228" s="64" t="s">
        <v>464</v>
      </c>
      <c r="AC228" s="64" t="s">
        <v>451</v>
      </c>
      <c r="AD228" s="64" t="s">
        <v>481</v>
      </c>
      <c r="AE228" s="66" t="s">
        <v>482</v>
      </c>
      <c r="AF228" s="66" t="s">
        <v>482</v>
      </c>
      <c r="AG228" s="64" t="s">
        <v>467</v>
      </c>
      <c r="AH228" s="64" t="s">
        <v>467</v>
      </c>
      <c r="AI228" s="64">
        <v>655.0</v>
      </c>
      <c r="AJ228" s="64">
        <v>21.5</v>
      </c>
      <c r="AK228" s="67">
        <v>14082.5</v>
      </c>
      <c r="AL228" s="63"/>
      <c r="AM228" s="63"/>
      <c r="AN228" s="64">
        <v>21.5</v>
      </c>
      <c r="AO228" s="64" t="s">
        <v>468</v>
      </c>
      <c r="AP228" s="63"/>
      <c r="AQ228" s="63"/>
      <c r="AR228" s="63"/>
      <c r="AS228" s="63"/>
      <c r="AT228" s="63"/>
      <c r="AU228" s="63"/>
      <c r="AV228" s="68"/>
      <c r="AW228" s="58" t="s">
        <v>512</v>
      </c>
      <c r="AX228" s="69">
        <v>14082.5</v>
      </c>
      <c r="AY228" s="70"/>
      <c r="AZ228" s="70"/>
      <c r="BA228" s="70"/>
      <c r="BB228" s="70"/>
      <c r="BC228" s="58" t="s">
        <v>469</v>
      </c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</row>
    <row r="229">
      <c r="A229" s="59">
        <v>45820.0</v>
      </c>
      <c r="B229" s="60" t="s">
        <v>451</v>
      </c>
      <c r="C229" s="61">
        <v>45820.0</v>
      </c>
      <c r="D229" s="61">
        <v>45820.0</v>
      </c>
      <c r="E229" s="60" t="s">
        <v>452</v>
      </c>
      <c r="F229" s="72" t="s">
        <v>1011</v>
      </c>
      <c r="G229" s="77"/>
      <c r="H229" s="66" t="s">
        <v>472</v>
      </c>
      <c r="I229" s="66" t="s">
        <v>891</v>
      </c>
      <c r="J229" s="66" t="s">
        <v>486</v>
      </c>
      <c r="K229" s="66" t="s">
        <v>486</v>
      </c>
      <c r="L229" s="66">
        <v>22.0</v>
      </c>
      <c r="M229" s="66">
        <v>22.0</v>
      </c>
      <c r="N229" s="66" t="s">
        <v>457</v>
      </c>
      <c r="O229" s="66">
        <v>24.0</v>
      </c>
      <c r="P229" s="66" t="s">
        <v>1012</v>
      </c>
      <c r="Q229" s="64" t="s">
        <v>459</v>
      </c>
      <c r="R229" s="64" t="s">
        <v>459</v>
      </c>
      <c r="S229" s="64">
        <v>175.0</v>
      </c>
      <c r="T229" s="64">
        <v>1925.0</v>
      </c>
      <c r="U229" s="64">
        <v>175.0</v>
      </c>
      <c r="V229" s="66">
        <v>1925.0</v>
      </c>
      <c r="W229" s="66">
        <v>1925.0</v>
      </c>
      <c r="X229" s="79" t="s">
        <v>460</v>
      </c>
      <c r="Y229" s="66" t="s">
        <v>461</v>
      </c>
      <c r="Z229" s="66" t="s">
        <v>462</v>
      </c>
      <c r="AA229" s="66" t="s">
        <v>463</v>
      </c>
      <c r="AB229" s="66" t="s">
        <v>464</v>
      </c>
      <c r="AC229" s="66" t="s">
        <v>451</v>
      </c>
      <c r="AD229" s="64" t="s">
        <v>488</v>
      </c>
      <c r="AE229" s="64" t="s">
        <v>489</v>
      </c>
      <c r="AF229" s="64" t="s">
        <v>489</v>
      </c>
      <c r="AG229" s="64" t="s">
        <v>467</v>
      </c>
      <c r="AH229" s="64" t="s">
        <v>467</v>
      </c>
      <c r="AI229" s="64">
        <v>760.0</v>
      </c>
      <c r="AJ229" s="64">
        <v>23.5</v>
      </c>
      <c r="AK229" s="67">
        <v>17860.0</v>
      </c>
      <c r="AL229" s="63"/>
      <c r="AM229" s="63"/>
      <c r="AN229" s="64">
        <v>23.5</v>
      </c>
      <c r="AO229" s="60" t="s">
        <v>468</v>
      </c>
      <c r="AP229" s="63"/>
      <c r="AQ229" s="63"/>
      <c r="AR229" s="63"/>
      <c r="AS229" s="63"/>
      <c r="AT229" s="63"/>
      <c r="AU229" s="63"/>
      <c r="AV229" s="63"/>
      <c r="AW229" s="58" t="s">
        <v>512</v>
      </c>
      <c r="AX229" s="69">
        <v>17860.0</v>
      </c>
      <c r="AY229" s="70"/>
      <c r="AZ229" s="70"/>
      <c r="BA229" s="70"/>
      <c r="BB229" s="70"/>
      <c r="BC229" s="58" t="s">
        <v>469</v>
      </c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</row>
    <row r="230">
      <c r="A230" s="59">
        <v>45820.0</v>
      </c>
      <c r="B230" s="60" t="s">
        <v>451</v>
      </c>
      <c r="C230" s="61">
        <v>45820.0</v>
      </c>
      <c r="D230" s="61">
        <v>45820.0</v>
      </c>
      <c r="E230" s="60" t="s">
        <v>452</v>
      </c>
      <c r="F230" s="71" t="s">
        <v>1013</v>
      </c>
      <c r="G230" s="63"/>
      <c r="H230" s="64" t="s">
        <v>492</v>
      </c>
      <c r="I230" s="64" t="s">
        <v>593</v>
      </c>
      <c r="J230" s="64" t="s">
        <v>456</v>
      </c>
      <c r="K230" s="64" t="s">
        <v>456</v>
      </c>
      <c r="L230" s="64">
        <v>28.0</v>
      </c>
      <c r="M230" s="64">
        <v>28.0</v>
      </c>
      <c r="N230" s="64" t="s">
        <v>457</v>
      </c>
      <c r="O230" s="64">
        <v>24.0</v>
      </c>
      <c r="P230" s="64" t="s">
        <v>1014</v>
      </c>
      <c r="Q230" s="66" t="s">
        <v>459</v>
      </c>
      <c r="R230" s="66" t="s">
        <v>459</v>
      </c>
      <c r="S230" s="66">
        <v>494.0</v>
      </c>
      <c r="T230" s="66">
        <v>5434.0</v>
      </c>
      <c r="U230" s="66">
        <v>494.0</v>
      </c>
      <c r="V230" s="64">
        <v>5434.0</v>
      </c>
      <c r="W230" s="64">
        <v>5434.0</v>
      </c>
      <c r="X230" s="76" t="s">
        <v>460</v>
      </c>
      <c r="Y230" s="64" t="s">
        <v>461</v>
      </c>
      <c r="Z230" s="64" t="s">
        <v>462</v>
      </c>
      <c r="AA230" s="64" t="s">
        <v>463</v>
      </c>
      <c r="AB230" s="64" t="s">
        <v>464</v>
      </c>
      <c r="AC230" s="64" t="s">
        <v>451</v>
      </c>
      <c r="AD230" s="64" t="s">
        <v>495</v>
      </c>
      <c r="AE230" s="64" t="s">
        <v>496</v>
      </c>
      <c r="AF230" s="64" t="s">
        <v>496</v>
      </c>
      <c r="AG230" s="64" t="s">
        <v>467</v>
      </c>
      <c r="AH230" s="64" t="s">
        <v>467</v>
      </c>
      <c r="AI230" s="64">
        <v>570.0</v>
      </c>
      <c r="AJ230" s="60">
        <v>23.5</v>
      </c>
      <c r="AK230" s="67">
        <v>13395.0</v>
      </c>
      <c r="AL230" s="63"/>
      <c r="AM230" s="63"/>
      <c r="AN230" s="64">
        <v>23.5</v>
      </c>
      <c r="AO230" s="64" t="s">
        <v>468</v>
      </c>
      <c r="AP230" s="63"/>
      <c r="AQ230" s="63"/>
      <c r="AR230" s="63"/>
      <c r="AS230" s="63"/>
      <c r="AT230" s="63"/>
      <c r="AU230" s="63"/>
      <c r="AV230" s="63"/>
      <c r="AW230" s="58" t="s">
        <v>512</v>
      </c>
      <c r="AX230" s="69">
        <v>13395.0</v>
      </c>
      <c r="AY230" s="70"/>
      <c r="AZ230" s="70"/>
      <c r="BA230" s="70"/>
      <c r="BB230" s="70"/>
      <c r="BC230" s="58" t="s">
        <v>469</v>
      </c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</row>
    <row r="231">
      <c r="A231" s="59">
        <v>45820.0</v>
      </c>
      <c r="B231" s="60" t="s">
        <v>451</v>
      </c>
      <c r="C231" s="61">
        <v>45820.0</v>
      </c>
      <c r="D231" s="61">
        <v>45820.0</v>
      </c>
      <c r="E231" s="60" t="s">
        <v>452</v>
      </c>
      <c r="F231" s="72" t="s">
        <v>1015</v>
      </c>
      <c r="G231" s="77"/>
      <c r="H231" s="66" t="s">
        <v>498</v>
      </c>
      <c r="I231" s="66" t="s">
        <v>865</v>
      </c>
      <c r="J231" s="66" t="s">
        <v>456</v>
      </c>
      <c r="K231" s="66" t="s">
        <v>456</v>
      </c>
      <c r="L231" s="66">
        <v>22.0</v>
      </c>
      <c r="M231" s="66">
        <v>22.0</v>
      </c>
      <c r="N231" s="66" t="s">
        <v>457</v>
      </c>
      <c r="O231" s="66">
        <v>24.0</v>
      </c>
      <c r="P231" s="66" t="s">
        <v>1016</v>
      </c>
      <c r="Q231" s="64" t="s">
        <v>459</v>
      </c>
      <c r="R231" s="64" t="s">
        <v>459</v>
      </c>
      <c r="S231" s="64">
        <v>217.0</v>
      </c>
      <c r="T231" s="64">
        <v>2387.0</v>
      </c>
      <c r="U231" s="64">
        <v>217.0</v>
      </c>
      <c r="V231" s="66">
        <v>2387.0</v>
      </c>
      <c r="W231" s="66">
        <v>2387.0</v>
      </c>
      <c r="X231" s="79" t="s">
        <v>460</v>
      </c>
      <c r="Y231" s="66" t="s">
        <v>461</v>
      </c>
      <c r="Z231" s="66" t="s">
        <v>462</v>
      </c>
      <c r="AA231" s="66" t="s">
        <v>463</v>
      </c>
      <c r="AB231" s="66" t="s">
        <v>464</v>
      </c>
      <c r="AC231" s="66" t="s">
        <v>451</v>
      </c>
      <c r="AD231" s="64" t="s">
        <v>501</v>
      </c>
      <c r="AE231" s="64" t="s">
        <v>470</v>
      </c>
      <c r="AF231" s="64" t="s">
        <v>470</v>
      </c>
      <c r="AG231" s="64" t="s">
        <v>467</v>
      </c>
      <c r="AH231" s="64" t="s">
        <v>467</v>
      </c>
      <c r="AI231" s="64">
        <v>380.0</v>
      </c>
      <c r="AJ231" s="64">
        <v>21.5</v>
      </c>
      <c r="AK231" s="67">
        <v>8170.0</v>
      </c>
      <c r="AL231" s="63"/>
      <c r="AM231" s="63"/>
      <c r="AN231" s="64">
        <v>21.5</v>
      </c>
      <c r="AO231" s="64" t="s">
        <v>468</v>
      </c>
      <c r="AP231" s="63"/>
      <c r="AQ231" s="63"/>
      <c r="AR231" s="63"/>
      <c r="AS231" s="63"/>
      <c r="AT231" s="63"/>
      <c r="AU231" s="63"/>
      <c r="AV231" s="68"/>
      <c r="AW231" s="58" t="s">
        <v>512</v>
      </c>
      <c r="AX231" s="69">
        <v>8170.0</v>
      </c>
      <c r="AY231" s="70"/>
      <c r="AZ231" s="70"/>
      <c r="BA231" s="70"/>
      <c r="BB231" s="70"/>
      <c r="BC231" s="58" t="s">
        <v>469</v>
      </c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</row>
    <row r="232">
      <c r="A232" s="59">
        <v>45820.0</v>
      </c>
      <c r="B232" s="60" t="s">
        <v>451</v>
      </c>
      <c r="C232" s="61">
        <v>45820.0</v>
      </c>
      <c r="D232" s="61">
        <v>45820.0</v>
      </c>
      <c r="E232" s="60" t="s">
        <v>452</v>
      </c>
      <c r="F232" s="71" t="s">
        <v>1017</v>
      </c>
      <c r="G232" s="63"/>
      <c r="H232" s="64" t="s">
        <v>454</v>
      </c>
      <c r="I232" s="64" t="s">
        <v>485</v>
      </c>
      <c r="J232" s="64" t="s">
        <v>486</v>
      </c>
      <c r="K232" s="64" t="s">
        <v>486</v>
      </c>
      <c r="L232" s="64">
        <v>22.0</v>
      </c>
      <c r="M232" s="64">
        <v>22.0</v>
      </c>
      <c r="N232" s="64" t="s">
        <v>457</v>
      </c>
      <c r="O232" s="64">
        <v>24.0</v>
      </c>
      <c r="P232" s="64" t="s">
        <v>1018</v>
      </c>
      <c r="Q232" s="66" t="s">
        <v>459</v>
      </c>
      <c r="R232" s="66" t="s">
        <v>459</v>
      </c>
      <c r="S232" s="66">
        <v>69.0</v>
      </c>
      <c r="T232" s="66">
        <v>759.0</v>
      </c>
      <c r="U232" s="66">
        <v>69.0</v>
      </c>
      <c r="V232" s="64">
        <v>759.0</v>
      </c>
      <c r="W232" s="64">
        <v>759.0</v>
      </c>
      <c r="X232" s="76" t="s">
        <v>460</v>
      </c>
      <c r="Y232" s="64" t="s">
        <v>461</v>
      </c>
      <c r="Z232" s="64" t="s">
        <v>462</v>
      </c>
      <c r="AA232" s="64" t="s">
        <v>463</v>
      </c>
      <c r="AB232" s="64" t="s">
        <v>464</v>
      </c>
      <c r="AC232" s="64" t="s">
        <v>451</v>
      </c>
      <c r="AD232" s="60" t="s">
        <v>715</v>
      </c>
      <c r="AE232" s="60" t="s">
        <v>519</v>
      </c>
      <c r="AF232" s="64" t="s">
        <v>513</v>
      </c>
      <c r="AG232" s="64" t="s">
        <v>467</v>
      </c>
      <c r="AH232" s="64" t="s">
        <v>467</v>
      </c>
      <c r="AI232" s="64">
        <v>780.0</v>
      </c>
      <c r="AJ232" s="64">
        <v>23.5</v>
      </c>
      <c r="AK232" s="67">
        <v>18330.0</v>
      </c>
      <c r="AL232" s="63"/>
      <c r="AM232" s="63"/>
      <c r="AN232" s="64">
        <v>23.5</v>
      </c>
      <c r="AO232" s="64" t="s">
        <v>468</v>
      </c>
      <c r="AP232" s="63"/>
      <c r="AQ232" s="63"/>
      <c r="AR232" s="63"/>
      <c r="AS232" s="63"/>
      <c r="AT232" s="63"/>
      <c r="AU232" s="63"/>
      <c r="AV232" s="63"/>
      <c r="AW232" s="58" t="s">
        <v>512</v>
      </c>
      <c r="AX232" s="69">
        <v>18330.0</v>
      </c>
      <c r="AY232" s="70"/>
      <c r="AZ232" s="70"/>
      <c r="BA232" s="70"/>
      <c r="BB232" s="70"/>
      <c r="BC232" s="58" t="s">
        <v>469</v>
      </c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</row>
    <row r="233">
      <c r="A233" s="59">
        <v>45820.0</v>
      </c>
      <c r="B233" s="60" t="s">
        <v>451</v>
      </c>
      <c r="C233" s="61">
        <v>45820.0</v>
      </c>
      <c r="D233" s="61">
        <v>45820.0</v>
      </c>
      <c r="E233" s="60" t="s">
        <v>452</v>
      </c>
      <c r="F233" s="72" t="s">
        <v>1019</v>
      </c>
      <c r="G233" s="77"/>
      <c r="H233" s="66" t="s">
        <v>492</v>
      </c>
      <c r="I233" s="66" t="s">
        <v>793</v>
      </c>
      <c r="J233" s="66" t="s">
        <v>456</v>
      </c>
      <c r="K233" s="66" t="s">
        <v>456</v>
      </c>
      <c r="L233" s="66">
        <v>22.0</v>
      </c>
      <c r="M233" s="66">
        <v>22.0</v>
      </c>
      <c r="N233" s="66" t="s">
        <v>457</v>
      </c>
      <c r="O233" s="66">
        <v>24.0</v>
      </c>
      <c r="P233" s="66" t="s">
        <v>1020</v>
      </c>
      <c r="Q233" s="64" t="s">
        <v>459</v>
      </c>
      <c r="R233" s="64" t="s">
        <v>459</v>
      </c>
      <c r="S233" s="64">
        <v>192.0</v>
      </c>
      <c r="T233" s="64">
        <v>2112.0</v>
      </c>
      <c r="U233" s="64">
        <v>192.0</v>
      </c>
      <c r="V233" s="66">
        <v>2112.0</v>
      </c>
      <c r="W233" s="66">
        <v>2112.0</v>
      </c>
      <c r="X233" s="79" t="s">
        <v>460</v>
      </c>
      <c r="Y233" s="66" t="s">
        <v>461</v>
      </c>
      <c r="Z233" s="66" t="s">
        <v>462</v>
      </c>
      <c r="AA233" s="66" t="s">
        <v>463</v>
      </c>
      <c r="AB233" s="66" t="s">
        <v>464</v>
      </c>
      <c r="AC233" s="66" t="s">
        <v>451</v>
      </c>
      <c r="AD233" s="64" t="s">
        <v>601</v>
      </c>
      <c r="AE233" s="64" t="s">
        <v>547</v>
      </c>
      <c r="AF233" s="64" t="s">
        <v>547</v>
      </c>
      <c r="AG233" s="64" t="s">
        <v>467</v>
      </c>
      <c r="AH233" s="64" t="s">
        <v>467</v>
      </c>
      <c r="AI233" s="64">
        <v>770.0</v>
      </c>
      <c r="AJ233" s="64">
        <v>21.5</v>
      </c>
      <c r="AK233" s="67">
        <v>16555.0</v>
      </c>
      <c r="AL233" s="63"/>
      <c r="AM233" s="63"/>
      <c r="AN233" s="64">
        <v>21.5</v>
      </c>
      <c r="AO233" s="64" t="s">
        <v>468</v>
      </c>
      <c r="AP233" s="63"/>
      <c r="AQ233" s="63"/>
      <c r="AR233" s="63"/>
      <c r="AS233" s="63"/>
      <c r="AT233" s="63"/>
      <c r="AU233" s="63"/>
      <c r="AV233" s="63"/>
      <c r="AW233" s="58" t="s">
        <v>512</v>
      </c>
      <c r="AX233" s="69">
        <v>16555.0</v>
      </c>
      <c r="AY233" s="70"/>
      <c r="AZ233" s="70"/>
      <c r="BA233" s="70"/>
      <c r="BB233" s="70"/>
      <c r="BC233" s="58" t="s">
        <v>469</v>
      </c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</row>
    <row r="234">
      <c r="A234" s="59">
        <v>45820.0</v>
      </c>
      <c r="B234" s="60" t="s">
        <v>451</v>
      </c>
      <c r="C234" s="61">
        <v>45820.0</v>
      </c>
      <c r="D234" s="61">
        <v>45820.0</v>
      </c>
      <c r="E234" s="60" t="s">
        <v>452</v>
      </c>
      <c r="F234" s="71" t="s">
        <v>1021</v>
      </c>
      <c r="G234" s="63"/>
      <c r="H234" s="64" t="s">
        <v>504</v>
      </c>
      <c r="I234" s="64" t="s">
        <v>603</v>
      </c>
      <c r="J234" s="64" t="s">
        <v>456</v>
      </c>
      <c r="K234" s="64" t="s">
        <v>456</v>
      </c>
      <c r="L234" s="64">
        <v>22.0</v>
      </c>
      <c r="M234" s="64">
        <v>22.0</v>
      </c>
      <c r="N234" s="64" t="s">
        <v>457</v>
      </c>
      <c r="O234" s="64">
        <v>24.0</v>
      </c>
      <c r="P234" s="64" t="s">
        <v>1022</v>
      </c>
      <c r="Q234" s="66" t="s">
        <v>459</v>
      </c>
      <c r="R234" s="66" t="s">
        <v>459</v>
      </c>
      <c r="S234" s="66">
        <v>198.0</v>
      </c>
      <c r="T234" s="66">
        <v>2178.0</v>
      </c>
      <c r="U234" s="66">
        <v>198.0</v>
      </c>
      <c r="V234" s="64">
        <v>2178.0</v>
      </c>
      <c r="W234" s="64">
        <v>2178.0</v>
      </c>
      <c r="X234" s="76" t="s">
        <v>460</v>
      </c>
      <c r="Y234" s="64" t="s">
        <v>461</v>
      </c>
      <c r="Z234" s="64" t="s">
        <v>462</v>
      </c>
      <c r="AA234" s="64" t="s">
        <v>463</v>
      </c>
      <c r="AB234" s="64" t="s">
        <v>464</v>
      </c>
      <c r="AC234" s="64" t="s">
        <v>451</v>
      </c>
      <c r="AD234" s="66" t="s">
        <v>507</v>
      </c>
      <c r="AE234" s="64" t="s">
        <v>508</v>
      </c>
      <c r="AF234" s="64" t="s">
        <v>509</v>
      </c>
      <c r="AG234" s="64" t="s">
        <v>467</v>
      </c>
      <c r="AH234" s="64" t="s">
        <v>467</v>
      </c>
      <c r="AI234" s="66">
        <v>790.0</v>
      </c>
      <c r="AJ234" s="66">
        <v>21.5</v>
      </c>
      <c r="AK234" s="67">
        <v>16985.0</v>
      </c>
      <c r="AL234" s="63"/>
      <c r="AM234" s="63"/>
      <c r="AN234" s="64">
        <v>21.5</v>
      </c>
      <c r="AO234" s="64" t="s">
        <v>468</v>
      </c>
      <c r="AP234" s="63"/>
      <c r="AQ234" s="63"/>
      <c r="AR234" s="63"/>
      <c r="AS234" s="73">
        <v>0.5</v>
      </c>
      <c r="AT234" s="64">
        <v>8492.5</v>
      </c>
      <c r="AU234" s="60" t="s">
        <v>510</v>
      </c>
      <c r="AV234" s="74" t="s">
        <v>511</v>
      </c>
      <c r="AW234" s="58" t="s">
        <v>512</v>
      </c>
      <c r="AX234" s="69">
        <v>8492.5</v>
      </c>
      <c r="AY234" s="70"/>
      <c r="AZ234" s="70"/>
      <c r="BA234" s="69">
        <v>8492.5</v>
      </c>
      <c r="BB234" s="70"/>
      <c r="BC234" s="58" t="s">
        <v>469</v>
      </c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</row>
    <row r="235">
      <c r="A235" s="59">
        <v>45820.0</v>
      </c>
      <c r="B235" s="60" t="s">
        <v>451</v>
      </c>
      <c r="C235" s="61">
        <v>45820.0</v>
      </c>
      <c r="D235" s="61">
        <v>45820.0</v>
      </c>
      <c r="E235" s="60" t="s">
        <v>452</v>
      </c>
      <c r="F235" s="71" t="s">
        <v>1023</v>
      </c>
      <c r="G235" s="77"/>
      <c r="H235" s="66" t="s">
        <v>504</v>
      </c>
      <c r="I235" s="66" t="s">
        <v>606</v>
      </c>
      <c r="J235" s="66" t="s">
        <v>456</v>
      </c>
      <c r="K235" s="66" t="s">
        <v>456</v>
      </c>
      <c r="L235" s="66">
        <v>22.0</v>
      </c>
      <c r="M235" s="66">
        <v>22.0</v>
      </c>
      <c r="N235" s="66" t="s">
        <v>457</v>
      </c>
      <c r="O235" s="66">
        <v>24.0</v>
      </c>
      <c r="P235" s="66" t="s">
        <v>1024</v>
      </c>
      <c r="Q235" s="64" t="s">
        <v>459</v>
      </c>
      <c r="R235" s="64" t="s">
        <v>459</v>
      </c>
      <c r="S235" s="64">
        <v>204.0</v>
      </c>
      <c r="T235" s="64">
        <v>2244.0</v>
      </c>
      <c r="U235" s="64">
        <v>204.0</v>
      </c>
      <c r="V235" s="66">
        <v>2244.0</v>
      </c>
      <c r="W235" s="66">
        <v>2244.0</v>
      </c>
      <c r="X235" s="79" t="s">
        <v>460</v>
      </c>
      <c r="Y235" s="66" t="s">
        <v>461</v>
      </c>
      <c r="Z235" s="66" t="s">
        <v>462</v>
      </c>
      <c r="AA235" s="66" t="s">
        <v>463</v>
      </c>
      <c r="AB235" s="66" t="s">
        <v>464</v>
      </c>
      <c r="AC235" s="66" t="s">
        <v>451</v>
      </c>
      <c r="AD235" s="64" t="s">
        <v>517</v>
      </c>
      <c r="AE235" s="64" t="s">
        <v>518</v>
      </c>
      <c r="AF235" s="64" t="s">
        <v>518</v>
      </c>
      <c r="AG235" s="64" t="s">
        <v>467</v>
      </c>
      <c r="AH235" s="64" t="s">
        <v>467</v>
      </c>
      <c r="AI235" s="64">
        <v>815.0</v>
      </c>
      <c r="AJ235" s="64">
        <v>21.5</v>
      </c>
      <c r="AK235" s="67">
        <v>17522.5</v>
      </c>
      <c r="AL235" s="63"/>
      <c r="AM235" s="63"/>
      <c r="AN235" s="64">
        <v>21.5</v>
      </c>
      <c r="AO235" s="64" t="s">
        <v>468</v>
      </c>
      <c r="AP235" s="63"/>
      <c r="AQ235" s="63"/>
      <c r="AR235" s="63"/>
      <c r="AS235" s="63"/>
      <c r="AT235" s="63"/>
      <c r="AU235" s="63"/>
      <c r="AV235" s="68"/>
      <c r="AW235" s="58" t="s">
        <v>512</v>
      </c>
      <c r="AX235" s="69">
        <v>17522.5</v>
      </c>
      <c r="AY235" s="70"/>
      <c r="AZ235" s="70"/>
      <c r="BA235" s="70"/>
      <c r="BB235" s="70"/>
      <c r="BC235" s="58" t="s">
        <v>469</v>
      </c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</row>
    <row r="236">
      <c r="A236" s="59">
        <v>45820.0</v>
      </c>
      <c r="B236" s="60" t="s">
        <v>451</v>
      </c>
      <c r="C236" s="61">
        <v>45820.0</v>
      </c>
      <c r="D236" s="61">
        <v>45820.0</v>
      </c>
      <c r="E236" s="60" t="s">
        <v>452</v>
      </c>
      <c r="F236" s="71" t="s">
        <v>1025</v>
      </c>
      <c r="G236" s="63"/>
      <c r="H236" s="64" t="s">
        <v>521</v>
      </c>
      <c r="I236" s="64" t="s">
        <v>608</v>
      </c>
      <c r="J236" s="64" t="s">
        <v>456</v>
      </c>
      <c r="K236" s="64" t="s">
        <v>456</v>
      </c>
      <c r="L236" s="64">
        <v>22.0</v>
      </c>
      <c r="M236" s="64">
        <v>22.0</v>
      </c>
      <c r="N236" s="64" t="s">
        <v>457</v>
      </c>
      <c r="O236" s="64">
        <v>24.0</v>
      </c>
      <c r="P236" s="64" t="s">
        <v>1026</v>
      </c>
      <c r="Q236" s="66" t="s">
        <v>459</v>
      </c>
      <c r="R236" s="66" t="s">
        <v>459</v>
      </c>
      <c r="S236" s="66">
        <v>265.0</v>
      </c>
      <c r="T236" s="66">
        <v>2915.0</v>
      </c>
      <c r="U236" s="66">
        <v>265.0</v>
      </c>
      <c r="V236" s="64">
        <v>2915.0</v>
      </c>
      <c r="W236" s="64">
        <v>2915.0</v>
      </c>
      <c r="X236" s="76" t="s">
        <v>460</v>
      </c>
      <c r="Y236" s="64" t="s">
        <v>461</v>
      </c>
      <c r="Z236" s="64" t="s">
        <v>462</v>
      </c>
      <c r="AA236" s="64" t="s">
        <v>463</v>
      </c>
      <c r="AB236" s="64" t="s">
        <v>464</v>
      </c>
      <c r="AC236" s="64" t="s">
        <v>451</v>
      </c>
      <c r="AD236" s="66" t="s">
        <v>524</v>
      </c>
      <c r="AE236" s="66" t="s">
        <v>483</v>
      </c>
      <c r="AF236" s="66" t="s">
        <v>483</v>
      </c>
      <c r="AG236" s="64" t="s">
        <v>467</v>
      </c>
      <c r="AH236" s="64" t="s">
        <v>467</v>
      </c>
      <c r="AI236" s="66">
        <v>600.0</v>
      </c>
      <c r="AJ236" s="66">
        <v>21.5</v>
      </c>
      <c r="AK236" s="67">
        <v>12900.0</v>
      </c>
      <c r="AL236" s="63"/>
      <c r="AM236" s="63"/>
      <c r="AN236" s="64">
        <v>21.5</v>
      </c>
      <c r="AO236" s="64" t="s">
        <v>468</v>
      </c>
      <c r="AP236" s="63"/>
      <c r="AQ236" s="63"/>
      <c r="AR236" s="63"/>
      <c r="AS236" s="63"/>
      <c r="AT236" s="63"/>
      <c r="AU236" s="63"/>
      <c r="AV236" s="68"/>
      <c r="AW236" s="58" t="s">
        <v>512</v>
      </c>
      <c r="AX236" s="69">
        <v>12900.0</v>
      </c>
      <c r="AY236" s="70"/>
      <c r="AZ236" s="70"/>
      <c r="BA236" s="70"/>
      <c r="BB236" s="70"/>
      <c r="BC236" s="58" t="s">
        <v>469</v>
      </c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</row>
    <row r="237">
      <c r="A237" s="59">
        <v>45820.0</v>
      </c>
      <c r="B237" s="60" t="s">
        <v>451</v>
      </c>
      <c r="C237" s="61">
        <v>45820.0</v>
      </c>
      <c r="D237" s="61">
        <v>45820.0</v>
      </c>
      <c r="E237" s="60" t="s">
        <v>452</v>
      </c>
      <c r="F237" s="72" t="s">
        <v>1027</v>
      </c>
      <c r="G237" s="77"/>
      <c r="H237" s="66" t="s">
        <v>492</v>
      </c>
      <c r="I237" s="66" t="s">
        <v>527</v>
      </c>
      <c r="J237" s="66" t="s">
        <v>456</v>
      </c>
      <c r="K237" s="66" t="s">
        <v>456</v>
      </c>
      <c r="L237" s="66">
        <v>22.0</v>
      </c>
      <c r="M237" s="66">
        <v>22.0</v>
      </c>
      <c r="N237" s="66" t="s">
        <v>457</v>
      </c>
      <c r="O237" s="66">
        <v>24.0</v>
      </c>
      <c r="P237" s="66" t="s">
        <v>1028</v>
      </c>
      <c r="Q237" s="64" t="s">
        <v>459</v>
      </c>
      <c r="R237" s="64" t="s">
        <v>459</v>
      </c>
      <c r="S237" s="64">
        <v>262.0</v>
      </c>
      <c r="T237" s="64">
        <v>2882.0</v>
      </c>
      <c r="U237" s="64">
        <v>262.0</v>
      </c>
      <c r="V237" s="66">
        <v>2882.0</v>
      </c>
      <c r="W237" s="66">
        <v>2882.0</v>
      </c>
      <c r="X237" s="79" t="s">
        <v>460</v>
      </c>
      <c r="Y237" s="66" t="s">
        <v>461</v>
      </c>
      <c r="Z237" s="66" t="s">
        <v>462</v>
      </c>
      <c r="AA237" s="66" t="s">
        <v>463</v>
      </c>
      <c r="AB237" s="66" t="s">
        <v>464</v>
      </c>
      <c r="AC237" s="66" t="s">
        <v>451</v>
      </c>
      <c r="AD237" s="60" t="s">
        <v>529</v>
      </c>
      <c r="AE237" s="64" t="s">
        <v>530</v>
      </c>
      <c r="AF237" s="64" t="s">
        <v>530</v>
      </c>
      <c r="AG237" s="64" t="s">
        <v>467</v>
      </c>
      <c r="AH237" s="64" t="s">
        <v>467</v>
      </c>
      <c r="AI237" s="66">
        <v>510.0</v>
      </c>
      <c r="AJ237" s="66">
        <v>21.5</v>
      </c>
      <c r="AK237" s="67">
        <v>10965.0</v>
      </c>
      <c r="AL237" s="63"/>
      <c r="AM237" s="63"/>
      <c r="AN237" s="64">
        <v>21.5</v>
      </c>
      <c r="AO237" s="64" t="s">
        <v>468</v>
      </c>
      <c r="AP237" s="63"/>
      <c r="AQ237" s="63"/>
      <c r="AR237" s="63"/>
      <c r="AS237" s="63"/>
      <c r="AT237" s="63"/>
      <c r="AU237" s="63"/>
      <c r="AV237" s="68"/>
      <c r="AW237" s="58" t="s">
        <v>512</v>
      </c>
      <c r="AX237" s="69">
        <v>10965.0</v>
      </c>
      <c r="AY237" s="70"/>
      <c r="AZ237" s="70"/>
      <c r="BA237" s="70"/>
      <c r="BB237" s="70"/>
      <c r="BC237" s="58" t="s">
        <v>469</v>
      </c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</row>
    <row r="238">
      <c r="A238" s="59">
        <v>45820.0</v>
      </c>
      <c r="B238" s="60" t="s">
        <v>451</v>
      </c>
      <c r="C238" s="61">
        <v>45820.0</v>
      </c>
      <c r="D238" s="61">
        <v>45820.0</v>
      </c>
      <c r="E238" s="60" t="s">
        <v>452</v>
      </c>
      <c r="F238" s="71" t="s">
        <v>1029</v>
      </c>
      <c r="G238" s="63"/>
      <c r="H238" s="64" t="s">
        <v>538</v>
      </c>
      <c r="I238" s="64" t="s">
        <v>539</v>
      </c>
      <c r="J238" s="64" t="s">
        <v>456</v>
      </c>
      <c r="K238" s="64" t="s">
        <v>456</v>
      </c>
      <c r="L238" s="64">
        <v>32.0</v>
      </c>
      <c r="M238" s="64">
        <v>32.0</v>
      </c>
      <c r="N238" s="64" t="s">
        <v>540</v>
      </c>
      <c r="O238" s="64">
        <v>24.0</v>
      </c>
      <c r="P238" s="64" t="s">
        <v>1030</v>
      </c>
      <c r="Q238" s="66" t="s">
        <v>459</v>
      </c>
      <c r="R238" s="66" t="s">
        <v>459</v>
      </c>
      <c r="S238" s="66">
        <v>157.0</v>
      </c>
      <c r="T238" s="66">
        <v>1727.0</v>
      </c>
      <c r="U238" s="66">
        <v>157.0</v>
      </c>
      <c r="V238" s="64">
        <v>1727.0</v>
      </c>
      <c r="W238" s="64">
        <v>1727.0</v>
      </c>
      <c r="X238" s="76" t="s">
        <v>460</v>
      </c>
      <c r="Y238" s="64" t="s">
        <v>461</v>
      </c>
      <c r="Z238" s="64" t="s">
        <v>462</v>
      </c>
      <c r="AA238" s="64" t="s">
        <v>463</v>
      </c>
      <c r="AB238" s="64" t="s">
        <v>464</v>
      </c>
      <c r="AC238" s="64" t="s">
        <v>451</v>
      </c>
      <c r="AD238" s="64" t="s">
        <v>541</v>
      </c>
      <c r="AE238" s="66" t="s">
        <v>490</v>
      </c>
      <c r="AF238" s="66" t="s">
        <v>490</v>
      </c>
      <c r="AG238" s="64" t="s">
        <v>467</v>
      </c>
      <c r="AH238" s="64" t="s">
        <v>467</v>
      </c>
      <c r="AI238" s="66">
        <v>325.0</v>
      </c>
      <c r="AJ238" s="66">
        <v>28.4</v>
      </c>
      <c r="AK238" s="67">
        <v>9213.75</v>
      </c>
      <c r="AL238" s="63"/>
      <c r="AM238" s="63"/>
      <c r="AN238" s="64">
        <v>28.35</v>
      </c>
      <c r="AO238" s="64" t="s">
        <v>468</v>
      </c>
      <c r="AP238" s="63"/>
      <c r="AQ238" s="63"/>
      <c r="AR238" s="63"/>
      <c r="AS238" s="63"/>
      <c r="AT238" s="63"/>
      <c r="AU238" s="63"/>
      <c r="AV238" s="68"/>
      <c r="AW238" s="58" t="s">
        <v>512</v>
      </c>
      <c r="AX238" s="69">
        <v>9213.75</v>
      </c>
      <c r="AY238" s="70"/>
      <c r="AZ238" s="70"/>
      <c r="BA238" s="70"/>
      <c r="BB238" s="70"/>
      <c r="BC238" s="58" t="s">
        <v>469</v>
      </c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</row>
    <row r="239">
      <c r="A239" s="59">
        <v>45820.0</v>
      </c>
      <c r="B239" s="60" t="s">
        <v>451</v>
      </c>
      <c r="C239" s="61">
        <v>45820.0</v>
      </c>
      <c r="D239" s="61">
        <v>45820.0</v>
      </c>
      <c r="E239" s="60" t="s">
        <v>452</v>
      </c>
      <c r="F239" s="71" t="s">
        <v>1031</v>
      </c>
      <c r="G239" s="77"/>
      <c r="H239" s="66" t="s">
        <v>521</v>
      </c>
      <c r="I239" s="66" t="s">
        <v>914</v>
      </c>
      <c r="J239" s="64" t="s">
        <v>486</v>
      </c>
      <c r="K239" s="64" t="s">
        <v>486</v>
      </c>
      <c r="L239" s="66">
        <v>22.0</v>
      </c>
      <c r="M239" s="66">
        <v>22.0</v>
      </c>
      <c r="N239" s="66" t="s">
        <v>457</v>
      </c>
      <c r="O239" s="66">
        <v>24.0</v>
      </c>
      <c r="P239" s="64" t="s">
        <v>1032</v>
      </c>
      <c r="Q239" s="64" t="s">
        <v>459</v>
      </c>
      <c r="R239" s="64" t="s">
        <v>459</v>
      </c>
      <c r="S239" s="64">
        <v>269.0</v>
      </c>
      <c r="T239" s="64">
        <v>2959.0</v>
      </c>
      <c r="U239" s="64">
        <v>269.0</v>
      </c>
      <c r="V239" s="64">
        <v>2959.0</v>
      </c>
      <c r="W239" s="64">
        <v>2959.0</v>
      </c>
      <c r="X239" s="76" t="s">
        <v>460</v>
      </c>
      <c r="Y239" s="64" t="s">
        <v>461</v>
      </c>
      <c r="Z239" s="64" t="s">
        <v>462</v>
      </c>
      <c r="AA239" s="64" t="s">
        <v>463</v>
      </c>
      <c r="AB239" s="66" t="s">
        <v>464</v>
      </c>
      <c r="AC239" s="64" t="s">
        <v>451</v>
      </c>
      <c r="AD239" s="66" t="s">
        <v>678</v>
      </c>
      <c r="AE239" s="66" t="s">
        <v>643</v>
      </c>
      <c r="AF239" s="66" t="s">
        <v>643</v>
      </c>
      <c r="AG239" s="64" t="s">
        <v>467</v>
      </c>
      <c r="AH239" s="64" t="s">
        <v>467</v>
      </c>
      <c r="AI239" s="64">
        <v>805.0</v>
      </c>
      <c r="AJ239" s="64">
        <v>23.5</v>
      </c>
      <c r="AK239" s="67">
        <v>18917.5</v>
      </c>
      <c r="AL239" s="63"/>
      <c r="AM239" s="63"/>
      <c r="AN239" s="64">
        <v>23.5</v>
      </c>
      <c r="AO239" s="66" t="s">
        <v>468</v>
      </c>
      <c r="AP239" s="63"/>
      <c r="AQ239" s="63"/>
      <c r="AR239" s="63"/>
      <c r="AS239" s="63"/>
      <c r="AT239" s="63"/>
      <c r="AU239" s="63"/>
      <c r="AV239" s="68"/>
      <c r="AW239" s="58" t="s">
        <v>512</v>
      </c>
      <c r="AX239" s="69">
        <v>18917.5</v>
      </c>
      <c r="AY239" s="70"/>
      <c r="AZ239" s="70"/>
      <c r="BA239" s="70"/>
      <c r="BB239" s="70"/>
      <c r="BC239" s="58" t="s">
        <v>469</v>
      </c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</row>
    <row r="240">
      <c r="A240" s="59">
        <v>45820.0</v>
      </c>
      <c r="B240" s="60" t="s">
        <v>451</v>
      </c>
      <c r="C240" s="61">
        <v>45820.0</v>
      </c>
      <c r="D240" s="61">
        <v>45820.0</v>
      </c>
      <c r="E240" s="60" t="s">
        <v>452</v>
      </c>
      <c r="F240" s="72" t="s">
        <v>1033</v>
      </c>
      <c r="G240" s="63"/>
      <c r="H240" s="64" t="s">
        <v>521</v>
      </c>
      <c r="I240" s="64" t="s">
        <v>615</v>
      </c>
      <c r="J240" s="64" t="s">
        <v>456</v>
      </c>
      <c r="K240" s="64" t="s">
        <v>456</v>
      </c>
      <c r="L240" s="66">
        <v>22.0</v>
      </c>
      <c r="M240" s="66">
        <v>22.0</v>
      </c>
      <c r="N240" s="66" t="s">
        <v>457</v>
      </c>
      <c r="O240" s="66">
        <v>24.0</v>
      </c>
      <c r="P240" s="64" t="s">
        <v>1034</v>
      </c>
      <c r="Q240" s="64" t="s">
        <v>459</v>
      </c>
      <c r="R240" s="64" t="s">
        <v>459</v>
      </c>
      <c r="S240" s="64">
        <v>154.0</v>
      </c>
      <c r="T240" s="64">
        <v>1694.0</v>
      </c>
      <c r="U240" s="64">
        <v>154.0</v>
      </c>
      <c r="V240" s="64">
        <v>1694.0</v>
      </c>
      <c r="W240" s="64">
        <v>1694.0</v>
      </c>
      <c r="X240" s="76" t="s">
        <v>460</v>
      </c>
      <c r="Y240" s="64" t="s">
        <v>461</v>
      </c>
      <c r="Z240" s="64" t="s">
        <v>462</v>
      </c>
      <c r="AA240" s="64" t="s">
        <v>463</v>
      </c>
      <c r="AB240" s="64" t="s">
        <v>464</v>
      </c>
      <c r="AC240" s="66" t="s">
        <v>451</v>
      </c>
      <c r="AD240" s="66" t="s">
        <v>557</v>
      </c>
      <c r="AE240" s="64" t="s">
        <v>525</v>
      </c>
      <c r="AF240" s="64" t="s">
        <v>525</v>
      </c>
      <c r="AG240" s="64" t="s">
        <v>467</v>
      </c>
      <c r="AH240" s="64" t="s">
        <v>467</v>
      </c>
      <c r="AI240" s="66">
        <v>800.0</v>
      </c>
      <c r="AJ240" s="64">
        <v>21.5</v>
      </c>
      <c r="AK240" s="67">
        <v>17200.0</v>
      </c>
      <c r="AL240" s="63"/>
      <c r="AM240" s="63"/>
      <c r="AN240" s="64">
        <v>21.5</v>
      </c>
      <c r="AO240" s="66" t="s">
        <v>468</v>
      </c>
      <c r="AP240" s="63"/>
      <c r="AQ240" s="63"/>
      <c r="AR240" s="63"/>
      <c r="AS240" s="63"/>
      <c r="AT240" s="63"/>
      <c r="AU240" s="63"/>
      <c r="AV240" s="68"/>
      <c r="AW240" s="58" t="s">
        <v>512</v>
      </c>
      <c r="AX240" s="69">
        <v>17200.0</v>
      </c>
      <c r="AY240" s="70"/>
      <c r="AZ240" s="70"/>
      <c r="BA240" s="70"/>
      <c r="BB240" s="70"/>
      <c r="BC240" s="58" t="s">
        <v>469</v>
      </c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</row>
    <row r="241">
      <c r="A241" s="59">
        <v>45820.0</v>
      </c>
      <c r="B241" s="60" t="s">
        <v>451</v>
      </c>
      <c r="C241" s="61">
        <v>45820.0</v>
      </c>
      <c r="D241" s="61">
        <v>45820.0</v>
      </c>
      <c r="E241" s="60" t="s">
        <v>452</v>
      </c>
      <c r="F241" s="71" t="s">
        <v>1035</v>
      </c>
      <c r="G241" s="77"/>
      <c r="H241" s="66" t="s">
        <v>771</v>
      </c>
      <c r="I241" s="66" t="s">
        <v>772</v>
      </c>
      <c r="J241" s="66" t="s">
        <v>456</v>
      </c>
      <c r="K241" s="66" t="s">
        <v>456</v>
      </c>
      <c r="L241" s="66">
        <v>22.0</v>
      </c>
      <c r="M241" s="66">
        <v>22.0</v>
      </c>
      <c r="N241" s="66" t="s">
        <v>457</v>
      </c>
      <c r="O241" s="66">
        <v>24.0</v>
      </c>
      <c r="P241" s="66" t="s">
        <v>1036</v>
      </c>
      <c r="Q241" s="64" t="s">
        <v>459</v>
      </c>
      <c r="R241" s="64" t="s">
        <v>459</v>
      </c>
      <c r="S241" s="64">
        <v>245.0</v>
      </c>
      <c r="T241" s="64">
        <v>2695.0</v>
      </c>
      <c r="U241" s="64">
        <v>245.0</v>
      </c>
      <c r="V241" s="66">
        <v>2695.0</v>
      </c>
      <c r="W241" s="66">
        <v>2695.0</v>
      </c>
      <c r="X241" s="79" t="s">
        <v>460</v>
      </c>
      <c r="Y241" s="66" t="s">
        <v>461</v>
      </c>
      <c r="Z241" s="66" t="s">
        <v>462</v>
      </c>
      <c r="AA241" s="66" t="s">
        <v>463</v>
      </c>
      <c r="AB241" s="66" t="s">
        <v>464</v>
      </c>
      <c r="AC241" s="66" t="s">
        <v>451</v>
      </c>
      <c r="AD241" s="60" t="s">
        <v>561</v>
      </c>
      <c r="AE241" s="64" t="s">
        <v>562</v>
      </c>
      <c r="AF241" s="64" t="s">
        <v>562</v>
      </c>
      <c r="AG241" s="64" t="s">
        <v>467</v>
      </c>
      <c r="AH241" s="64" t="s">
        <v>467</v>
      </c>
      <c r="AI241" s="60">
        <v>325.0</v>
      </c>
      <c r="AJ241" s="64">
        <v>21.5</v>
      </c>
      <c r="AK241" s="67">
        <v>6987.5</v>
      </c>
      <c r="AL241" s="63"/>
      <c r="AM241" s="63"/>
      <c r="AN241" s="64">
        <v>21.5</v>
      </c>
      <c r="AO241" s="64" t="s">
        <v>468</v>
      </c>
      <c r="AP241" s="63"/>
      <c r="AQ241" s="63"/>
      <c r="AR241" s="63"/>
      <c r="AS241" s="63"/>
      <c r="AT241" s="63"/>
      <c r="AU241" s="63"/>
      <c r="AV241" s="63"/>
      <c r="AW241" s="58" t="s">
        <v>512</v>
      </c>
      <c r="AX241" s="69">
        <v>6987.5</v>
      </c>
      <c r="AY241" s="70"/>
      <c r="AZ241" s="70"/>
      <c r="BA241" s="70"/>
      <c r="BB241" s="70"/>
      <c r="BC241" s="58" t="s">
        <v>469</v>
      </c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</row>
    <row r="242">
      <c r="A242" s="59">
        <v>45820.0</v>
      </c>
      <c r="B242" s="60" t="s">
        <v>451</v>
      </c>
      <c r="C242" s="61">
        <v>45820.0</v>
      </c>
      <c r="D242" s="61">
        <v>45820.0</v>
      </c>
      <c r="E242" s="60" t="s">
        <v>452</v>
      </c>
      <c r="F242" s="72" t="s">
        <v>1037</v>
      </c>
      <c r="G242" s="63"/>
      <c r="H242" s="64" t="s">
        <v>771</v>
      </c>
      <c r="I242" s="64" t="s">
        <v>775</v>
      </c>
      <c r="J242" s="64" t="s">
        <v>456</v>
      </c>
      <c r="K242" s="64" t="s">
        <v>456</v>
      </c>
      <c r="L242" s="64">
        <v>22.0</v>
      </c>
      <c r="M242" s="64">
        <v>22.0</v>
      </c>
      <c r="N242" s="64" t="s">
        <v>457</v>
      </c>
      <c r="O242" s="64">
        <v>24.0</v>
      </c>
      <c r="P242" s="64" t="s">
        <v>1038</v>
      </c>
      <c r="Q242" s="66" t="s">
        <v>459</v>
      </c>
      <c r="R242" s="66" t="s">
        <v>459</v>
      </c>
      <c r="S242" s="66">
        <v>131.0</v>
      </c>
      <c r="T242" s="66">
        <v>1441.0</v>
      </c>
      <c r="U242" s="66">
        <v>131.0</v>
      </c>
      <c r="V242" s="64">
        <v>1441.0</v>
      </c>
      <c r="W242" s="64">
        <v>1441.0</v>
      </c>
      <c r="X242" s="76" t="s">
        <v>460</v>
      </c>
      <c r="Y242" s="64" t="s">
        <v>461</v>
      </c>
      <c r="Z242" s="64" t="s">
        <v>462</v>
      </c>
      <c r="AA242" s="64" t="s">
        <v>463</v>
      </c>
      <c r="AB242" s="64" t="s">
        <v>464</v>
      </c>
      <c r="AC242" s="64" t="s">
        <v>451</v>
      </c>
      <c r="AD242" s="64" t="s">
        <v>566</v>
      </c>
      <c r="AE242" s="64" t="s">
        <v>567</v>
      </c>
      <c r="AF242" s="64" t="s">
        <v>567</v>
      </c>
      <c r="AG242" s="64" t="s">
        <v>467</v>
      </c>
      <c r="AH242" s="64" t="s">
        <v>467</v>
      </c>
      <c r="AI242" s="64">
        <v>475.0</v>
      </c>
      <c r="AJ242" s="66">
        <v>21.5</v>
      </c>
      <c r="AK242" s="67">
        <v>10212.5</v>
      </c>
      <c r="AL242" s="63"/>
      <c r="AM242" s="63"/>
      <c r="AN242" s="64">
        <v>21.5</v>
      </c>
      <c r="AO242" s="64" t="s">
        <v>468</v>
      </c>
      <c r="AP242" s="63"/>
      <c r="AQ242" s="63"/>
      <c r="AR242" s="63"/>
      <c r="AS242" s="63"/>
      <c r="AT242" s="63"/>
      <c r="AU242" s="63"/>
      <c r="AV242" s="63"/>
      <c r="AW242" s="58" t="s">
        <v>512</v>
      </c>
      <c r="AX242" s="69">
        <v>10212.5</v>
      </c>
      <c r="AY242" s="70"/>
      <c r="AZ242" s="70"/>
      <c r="BA242" s="70"/>
      <c r="BB242" s="70"/>
      <c r="BC242" s="58" t="s">
        <v>469</v>
      </c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</row>
    <row r="243">
      <c r="A243" s="59">
        <v>45820.0</v>
      </c>
      <c r="B243" s="60" t="s">
        <v>451</v>
      </c>
      <c r="C243" s="61">
        <v>45820.0</v>
      </c>
      <c r="D243" s="61">
        <v>45820.0</v>
      </c>
      <c r="E243" s="60" t="s">
        <v>452</v>
      </c>
      <c r="F243" s="71" t="s">
        <v>1039</v>
      </c>
      <c r="G243" s="77"/>
      <c r="H243" s="66" t="s">
        <v>771</v>
      </c>
      <c r="I243" s="66" t="s">
        <v>1040</v>
      </c>
      <c r="J243" s="66" t="s">
        <v>486</v>
      </c>
      <c r="K243" s="66" t="s">
        <v>486</v>
      </c>
      <c r="L243" s="66">
        <v>22.0</v>
      </c>
      <c r="M243" s="66">
        <v>22.0</v>
      </c>
      <c r="N243" s="66" t="s">
        <v>457</v>
      </c>
      <c r="O243" s="66">
        <v>24.0</v>
      </c>
      <c r="P243" s="66" t="s">
        <v>1041</v>
      </c>
      <c r="Q243" s="64" t="s">
        <v>459</v>
      </c>
      <c r="R243" s="64" t="s">
        <v>459</v>
      </c>
      <c r="S243" s="64">
        <v>89.0</v>
      </c>
      <c r="T243" s="64">
        <v>979.0</v>
      </c>
      <c r="U243" s="64">
        <v>89.0</v>
      </c>
      <c r="V243" s="66">
        <v>979.0</v>
      </c>
      <c r="W243" s="66">
        <v>979.0</v>
      </c>
      <c r="X243" s="79" t="s">
        <v>460</v>
      </c>
      <c r="Y243" s="66" t="s">
        <v>461</v>
      </c>
      <c r="Z243" s="66" t="s">
        <v>462</v>
      </c>
      <c r="AA243" s="66" t="s">
        <v>463</v>
      </c>
      <c r="AB243" s="66" t="s">
        <v>464</v>
      </c>
      <c r="AC243" s="66" t="s">
        <v>451</v>
      </c>
      <c r="AD243" s="64" t="s">
        <v>566</v>
      </c>
      <c r="AE243" s="64" t="s">
        <v>567</v>
      </c>
      <c r="AF243" s="64" t="s">
        <v>567</v>
      </c>
      <c r="AG243" s="64" t="s">
        <v>467</v>
      </c>
      <c r="AH243" s="64" t="s">
        <v>467</v>
      </c>
      <c r="AI243" s="64">
        <v>475.0</v>
      </c>
      <c r="AJ243" s="64">
        <v>23.5</v>
      </c>
      <c r="AK243" s="67">
        <v>11162.5</v>
      </c>
      <c r="AL243" s="63"/>
      <c r="AM243" s="63"/>
      <c r="AN243" s="64">
        <v>23.5</v>
      </c>
      <c r="AO243" s="64" t="s">
        <v>468</v>
      </c>
      <c r="AP243" s="63"/>
      <c r="AQ243" s="63"/>
      <c r="AR243" s="63"/>
      <c r="AS243" s="63"/>
      <c r="AT243" s="63"/>
      <c r="AU243" s="63"/>
      <c r="AV243" s="63"/>
      <c r="AW243" s="58" t="s">
        <v>512</v>
      </c>
      <c r="AX243" s="69">
        <v>11162.5</v>
      </c>
      <c r="AY243" s="70"/>
      <c r="AZ243" s="70"/>
      <c r="BA243" s="70"/>
      <c r="BB243" s="70"/>
      <c r="BC243" s="58" t="s">
        <v>469</v>
      </c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</row>
    <row r="244">
      <c r="A244" s="59">
        <v>45820.0</v>
      </c>
      <c r="B244" s="60" t="s">
        <v>451</v>
      </c>
      <c r="C244" s="61">
        <v>45820.0</v>
      </c>
      <c r="D244" s="61">
        <v>45820.0</v>
      </c>
      <c r="E244" s="60" t="s">
        <v>452</v>
      </c>
      <c r="F244" s="72" t="s">
        <v>1042</v>
      </c>
      <c r="G244" s="63"/>
      <c r="H244" s="64" t="s">
        <v>492</v>
      </c>
      <c r="I244" s="64" t="s">
        <v>626</v>
      </c>
      <c r="J244" s="64" t="s">
        <v>456</v>
      </c>
      <c r="K244" s="64" t="s">
        <v>456</v>
      </c>
      <c r="L244" s="64">
        <v>22.0</v>
      </c>
      <c r="M244" s="64">
        <v>22.0</v>
      </c>
      <c r="N244" s="64" t="s">
        <v>457</v>
      </c>
      <c r="O244" s="64">
        <v>24.0</v>
      </c>
      <c r="P244" s="64" t="s">
        <v>1043</v>
      </c>
      <c r="Q244" s="66" t="s">
        <v>459</v>
      </c>
      <c r="R244" s="66" t="s">
        <v>459</v>
      </c>
      <c r="S244" s="66">
        <v>223.0</v>
      </c>
      <c r="T244" s="66">
        <v>2453.0</v>
      </c>
      <c r="U244" s="66">
        <v>223.0</v>
      </c>
      <c r="V244" s="64">
        <v>2453.0</v>
      </c>
      <c r="W244" s="64">
        <v>2453.0</v>
      </c>
      <c r="X244" s="76" t="s">
        <v>460</v>
      </c>
      <c r="Y244" s="64" t="s">
        <v>461</v>
      </c>
      <c r="Z244" s="64" t="s">
        <v>462</v>
      </c>
      <c r="AA244" s="64" t="s">
        <v>463</v>
      </c>
      <c r="AB244" s="64" t="s">
        <v>464</v>
      </c>
      <c r="AC244" s="64" t="s">
        <v>451</v>
      </c>
      <c r="AD244" s="64" t="s">
        <v>571</v>
      </c>
      <c r="AE244" s="66" t="s">
        <v>572</v>
      </c>
      <c r="AF244" s="66" t="s">
        <v>572</v>
      </c>
      <c r="AG244" s="66" t="s">
        <v>467</v>
      </c>
      <c r="AH244" s="66" t="s">
        <v>467</v>
      </c>
      <c r="AI244" s="66">
        <v>655.0</v>
      </c>
      <c r="AJ244" s="66">
        <v>21.5</v>
      </c>
      <c r="AK244" s="67">
        <v>14082.5</v>
      </c>
      <c r="AL244" s="63"/>
      <c r="AM244" s="63"/>
      <c r="AN244" s="64">
        <v>21.5</v>
      </c>
      <c r="AO244" s="60" t="s">
        <v>468</v>
      </c>
      <c r="AP244" s="63"/>
      <c r="AQ244" s="63"/>
      <c r="AR244" s="63"/>
      <c r="AS244" s="63"/>
      <c r="AT244" s="63"/>
      <c r="AU244" s="63"/>
      <c r="AV244" s="68"/>
      <c r="AW244" s="58" t="s">
        <v>512</v>
      </c>
      <c r="AX244" s="69">
        <v>14082.5</v>
      </c>
      <c r="AY244" s="70"/>
      <c r="AZ244" s="70"/>
      <c r="BA244" s="70"/>
      <c r="BB244" s="70"/>
      <c r="BC244" s="58" t="s">
        <v>469</v>
      </c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</row>
    <row r="245">
      <c r="A245" s="59">
        <v>45820.0</v>
      </c>
      <c r="B245" s="60" t="s">
        <v>451</v>
      </c>
      <c r="C245" s="61">
        <v>45820.0</v>
      </c>
      <c r="D245" s="61">
        <v>45820.0</v>
      </c>
      <c r="E245" s="60" t="s">
        <v>452</v>
      </c>
      <c r="F245" s="71" t="s">
        <v>1044</v>
      </c>
      <c r="G245" s="77"/>
      <c r="H245" s="66" t="s">
        <v>472</v>
      </c>
      <c r="I245" s="66" t="s">
        <v>632</v>
      </c>
      <c r="J245" s="66" t="s">
        <v>456</v>
      </c>
      <c r="K245" s="66" t="s">
        <v>456</v>
      </c>
      <c r="L245" s="66">
        <v>22.0</v>
      </c>
      <c r="M245" s="66">
        <v>22.0</v>
      </c>
      <c r="N245" s="66" t="s">
        <v>457</v>
      </c>
      <c r="O245" s="66">
        <v>24.0</v>
      </c>
      <c r="P245" s="66" t="s">
        <v>1045</v>
      </c>
      <c r="Q245" s="64" t="s">
        <v>459</v>
      </c>
      <c r="R245" s="64" t="s">
        <v>459</v>
      </c>
      <c r="S245" s="64">
        <v>250.0</v>
      </c>
      <c r="T245" s="64">
        <v>2750.0</v>
      </c>
      <c r="U245" s="64">
        <v>250.0</v>
      </c>
      <c r="V245" s="66">
        <v>2750.0</v>
      </c>
      <c r="W245" s="66">
        <v>2750.0</v>
      </c>
      <c r="X245" s="79" t="s">
        <v>460</v>
      </c>
      <c r="Y245" s="66" t="s">
        <v>461</v>
      </c>
      <c r="Z245" s="66" t="s">
        <v>462</v>
      </c>
      <c r="AA245" s="66" t="s">
        <v>463</v>
      </c>
      <c r="AB245" s="66" t="s">
        <v>464</v>
      </c>
      <c r="AC245" s="66" t="s">
        <v>451</v>
      </c>
      <c r="AD245" s="66" t="s">
        <v>577</v>
      </c>
      <c r="AE245" s="64" t="s">
        <v>578</v>
      </c>
      <c r="AF245" s="64" t="s">
        <v>578</v>
      </c>
      <c r="AG245" s="64" t="s">
        <v>467</v>
      </c>
      <c r="AH245" s="64" t="s">
        <v>467</v>
      </c>
      <c r="AI245" s="64">
        <v>396.0</v>
      </c>
      <c r="AJ245" s="64">
        <v>21.5</v>
      </c>
      <c r="AK245" s="67">
        <v>8514.0</v>
      </c>
      <c r="AL245" s="63"/>
      <c r="AM245" s="63"/>
      <c r="AN245" s="64">
        <v>21.5</v>
      </c>
      <c r="AO245" s="64" t="s">
        <v>468</v>
      </c>
      <c r="AP245" s="63"/>
      <c r="AQ245" s="63"/>
      <c r="AR245" s="63"/>
      <c r="AS245" s="63"/>
      <c r="AT245" s="63"/>
      <c r="AU245" s="63"/>
      <c r="AV245" s="63"/>
      <c r="AW245" s="58" t="s">
        <v>512</v>
      </c>
      <c r="AX245" s="69">
        <v>8514.0</v>
      </c>
      <c r="AY245" s="70"/>
      <c r="AZ245" s="70"/>
      <c r="BA245" s="70"/>
      <c r="BB245" s="70"/>
      <c r="BC245" s="58" t="s">
        <v>469</v>
      </c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</row>
    <row r="246">
      <c r="A246" s="59">
        <v>45820.0</v>
      </c>
      <c r="B246" s="60" t="s">
        <v>451</v>
      </c>
      <c r="C246" s="61">
        <v>45820.0</v>
      </c>
      <c r="D246" s="61">
        <v>45820.0</v>
      </c>
      <c r="E246" s="60" t="s">
        <v>452</v>
      </c>
      <c r="F246" s="72" t="s">
        <v>1046</v>
      </c>
      <c r="G246" s="63"/>
      <c r="H246" s="64" t="s">
        <v>472</v>
      </c>
      <c r="I246" s="64" t="s">
        <v>588</v>
      </c>
      <c r="J246" s="64" t="s">
        <v>456</v>
      </c>
      <c r="K246" s="64" t="s">
        <v>456</v>
      </c>
      <c r="L246" s="64">
        <v>22.0</v>
      </c>
      <c r="M246" s="64">
        <v>22.0</v>
      </c>
      <c r="N246" s="64" t="s">
        <v>457</v>
      </c>
      <c r="O246" s="64">
        <v>24.0</v>
      </c>
      <c r="P246" s="64" t="s">
        <v>1047</v>
      </c>
      <c r="Q246" s="66" t="s">
        <v>459</v>
      </c>
      <c r="R246" s="66" t="s">
        <v>459</v>
      </c>
      <c r="S246" s="66">
        <v>164.0</v>
      </c>
      <c r="T246" s="66">
        <v>1804.0</v>
      </c>
      <c r="U246" s="66">
        <v>164.0</v>
      </c>
      <c r="V246" s="64">
        <v>1804.0</v>
      </c>
      <c r="W246" s="64">
        <v>1804.0</v>
      </c>
      <c r="X246" s="76" t="s">
        <v>460</v>
      </c>
      <c r="Y246" s="64" t="s">
        <v>461</v>
      </c>
      <c r="Z246" s="64" t="s">
        <v>462</v>
      </c>
      <c r="AA246" s="64" t="s">
        <v>463</v>
      </c>
      <c r="AB246" s="64" t="s">
        <v>464</v>
      </c>
      <c r="AC246" s="64" t="s">
        <v>451</v>
      </c>
      <c r="AD246" s="60" t="s">
        <v>638</v>
      </c>
      <c r="AE246" s="66" t="s">
        <v>531</v>
      </c>
      <c r="AF246" s="66" t="s">
        <v>531</v>
      </c>
      <c r="AG246" s="66" t="s">
        <v>467</v>
      </c>
      <c r="AH246" s="66" t="s">
        <v>467</v>
      </c>
      <c r="AI246" s="66">
        <v>510.0</v>
      </c>
      <c r="AJ246" s="66">
        <v>21.5</v>
      </c>
      <c r="AK246" s="67">
        <v>10965.0</v>
      </c>
      <c r="AL246" s="63"/>
      <c r="AM246" s="63"/>
      <c r="AN246" s="64">
        <v>21.5</v>
      </c>
      <c r="AO246" s="64" t="s">
        <v>468</v>
      </c>
      <c r="AP246" s="63"/>
      <c r="AQ246" s="63"/>
      <c r="AR246" s="63"/>
      <c r="AS246" s="63"/>
      <c r="AT246" s="63"/>
      <c r="AU246" s="63"/>
      <c r="AV246" s="68"/>
      <c r="AW246" s="58" t="s">
        <v>512</v>
      </c>
      <c r="AX246" s="69">
        <v>10965.0</v>
      </c>
      <c r="AY246" s="70"/>
      <c r="AZ246" s="70"/>
      <c r="BA246" s="70"/>
      <c r="BB246" s="70"/>
      <c r="BC246" s="58" t="s">
        <v>469</v>
      </c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</row>
    <row r="247">
      <c r="A247" s="59">
        <v>45820.0</v>
      </c>
      <c r="B247" s="60" t="s">
        <v>451</v>
      </c>
      <c r="C247" s="61">
        <v>45820.0</v>
      </c>
      <c r="D247" s="61">
        <v>45820.0</v>
      </c>
      <c r="E247" s="60" t="s">
        <v>452</v>
      </c>
      <c r="F247" s="71" t="s">
        <v>1048</v>
      </c>
      <c r="G247" s="77"/>
      <c r="H247" s="66" t="s">
        <v>472</v>
      </c>
      <c r="I247" s="66" t="s">
        <v>575</v>
      </c>
      <c r="J247" s="66" t="s">
        <v>456</v>
      </c>
      <c r="K247" s="66" t="s">
        <v>456</v>
      </c>
      <c r="L247" s="66">
        <v>22.0</v>
      </c>
      <c r="M247" s="66">
        <v>22.0</v>
      </c>
      <c r="N247" s="66" t="s">
        <v>457</v>
      </c>
      <c r="O247" s="66">
        <v>24.0</v>
      </c>
      <c r="P247" s="80">
        <v>2.44E8</v>
      </c>
      <c r="Q247" s="64" t="s">
        <v>459</v>
      </c>
      <c r="R247" s="64" t="s">
        <v>459</v>
      </c>
      <c r="S247" s="64">
        <v>78.0</v>
      </c>
      <c r="T247" s="64">
        <v>858.0</v>
      </c>
      <c r="U247" s="64">
        <v>78.0</v>
      </c>
      <c r="V247" s="66">
        <v>858.0</v>
      </c>
      <c r="W247" s="66">
        <v>858.0</v>
      </c>
      <c r="X247" s="79" t="s">
        <v>460</v>
      </c>
      <c r="Y247" s="66" t="s">
        <v>461</v>
      </c>
      <c r="Z247" s="66" t="s">
        <v>462</v>
      </c>
      <c r="AA247" s="66" t="s">
        <v>463</v>
      </c>
      <c r="AB247" s="66" t="s">
        <v>464</v>
      </c>
      <c r="AC247" s="66" t="s">
        <v>451</v>
      </c>
      <c r="AD247" s="64" t="s">
        <v>634</v>
      </c>
      <c r="AE247" s="64" t="s">
        <v>617</v>
      </c>
      <c r="AF247" s="64" t="s">
        <v>617</v>
      </c>
      <c r="AG247" s="64" t="s">
        <v>467</v>
      </c>
      <c r="AH247" s="64" t="s">
        <v>467</v>
      </c>
      <c r="AI247" s="64">
        <v>330.0</v>
      </c>
      <c r="AJ247" s="64">
        <v>21.5</v>
      </c>
      <c r="AK247" s="67">
        <v>7095.0</v>
      </c>
      <c r="AL247" s="63"/>
      <c r="AM247" s="63"/>
      <c r="AN247" s="64">
        <v>21.5</v>
      </c>
      <c r="AO247" s="64" t="s">
        <v>468</v>
      </c>
      <c r="AP247" s="63"/>
      <c r="AQ247" s="63"/>
      <c r="AR247" s="63"/>
      <c r="AS247" s="63"/>
      <c r="AT247" s="63"/>
      <c r="AU247" s="63"/>
      <c r="AV247" s="63"/>
      <c r="AW247" s="58" t="s">
        <v>512</v>
      </c>
      <c r="AX247" s="69">
        <v>7095.0</v>
      </c>
      <c r="AY247" s="70"/>
      <c r="AZ247" s="70"/>
      <c r="BA247" s="70"/>
      <c r="BB247" s="70"/>
      <c r="BC247" s="58" t="s">
        <v>469</v>
      </c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</row>
    <row r="248">
      <c r="A248" s="59">
        <v>45821.0</v>
      </c>
      <c r="B248" s="60" t="s">
        <v>451</v>
      </c>
      <c r="C248" s="61">
        <v>45821.0</v>
      </c>
      <c r="D248" s="61">
        <v>45821.0</v>
      </c>
      <c r="E248" s="60" t="s">
        <v>452</v>
      </c>
      <c r="F248" s="71" t="s">
        <v>1049</v>
      </c>
      <c r="G248" s="77"/>
      <c r="H248" s="66" t="s">
        <v>454</v>
      </c>
      <c r="I248" s="66" t="s">
        <v>641</v>
      </c>
      <c r="J248" s="66" t="s">
        <v>456</v>
      </c>
      <c r="K248" s="66" t="s">
        <v>456</v>
      </c>
      <c r="L248" s="66">
        <v>22.0</v>
      </c>
      <c r="M248" s="66">
        <v>22.0</v>
      </c>
      <c r="N248" s="66" t="s">
        <v>457</v>
      </c>
      <c r="O248" s="66">
        <v>24.0</v>
      </c>
      <c r="P248" s="66" t="s">
        <v>1050</v>
      </c>
      <c r="Q248" s="64" t="s">
        <v>459</v>
      </c>
      <c r="R248" s="64" t="s">
        <v>459</v>
      </c>
      <c r="S248" s="64">
        <v>220.0</v>
      </c>
      <c r="T248" s="64">
        <v>2420.0</v>
      </c>
      <c r="U248" s="64">
        <v>220.0</v>
      </c>
      <c r="V248" s="66">
        <v>2420.0</v>
      </c>
      <c r="W248" s="66">
        <v>2420.0</v>
      </c>
      <c r="X248" s="79" t="s">
        <v>460</v>
      </c>
      <c r="Y248" s="66" t="s">
        <v>461</v>
      </c>
      <c r="Z248" s="66" t="s">
        <v>462</v>
      </c>
      <c r="AA248" s="66" t="s">
        <v>463</v>
      </c>
      <c r="AB248" s="66" t="s">
        <v>464</v>
      </c>
      <c r="AC248" s="66" t="s">
        <v>451</v>
      </c>
      <c r="AD248" s="64" t="s">
        <v>465</v>
      </c>
      <c r="AE248" s="64" t="s">
        <v>466</v>
      </c>
      <c r="AF248" s="64" t="s">
        <v>466</v>
      </c>
      <c r="AG248" s="64" t="s">
        <v>467</v>
      </c>
      <c r="AH248" s="64" t="s">
        <v>467</v>
      </c>
      <c r="AI248" s="64">
        <v>735.0</v>
      </c>
      <c r="AJ248" s="64">
        <v>21.5</v>
      </c>
      <c r="AK248" s="67">
        <v>15802.5</v>
      </c>
      <c r="AL248" s="63"/>
      <c r="AM248" s="63"/>
      <c r="AN248" s="64">
        <v>21.5</v>
      </c>
      <c r="AO248" s="60" t="s">
        <v>468</v>
      </c>
      <c r="AP248" s="63"/>
      <c r="AQ248" s="63"/>
      <c r="AR248" s="63"/>
      <c r="AS248" s="63"/>
      <c r="AT248" s="63"/>
      <c r="AU248" s="63"/>
      <c r="AV248" s="68"/>
      <c r="AW248" s="58" t="s">
        <v>512</v>
      </c>
      <c r="AX248" s="69">
        <v>15802.5</v>
      </c>
      <c r="AY248" s="70"/>
      <c r="AZ248" s="70"/>
      <c r="BA248" s="70"/>
      <c r="BB248" s="70"/>
      <c r="BC248" s="58" t="s">
        <v>469</v>
      </c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8"/>
      <c r="BR248" s="58"/>
    </row>
    <row r="249">
      <c r="A249" s="59">
        <v>45821.0</v>
      </c>
      <c r="B249" s="60" t="s">
        <v>451</v>
      </c>
      <c r="C249" s="61">
        <v>45821.0</v>
      </c>
      <c r="D249" s="61">
        <v>45821.0</v>
      </c>
      <c r="E249" s="60" t="s">
        <v>452</v>
      </c>
      <c r="F249" s="86" t="s">
        <v>1051</v>
      </c>
      <c r="G249" s="63"/>
      <c r="H249" s="64" t="s">
        <v>454</v>
      </c>
      <c r="I249" s="64" t="s">
        <v>586</v>
      </c>
      <c r="J249" s="64" t="s">
        <v>486</v>
      </c>
      <c r="K249" s="64" t="s">
        <v>486</v>
      </c>
      <c r="L249" s="64">
        <v>22.0</v>
      </c>
      <c r="M249" s="64">
        <v>22.0</v>
      </c>
      <c r="N249" s="64" t="s">
        <v>457</v>
      </c>
      <c r="O249" s="64">
        <v>24.0</v>
      </c>
      <c r="P249" s="64" t="s">
        <v>1052</v>
      </c>
      <c r="Q249" s="66" t="s">
        <v>459</v>
      </c>
      <c r="R249" s="66" t="s">
        <v>459</v>
      </c>
      <c r="S249" s="66">
        <v>198.0</v>
      </c>
      <c r="T249" s="66">
        <v>2178.0</v>
      </c>
      <c r="U249" s="66">
        <v>198.0</v>
      </c>
      <c r="V249" s="64">
        <v>2178.0</v>
      </c>
      <c r="W249" s="64">
        <v>2178.0</v>
      </c>
      <c r="X249" s="76" t="s">
        <v>460</v>
      </c>
      <c r="Y249" s="64" t="s">
        <v>461</v>
      </c>
      <c r="Z249" s="64" t="s">
        <v>462</v>
      </c>
      <c r="AA249" s="64" t="s">
        <v>463</v>
      </c>
      <c r="AB249" s="64" t="s">
        <v>464</v>
      </c>
      <c r="AC249" s="64" t="s">
        <v>451</v>
      </c>
      <c r="AD249" s="64" t="s">
        <v>488</v>
      </c>
      <c r="AE249" s="66" t="s">
        <v>489</v>
      </c>
      <c r="AF249" s="66" t="s">
        <v>489</v>
      </c>
      <c r="AG249" s="66" t="s">
        <v>467</v>
      </c>
      <c r="AH249" s="66" t="s">
        <v>467</v>
      </c>
      <c r="AI249" s="66">
        <v>760.0</v>
      </c>
      <c r="AJ249" s="66">
        <v>23.5</v>
      </c>
      <c r="AK249" s="67">
        <v>17860.0</v>
      </c>
      <c r="AL249" s="63"/>
      <c r="AM249" s="63"/>
      <c r="AN249" s="64">
        <v>23.5</v>
      </c>
      <c r="AO249" s="60" t="s">
        <v>468</v>
      </c>
      <c r="AP249" s="63"/>
      <c r="AQ249" s="63"/>
      <c r="AR249" s="63"/>
      <c r="AS249" s="63"/>
      <c r="AT249" s="63"/>
      <c r="AU249" s="63"/>
      <c r="AV249" s="63"/>
      <c r="AW249" s="58" t="s">
        <v>512</v>
      </c>
      <c r="AX249" s="69">
        <v>17860.0</v>
      </c>
      <c r="AY249" s="70"/>
      <c r="AZ249" s="70"/>
      <c r="BA249" s="70"/>
      <c r="BB249" s="70"/>
      <c r="BC249" s="58" t="s">
        <v>469</v>
      </c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8"/>
      <c r="BR249" s="58"/>
    </row>
    <row r="250">
      <c r="A250" s="59">
        <v>45821.0</v>
      </c>
      <c r="B250" s="60" t="s">
        <v>451</v>
      </c>
      <c r="C250" s="61">
        <v>45821.0</v>
      </c>
      <c r="D250" s="61">
        <v>45821.0</v>
      </c>
      <c r="E250" s="60" t="s">
        <v>452</v>
      </c>
      <c r="F250" s="86" t="s">
        <v>1053</v>
      </c>
      <c r="G250" s="63"/>
      <c r="H250" s="64" t="s">
        <v>472</v>
      </c>
      <c r="I250" s="64" t="s">
        <v>473</v>
      </c>
      <c r="J250" s="64" t="s">
        <v>456</v>
      </c>
      <c r="K250" s="64" t="s">
        <v>456</v>
      </c>
      <c r="L250" s="64">
        <v>22.0</v>
      </c>
      <c r="M250" s="64">
        <v>22.0</v>
      </c>
      <c r="N250" s="64" t="s">
        <v>457</v>
      </c>
      <c r="O250" s="64">
        <v>24.0</v>
      </c>
      <c r="P250" s="64" t="s">
        <v>1054</v>
      </c>
      <c r="Q250" s="66" t="s">
        <v>459</v>
      </c>
      <c r="R250" s="66" t="s">
        <v>459</v>
      </c>
      <c r="S250" s="66">
        <v>191.0</v>
      </c>
      <c r="T250" s="66">
        <v>2101.0</v>
      </c>
      <c r="U250" s="66">
        <v>191.0</v>
      </c>
      <c r="V250" s="64">
        <v>2101.0</v>
      </c>
      <c r="W250" s="64">
        <v>2101.0</v>
      </c>
      <c r="X250" s="76" t="s">
        <v>460</v>
      </c>
      <c r="Y250" s="64" t="s">
        <v>461</v>
      </c>
      <c r="Z250" s="64" t="s">
        <v>462</v>
      </c>
      <c r="AA250" s="64" t="s">
        <v>463</v>
      </c>
      <c r="AB250" s="64" t="s">
        <v>464</v>
      </c>
      <c r="AC250" s="64" t="s">
        <v>451</v>
      </c>
      <c r="AD250" s="60" t="s">
        <v>475</v>
      </c>
      <c r="AE250" s="66" t="s">
        <v>476</v>
      </c>
      <c r="AF250" s="66" t="s">
        <v>476</v>
      </c>
      <c r="AG250" s="66" t="s">
        <v>467</v>
      </c>
      <c r="AH250" s="66" t="s">
        <v>467</v>
      </c>
      <c r="AI250" s="66">
        <v>650.0</v>
      </c>
      <c r="AJ250" s="66">
        <v>21.5</v>
      </c>
      <c r="AK250" s="67">
        <v>13975.0</v>
      </c>
      <c r="AL250" s="63"/>
      <c r="AM250" s="63"/>
      <c r="AN250" s="64">
        <v>21.5</v>
      </c>
      <c r="AO250" s="64" t="s">
        <v>468</v>
      </c>
      <c r="AP250" s="63"/>
      <c r="AQ250" s="63"/>
      <c r="AR250" s="63"/>
      <c r="AS250" s="63"/>
      <c r="AT250" s="63"/>
      <c r="AU250" s="63"/>
      <c r="AV250" s="63"/>
      <c r="AW250" s="58" t="s">
        <v>512</v>
      </c>
      <c r="AX250" s="69">
        <v>13975.0</v>
      </c>
      <c r="AY250" s="70"/>
      <c r="AZ250" s="70"/>
      <c r="BA250" s="70"/>
      <c r="BB250" s="70"/>
      <c r="BC250" s="58" t="s">
        <v>469</v>
      </c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  <c r="BQ250" s="58"/>
      <c r="BR250" s="58"/>
    </row>
    <row r="251">
      <c r="A251" s="59">
        <v>45821.0</v>
      </c>
      <c r="B251" s="60" t="s">
        <v>451</v>
      </c>
      <c r="C251" s="61">
        <v>45821.0</v>
      </c>
      <c r="D251" s="61">
        <v>45821.0</v>
      </c>
      <c r="E251" s="60" t="s">
        <v>452</v>
      </c>
      <c r="F251" s="71" t="s">
        <v>1055</v>
      </c>
      <c r="G251" s="77"/>
      <c r="H251" s="66" t="s">
        <v>472</v>
      </c>
      <c r="I251" s="66" t="s">
        <v>479</v>
      </c>
      <c r="J251" s="66" t="s">
        <v>456</v>
      </c>
      <c r="K251" s="66" t="s">
        <v>456</v>
      </c>
      <c r="L251" s="66">
        <v>22.0</v>
      </c>
      <c r="M251" s="66">
        <v>22.0</v>
      </c>
      <c r="N251" s="66" t="s">
        <v>457</v>
      </c>
      <c r="O251" s="66">
        <v>24.0</v>
      </c>
      <c r="P251" s="66" t="s">
        <v>1056</v>
      </c>
      <c r="Q251" s="64" t="s">
        <v>459</v>
      </c>
      <c r="R251" s="64" t="s">
        <v>459</v>
      </c>
      <c r="S251" s="64">
        <v>248.0</v>
      </c>
      <c r="T251" s="64">
        <v>2728.0</v>
      </c>
      <c r="U251" s="64">
        <v>248.0</v>
      </c>
      <c r="V251" s="66">
        <v>2728.0</v>
      </c>
      <c r="W251" s="66">
        <v>2728.0</v>
      </c>
      <c r="X251" s="79" t="s">
        <v>460</v>
      </c>
      <c r="Y251" s="66" t="s">
        <v>461</v>
      </c>
      <c r="Z251" s="66" t="s">
        <v>462</v>
      </c>
      <c r="AA251" s="66" t="s">
        <v>463</v>
      </c>
      <c r="AB251" s="66" t="s">
        <v>464</v>
      </c>
      <c r="AC251" s="66" t="s">
        <v>451</v>
      </c>
      <c r="AD251" s="64" t="s">
        <v>481</v>
      </c>
      <c r="AE251" s="64" t="s">
        <v>482</v>
      </c>
      <c r="AF251" s="64" t="s">
        <v>482</v>
      </c>
      <c r="AG251" s="64" t="s">
        <v>467</v>
      </c>
      <c r="AH251" s="64" t="s">
        <v>467</v>
      </c>
      <c r="AI251" s="64">
        <v>655.0</v>
      </c>
      <c r="AJ251" s="64">
        <v>21.5</v>
      </c>
      <c r="AK251" s="67">
        <v>14082.5</v>
      </c>
      <c r="AL251" s="63"/>
      <c r="AM251" s="63"/>
      <c r="AN251" s="64">
        <v>21.5</v>
      </c>
      <c r="AO251" s="64" t="s">
        <v>468</v>
      </c>
      <c r="AP251" s="63"/>
      <c r="AQ251" s="63"/>
      <c r="AR251" s="63"/>
      <c r="AS251" s="63"/>
      <c r="AT251" s="63"/>
      <c r="AU251" s="63"/>
      <c r="AV251" s="68"/>
      <c r="AW251" s="58" t="s">
        <v>512</v>
      </c>
      <c r="AX251" s="69">
        <v>14082.5</v>
      </c>
      <c r="AY251" s="70"/>
      <c r="AZ251" s="70"/>
      <c r="BA251" s="70"/>
      <c r="BB251" s="70"/>
      <c r="BC251" s="58" t="s">
        <v>469</v>
      </c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8"/>
      <c r="BR251" s="58"/>
    </row>
    <row r="252">
      <c r="A252" s="59">
        <v>45821.0</v>
      </c>
      <c r="B252" s="60" t="s">
        <v>451</v>
      </c>
      <c r="C252" s="61">
        <v>45821.0</v>
      </c>
      <c r="D252" s="61">
        <v>45821.0</v>
      </c>
      <c r="E252" s="60" t="s">
        <v>452</v>
      </c>
      <c r="F252" s="86" t="s">
        <v>1057</v>
      </c>
      <c r="G252" s="63"/>
      <c r="H252" s="64" t="s">
        <v>492</v>
      </c>
      <c r="I252" s="64" t="s">
        <v>493</v>
      </c>
      <c r="J252" s="64" t="s">
        <v>456</v>
      </c>
      <c r="K252" s="64" t="s">
        <v>456</v>
      </c>
      <c r="L252" s="64">
        <v>28.0</v>
      </c>
      <c r="M252" s="64">
        <v>28.0</v>
      </c>
      <c r="N252" s="64" t="s">
        <v>457</v>
      </c>
      <c r="O252" s="64">
        <v>24.0</v>
      </c>
      <c r="P252" s="64" t="s">
        <v>1058</v>
      </c>
      <c r="Q252" s="66" t="s">
        <v>459</v>
      </c>
      <c r="R252" s="66" t="s">
        <v>459</v>
      </c>
      <c r="S252" s="66">
        <v>518.0</v>
      </c>
      <c r="T252" s="66">
        <v>5698.0</v>
      </c>
      <c r="U252" s="66">
        <v>518.0</v>
      </c>
      <c r="V252" s="64">
        <v>5698.0</v>
      </c>
      <c r="W252" s="64">
        <v>5698.0</v>
      </c>
      <c r="X252" s="76" t="s">
        <v>460</v>
      </c>
      <c r="Y252" s="64" t="s">
        <v>461</v>
      </c>
      <c r="Z252" s="64" t="s">
        <v>462</v>
      </c>
      <c r="AA252" s="64" t="s">
        <v>463</v>
      </c>
      <c r="AB252" s="64" t="s">
        <v>464</v>
      </c>
      <c r="AC252" s="64" t="s">
        <v>451</v>
      </c>
      <c r="AD252" s="64" t="s">
        <v>495</v>
      </c>
      <c r="AE252" s="66" t="s">
        <v>496</v>
      </c>
      <c r="AF252" s="66" t="s">
        <v>496</v>
      </c>
      <c r="AG252" s="66" t="s">
        <v>467</v>
      </c>
      <c r="AH252" s="66" t="s">
        <v>467</v>
      </c>
      <c r="AI252" s="66">
        <v>570.0</v>
      </c>
      <c r="AJ252" s="66">
        <v>23.5</v>
      </c>
      <c r="AK252" s="67">
        <v>13395.0</v>
      </c>
      <c r="AL252" s="63"/>
      <c r="AM252" s="63"/>
      <c r="AN252" s="64">
        <v>23.5</v>
      </c>
      <c r="AO252" s="64" t="s">
        <v>468</v>
      </c>
      <c r="AP252" s="63"/>
      <c r="AQ252" s="63"/>
      <c r="AR252" s="63"/>
      <c r="AS252" s="63"/>
      <c r="AT252" s="63"/>
      <c r="AU252" s="63"/>
      <c r="AV252" s="63"/>
      <c r="AW252" s="58" t="s">
        <v>512</v>
      </c>
      <c r="AX252" s="69">
        <v>13395.0</v>
      </c>
      <c r="AY252" s="70"/>
      <c r="AZ252" s="70"/>
      <c r="BA252" s="70"/>
      <c r="BB252" s="70"/>
      <c r="BC252" s="58" t="s">
        <v>469</v>
      </c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8"/>
      <c r="BR252" s="58"/>
    </row>
    <row r="253">
      <c r="A253" s="59">
        <v>45821.0</v>
      </c>
      <c r="B253" s="60" t="s">
        <v>451</v>
      </c>
      <c r="C253" s="61">
        <v>45821.0</v>
      </c>
      <c r="D253" s="61">
        <v>45821.0</v>
      </c>
      <c r="E253" s="60" t="s">
        <v>452</v>
      </c>
      <c r="F253" s="71" t="s">
        <v>1059</v>
      </c>
      <c r="G253" s="77"/>
      <c r="H253" s="66" t="s">
        <v>498</v>
      </c>
      <c r="I253" s="66" t="s">
        <v>596</v>
      </c>
      <c r="J253" s="66" t="s">
        <v>456</v>
      </c>
      <c r="K253" s="66" t="s">
        <v>456</v>
      </c>
      <c r="L253" s="66">
        <v>22.0</v>
      </c>
      <c r="M253" s="66">
        <v>22.0</v>
      </c>
      <c r="N253" s="66" t="s">
        <v>457</v>
      </c>
      <c r="O253" s="66">
        <v>24.0</v>
      </c>
      <c r="P253" s="66" t="s">
        <v>1060</v>
      </c>
      <c r="Q253" s="64" t="s">
        <v>459</v>
      </c>
      <c r="R253" s="64" t="s">
        <v>459</v>
      </c>
      <c r="S253" s="64">
        <v>172.0</v>
      </c>
      <c r="T253" s="64">
        <v>1892.0</v>
      </c>
      <c r="U253" s="64">
        <v>172.0</v>
      </c>
      <c r="V253" s="66">
        <v>1892.0</v>
      </c>
      <c r="W253" s="66">
        <v>1892.0</v>
      </c>
      <c r="X253" s="79" t="s">
        <v>460</v>
      </c>
      <c r="Y253" s="66" t="s">
        <v>461</v>
      </c>
      <c r="Z253" s="66" t="s">
        <v>462</v>
      </c>
      <c r="AA253" s="66" t="s">
        <v>463</v>
      </c>
      <c r="AB253" s="66" t="s">
        <v>464</v>
      </c>
      <c r="AC253" s="66" t="s">
        <v>451</v>
      </c>
      <c r="AD253" s="64" t="s">
        <v>501</v>
      </c>
      <c r="AE253" s="64" t="s">
        <v>470</v>
      </c>
      <c r="AF253" s="64" t="s">
        <v>470</v>
      </c>
      <c r="AG253" s="64" t="s">
        <v>467</v>
      </c>
      <c r="AH253" s="64" t="s">
        <v>467</v>
      </c>
      <c r="AI253" s="64">
        <v>380.0</v>
      </c>
      <c r="AJ253" s="64">
        <v>21.5</v>
      </c>
      <c r="AK253" s="67">
        <v>8170.0</v>
      </c>
      <c r="AL253" s="63"/>
      <c r="AM253" s="63"/>
      <c r="AN253" s="64">
        <v>21.5</v>
      </c>
      <c r="AO253" s="64" t="s">
        <v>468</v>
      </c>
      <c r="AP253" s="63"/>
      <c r="AQ253" s="63"/>
      <c r="AR253" s="63"/>
      <c r="AS253" s="63"/>
      <c r="AT253" s="63"/>
      <c r="AU253" s="63"/>
      <c r="AV253" s="68"/>
      <c r="AW253" s="58" t="s">
        <v>512</v>
      </c>
      <c r="AX253" s="69">
        <v>8170.0</v>
      </c>
      <c r="AY253" s="70"/>
      <c r="AZ253" s="70"/>
      <c r="BA253" s="70"/>
      <c r="BB253" s="70"/>
      <c r="BC253" s="58" t="s">
        <v>469</v>
      </c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</row>
    <row r="254">
      <c r="A254" s="59">
        <v>45821.0</v>
      </c>
      <c r="B254" s="60" t="s">
        <v>451</v>
      </c>
      <c r="C254" s="61">
        <v>45821.0</v>
      </c>
      <c r="D254" s="61">
        <v>45821.0</v>
      </c>
      <c r="E254" s="60" t="s">
        <v>452</v>
      </c>
      <c r="F254" s="86" t="s">
        <v>1061</v>
      </c>
      <c r="G254" s="63"/>
      <c r="H254" s="64" t="s">
        <v>504</v>
      </c>
      <c r="I254" s="64" t="s">
        <v>505</v>
      </c>
      <c r="J254" s="64" t="s">
        <v>456</v>
      </c>
      <c r="K254" s="64" t="s">
        <v>456</v>
      </c>
      <c r="L254" s="64">
        <v>22.0</v>
      </c>
      <c r="M254" s="64">
        <v>22.0</v>
      </c>
      <c r="N254" s="64" t="s">
        <v>457</v>
      </c>
      <c r="O254" s="64">
        <v>24.0</v>
      </c>
      <c r="P254" s="64" t="s">
        <v>1062</v>
      </c>
      <c r="Q254" s="66" t="s">
        <v>459</v>
      </c>
      <c r="R254" s="66" t="s">
        <v>459</v>
      </c>
      <c r="S254" s="66">
        <v>174.0</v>
      </c>
      <c r="T254" s="66">
        <v>1914.0</v>
      </c>
      <c r="U254" s="66">
        <v>174.0</v>
      </c>
      <c r="V254" s="64">
        <v>1914.0</v>
      </c>
      <c r="W254" s="64">
        <v>1914.0</v>
      </c>
      <c r="X254" s="76" t="s">
        <v>460</v>
      </c>
      <c r="Y254" s="64" t="s">
        <v>461</v>
      </c>
      <c r="Z254" s="64" t="s">
        <v>462</v>
      </c>
      <c r="AA254" s="64" t="s">
        <v>463</v>
      </c>
      <c r="AB254" s="64" t="s">
        <v>464</v>
      </c>
      <c r="AC254" s="64" t="s">
        <v>451</v>
      </c>
      <c r="AD254" s="66" t="s">
        <v>507</v>
      </c>
      <c r="AE254" s="66" t="s">
        <v>508</v>
      </c>
      <c r="AF254" s="66" t="s">
        <v>509</v>
      </c>
      <c r="AG254" s="66" t="s">
        <v>467</v>
      </c>
      <c r="AH254" s="66" t="s">
        <v>467</v>
      </c>
      <c r="AI254" s="66">
        <v>790.0</v>
      </c>
      <c r="AJ254" s="66">
        <v>21.5</v>
      </c>
      <c r="AK254" s="67">
        <v>16985.0</v>
      </c>
      <c r="AL254" s="63"/>
      <c r="AM254" s="63"/>
      <c r="AN254" s="64">
        <v>21.5</v>
      </c>
      <c r="AO254" s="64" t="s">
        <v>468</v>
      </c>
      <c r="AP254" s="63"/>
      <c r="AQ254" s="63"/>
      <c r="AR254" s="63"/>
      <c r="AS254" s="73">
        <v>0.5</v>
      </c>
      <c r="AT254" s="64">
        <v>8492.5</v>
      </c>
      <c r="AU254" s="60" t="s">
        <v>510</v>
      </c>
      <c r="AV254" s="74" t="s">
        <v>511</v>
      </c>
      <c r="AW254" s="58" t="s">
        <v>512</v>
      </c>
      <c r="AX254" s="69">
        <v>8492.5</v>
      </c>
      <c r="AY254" s="70"/>
      <c r="AZ254" s="70"/>
      <c r="BA254" s="69">
        <v>8492.5</v>
      </c>
      <c r="BB254" s="70"/>
      <c r="BC254" s="58" t="s">
        <v>469</v>
      </c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8"/>
      <c r="BR254" s="58"/>
    </row>
    <row r="255">
      <c r="A255" s="59">
        <v>45821.0</v>
      </c>
      <c r="B255" s="60" t="s">
        <v>451</v>
      </c>
      <c r="C255" s="61">
        <v>45821.0</v>
      </c>
      <c r="D255" s="61">
        <v>45821.0</v>
      </c>
      <c r="E255" s="60" t="s">
        <v>452</v>
      </c>
      <c r="F255" s="71" t="s">
        <v>1063</v>
      </c>
      <c r="G255" s="77"/>
      <c r="H255" s="66" t="s">
        <v>504</v>
      </c>
      <c r="I255" s="66" t="s">
        <v>515</v>
      </c>
      <c r="J255" s="66" t="s">
        <v>456</v>
      </c>
      <c r="K255" s="66" t="s">
        <v>456</v>
      </c>
      <c r="L255" s="66">
        <v>22.0</v>
      </c>
      <c r="M255" s="66">
        <v>22.0</v>
      </c>
      <c r="N255" s="66" t="s">
        <v>457</v>
      </c>
      <c r="O255" s="66">
        <v>24.0</v>
      </c>
      <c r="P255" s="66" t="s">
        <v>1064</v>
      </c>
      <c r="Q255" s="64" t="s">
        <v>459</v>
      </c>
      <c r="R255" s="64" t="s">
        <v>459</v>
      </c>
      <c r="S255" s="64">
        <v>181.0</v>
      </c>
      <c r="T255" s="64">
        <v>1991.0</v>
      </c>
      <c r="U255" s="64">
        <v>181.0</v>
      </c>
      <c r="V255" s="66">
        <v>1991.0</v>
      </c>
      <c r="W255" s="66">
        <v>1991.0</v>
      </c>
      <c r="X255" s="79" t="s">
        <v>460</v>
      </c>
      <c r="Y255" s="66" t="s">
        <v>461</v>
      </c>
      <c r="Z255" s="66" t="s">
        <v>462</v>
      </c>
      <c r="AA255" s="66" t="s">
        <v>463</v>
      </c>
      <c r="AB255" s="66" t="s">
        <v>464</v>
      </c>
      <c r="AC255" s="66" t="s">
        <v>451</v>
      </c>
      <c r="AD255" s="64" t="s">
        <v>517</v>
      </c>
      <c r="AE255" s="64" t="s">
        <v>518</v>
      </c>
      <c r="AF255" s="64" t="s">
        <v>518</v>
      </c>
      <c r="AG255" s="64" t="s">
        <v>467</v>
      </c>
      <c r="AH255" s="64" t="s">
        <v>467</v>
      </c>
      <c r="AI255" s="64">
        <v>815.0</v>
      </c>
      <c r="AJ255" s="64">
        <v>21.5</v>
      </c>
      <c r="AK255" s="67">
        <v>17522.5</v>
      </c>
      <c r="AL255" s="63"/>
      <c r="AM255" s="63"/>
      <c r="AN255" s="64">
        <v>21.5</v>
      </c>
      <c r="AO255" s="64" t="s">
        <v>468</v>
      </c>
      <c r="AP255" s="63"/>
      <c r="AQ255" s="63"/>
      <c r="AR255" s="63"/>
      <c r="AS255" s="63"/>
      <c r="AT255" s="63"/>
      <c r="AU255" s="63"/>
      <c r="AV255" s="68"/>
      <c r="AW255" s="58" t="s">
        <v>512</v>
      </c>
      <c r="AX255" s="69">
        <v>17522.5</v>
      </c>
      <c r="AY255" s="70"/>
      <c r="AZ255" s="70"/>
      <c r="BA255" s="70"/>
      <c r="BB255" s="70"/>
      <c r="BC255" s="58" t="s">
        <v>469</v>
      </c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8"/>
      <c r="BR255" s="58"/>
    </row>
    <row r="256">
      <c r="A256" s="59">
        <v>45821.0</v>
      </c>
      <c r="B256" s="60" t="s">
        <v>451</v>
      </c>
      <c r="C256" s="61">
        <v>45821.0</v>
      </c>
      <c r="D256" s="61">
        <v>45821.0</v>
      </c>
      <c r="E256" s="60" t="s">
        <v>452</v>
      </c>
      <c r="F256" s="86" t="s">
        <v>1065</v>
      </c>
      <c r="G256" s="63"/>
      <c r="H256" s="64" t="s">
        <v>521</v>
      </c>
      <c r="I256" s="64" t="s">
        <v>713</v>
      </c>
      <c r="J256" s="64" t="s">
        <v>456</v>
      </c>
      <c r="K256" s="64" t="s">
        <v>456</v>
      </c>
      <c r="L256" s="64">
        <v>22.0</v>
      </c>
      <c r="M256" s="64">
        <v>22.0</v>
      </c>
      <c r="N256" s="64" t="s">
        <v>457</v>
      </c>
      <c r="O256" s="64">
        <v>24.0</v>
      </c>
      <c r="P256" s="64" t="s">
        <v>1066</v>
      </c>
      <c r="Q256" s="66" t="s">
        <v>459</v>
      </c>
      <c r="R256" s="66" t="s">
        <v>459</v>
      </c>
      <c r="S256" s="66">
        <v>227.0</v>
      </c>
      <c r="T256" s="66">
        <v>2497.0</v>
      </c>
      <c r="U256" s="66">
        <v>227.0</v>
      </c>
      <c r="V256" s="64">
        <v>2497.0</v>
      </c>
      <c r="W256" s="64">
        <v>2497.0</v>
      </c>
      <c r="X256" s="76" t="s">
        <v>460</v>
      </c>
      <c r="Y256" s="64" t="s">
        <v>461</v>
      </c>
      <c r="Z256" s="64" t="s">
        <v>462</v>
      </c>
      <c r="AA256" s="64" t="s">
        <v>463</v>
      </c>
      <c r="AB256" s="64" t="s">
        <v>464</v>
      </c>
      <c r="AC256" s="64" t="s">
        <v>451</v>
      </c>
      <c r="AD256" s="66" t="s">
        <v>524</v>
      </c>
      <c r="AE256" s="66" t="s">
        <v>483</v>
      </c>
      <c r="AF256" s="66" t="s">
        <v>483</v>
      </c>
      <c r="AG256" s="66" t="s">
        <v>467</v>
      </c>
      <c r="AH256" s="66" t="s">
        <v>467</v>
      </c>
      <c r="AI256" s="66">
        <v>600.0</v>
      </c>
      <c r="AJ256" s="66">
        <v>21.5</v>
      </c>
      <c r="AK256" s="67">
        <v>12900.0</v>
      </c>
      <c r="AL256" s="63"/>
      <c r="AM256" s="63"/>
      <c r="AN256" s="64">
        <v>21.5</v>
      </c>
      <c r="AO256" s="64" t="s">
        <v>468</v>
      </c>
      <c r="AP256" s="63"/>
      <c r="AQ256" s="63"/>
      <c r="AR256" s="63"/>
      <c r="AS256" s="63"/>
      <c r="AT256" s="63"/>
      <c r="AU256" s="63"/>
      <c r="AV256" s="68"/>
      <c r="AW256" s="58" t="s">
        <v>512</v>
      </c>
      <c r="AX256" s="69">
        <v>12900.0</v>
      </c>
      <c r="AY256" s="70"/>
      <c r="AZ256" s="70"/>
      <c r="BA256" s="70"/>
      <c r="BB256" s="70"/>
      <c r="BC256" s="58" t="s">
        <v>469</v>
      </c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</row>
    <row r="257">
      <c r="A257" s="59">
        <v>45821.0</v>
      </c>
      <c r="B257" s="60" t="s">
        <v>451</v>
      </c>
      <c r="C257" s="61">
        <v>45821.0</v>
      </c>
      <c r="D257" s="61">
        <v>45821.0</v>
      </c>
      <c r="E257" s="60" t="s">
        <v>452</v>
      </c>
      <c r="F257" s="71" t="s">
        <v>1067</v>
      </c>
      <c r="G257" s="77"/>
      <c r="H257" s="66" t="s">
        <v>492</v>
      </c>
      <c r="I257" s="66" t="s">
        <v>527</v>
      </c>
      <c r="J257" s="66" t="s">
        <v>456</v>
      </c>
      <c r="K257" s="66" t="s">
        <v>456</v>
      </c>
      <c r="L257" s="66">
        <v>22.0</v>
      </c>
      <c r="M257" s="66">
        <v>22.0</v>
      </c>
      <c r="N257" s="66" t="s">
        <v>457</v>
      </c>
      <c r="O257" s="66">
        <v>24.0</v>
      </c>
      <c r="P257" s="66" t="s">
        <v>1068</v>
      </c>
      <c r="Q257" s="64" t="s">
        <v>459</v>
      </c>
      <c r="R257" s="64" t="s">
        <v>459</v>
      </c>
      <c r="S257" s="64">
        <v>168.0</v>
      </c>
      <c r="T257" s="64">
        <v>1848.0</v>
      </c>
      <c r="U257" s="64">
        <v>168.0</v>
      </c>
      <c r="V257" s="66">
        <v>1848.0</v>
      </c>
      <c r="W257" s="66">
        <v>1848.0</v>
      </c>
      <c r="X257" s="79" t="s">
        <v>460</v>
      </c>
      <c r="Y257" s="66" t="s">
        <v>461</v>
      </c>
      <c r="Z257" s="66" t="s">
        <v>462</v>
      </c>
      <c r="AA257" s="66" t="s">
        <v>463</v>
      </c>
      <c r="AB257" s="66" t="s">
        <v>464</v>
      </c>
      <c r="AC257" s="66" t="s">
        <v>451</v>
      </c>
      <c r="AD257" s="60" t="s">
        <v>529</v>
      </c>
      <c r="AE257" s="64" t="s">
        <v>530</v>
      </c>
      <c r="AF257" s="64" t="s">
        <v>530</v>
      </c>
      <c r="AG257" s="64" t="s">
        <v>467</v>
      </c>
      <c r="AH257" s="64" t="s">
        <v>467</v>
      </c>
      <c r="AI257" s="64">
        <v>510.0</v>
      </c>
      <c r="AJ257" s="64">
        <v>21.5</v>
      </c>
      <c r="AK257" s="67">
        <v>10965.0</v>
      </c>
      <c r="AL257" s="63"/>
      <c r="AM257" s="63"/>
      <c r="AN257" s="64">
        <v>21.5</v>
      </c>
      <c r="AO257" s="64" t="s">
        <v>468</v>
      </c>
      <c r="AP257" s="63"/>
      <c r="AQ257" s="63"/>
      <c r="AR257" s="63"/>
      <c r="AS257" s="63"/>
      <c r="AT257" s="63"/>
      <c r="AU257" s="63"/>
      <c r="AV257" s="68"/>
      <c r="AW257" s="58" t="s">
        <v>512</v>
      </c>
      <c r="AX257" s="69">
        <v>10965.0</v>
      </c>
      <c r="AY257" s="70"/>
      <c r="AZ257" s="70"/>
      <c r="BA257" s="70"/>
      <c r="BB257" s="70"/>
      <c r="BC257" s="58" t="s">
        <v>469</v>
      </c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</row>
    <row r="258">
      <c r="A258" s="59">
        <v>45821.0</v>
      </c>
      <c r="B258" s="60" t="s">
        <v>451</v>
      </c>
      <c r="C258" s="61">
        <v>45821.0</v>
      </c>
      <c r="D258" s="61">
        <v>45821.0</v>
      </c>
      <c r="E258" s="60" t="s">
        <v>452</v>
      </c>
      <c r="F258" s="86" t="s">
        <v>1069</v>
      </c>
      <c r="G258" s="63"/>
      <c r="H258" s="64" t="s">
        <v>492</v>
      </c>
      <c r="I258" s="64" t="s">
        <v>1070</v>
      </c>
      <c r="J258" s="64" t="s">
        <v>486</v>
      </c>
      <c r="K258" s="64" t="s">
        <v>486</v>
      </c>
      <c r="L258" s="64">
        <v>22.0</v>
      </c>
      <c r="M258" s="64">
        <v>22.0</v>
      </c>
      <c r="N258" s="64" t="s">
        <v>457</v>
      </c>
      <c r="O258" s="64">
        <v>24.0</v>
      </c>
      <c r="P258" s="64" t="s">
        <v>1071</v>
      </c>
      <c r="Q258" s="66" t="s">
        <v>459</v>
      </c>
      <c r="R258" s="66" t="s">
        <v>459</v>
      </c>
      <c r="S258" s="66">
        <v>152.0</v>
      </c>
      <c r="T258" s="66">
        <v>1672.0</v>
      </c>
      <c r="U258" s="66">
        <v>152.0</v>
      </c>
      <c r="V258" s="64">
        <v>1672.0</v>
      </c>
      <c r="W258" s="64">
        <v>1672.0</v>
      </c>
      <c r="X258" s="76" t="s">
        <v>460</v>
      </c>
      <c r="Y258" s="64" t="s">
        <v>461</v>
      </c>
      <c r="Z258" s="64" t="s">
        <v>462</v>
      </c>
      <c r="AA258" s="64" t="s">
        <v>463</v>
      </c>
      <c r="AB258" s="64" t="s">
        <v>464</v>
      </c>
      <c r="AC258" s="64" t="s">
        <v>451</v>
      </c>
      <c r="AD258" s="60" t="s">
        <v>529</v>
      </c>
      <c r="AE258" s="66" t="s">
        <v>535</v>
      </c>
      <c r="AF258" s="66" t="s">
        <v>535</v>
      </c>
      <c r="AG258" s="66" t="s">
        <v>467</v>
      </c>
      <c r="AH258" s="66" t="s">
        <v>467</v>
      </c>
      <c r="AI258" s="66">
        <v>510.0</v>
      </c>
      <c r="AJ258" s="66">
        <v>23.5</v>
      </c>
      <c r="AK258" s="67">
        <v>11985.0</v>
      </c>
      <c r="AL258" s="63"/>
      <c r="AM258" s="63"/>
      <c r="AN258" s="64">
        <v>23.5</v>
      </c>
      <c r="AO258" s="64" t="s">
        <v>468</v>
      </c>
      <c r="AP258" s="63"/>
      <c r="AQ258" s="63"/>
      <c r="AR258" s="63"/>
      <c r="AS258" s="63"/>
      <c r="AT258" s="63"/>
      <c r="AU258" s="63"/>
      <c r="AV258" s="68"/>
      <c r="AW258" s="58" t="s">
        <v>512</v>
      </c>
      <c r="AX258" s="69">
        <v>11985.0</v>
      </c>
      <c r="AY258" s="70"/>
      <c r="AZ258" s="70"/>
      <c r="BA258" s="70"/>
      <c r="BB258" s="70"/>
      <c r="BC258" s="58" t="s">
        <v>469</v>
      </c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</row>
    <row r="259">
      <c r="A259" s="59">
        <v>45821.0</v>
      </c>
      <c r="B259" s="60" t="s">
        <v>451</v>
      </c>
      <c r="C259" s="61">
        <v>45821.0</v>
      </c>
      <c r="D259" s="61">
        <v>45821.0</v>
      </c>
      <c r="E259" s="60" t="s">
        <v>452</v>
      </c>
      <c r="F259" s="71" t="s">
        <v>1072</v>
      </c>
      <c r="G259" s="77"/>
      <c r="H259" s="66" t="s">
        <v>538</v>
      </c>
      <c r="I259" s="66" t="s">
        <v>539</v>
      </c>
      <c r="J259" s="66" t="s">
        <v>456</v>
      </c>
      <c r="K259" s="66" t="s">
        <v>456</v>
      </c>
      <c r="L259" s="66">
        <v>32.0</v>
      </c>
      <c r="M259" s="66">
        <v>32.0</v>
      </c>
      <c r="N259" s="66" t="s">
        <v>540</v>
      </c>
      <c r="O259" s="66">
        <v>24.0</v>
      </c>
      <c r="P259" s="80">
        <v>2.44E8</v>
      </c>
      <c r="Q259" s="64" t="s">
        <v>459</v>
      </c>
      <c r="R259" s="64" t="s">
        <v>459</v>
      </c>
      <c r="S259" s="64">
        <v>163.0</v>
      </c>
      <c r="T259" s="64">
        <v>1793.0</v>
      </c>
      <c r="U259" s="64">
        <v>163.0</v>
      </c>
      <c r="V259" s="66">
        <v>1793.0</v>
      </c>
      <c r="W259" s="66">
        <v>1793.0</v>
      </c>
      <c r="X259" s="79" t="s">
        <v>460</v>
      </c>
      <c r="Y259" s="66" t="s">
        <v>461</v>
      </c>
      <c r="Z259" s="66" t="s">
        <v>462</v>
      </c>
      <c r="AA259" s="66" t="s">
        <v>463</v>
      </c>
      <c r="AB259" s="66" t="s">
        <v>464</v>
      </c>
      <c r="AC259" s="66" t="s">
        <v>451</v>
      </c>
      <c r="AD259" s="64" t="s">
        <v>541</v>
      </c>
      <c r="AE259" s="64" t="s">
        <v>490</v>
      </c>
      <c r="AF259" s="64" t="s">
        <v>490</v>
      </c>
      <c r="AG259" s="64" t="s">
        <v>467</v>
      </c>
      <c r="AH259" s="64" t="s">
        <v>467</v>
      </c>
      <c r="AI259" s="64">
        <v>325.0</v>
      </c>
      <c r="AJ259" s="64">
        <v>28.4</v>
      </c>
      <c r="AK259" s="67">
        <v>9213.75</v>
      </c>
      <c r="AL259" s="63"/>
      <c r="AM259" s="63"/>
      <c r="AN259" s="64">
        <v>28.35</v>
      </c>
      <c r="AO259" s="64" t="s">
        <v>468</v>
      </c>
      <c r="AP259" s="63"/>
      <c r="AQ259" s="63"/>
      <c r="AR259" s="63"/>
      <c r="AS259" s="63"/>
      <c r="AT259" s="63"/>
      <c r="AU259" s="63"/>
      <c r="AV259" s="68"/>
      <c r="AW259" s="58" t="s">
        <v>512</v>
      </c>
      <c r="AX259" s="69">
        <v>9213.75</v>
      </c>
      <c r="AY259" s="70"/>
      <c r="AZ259" s="70"/>
      <c r="BA259" s="70"/>
      <c r="BB259" s="70"/>
      <c r="BC259" s="58" t="s">
        <v>469</v>
      </c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  <c r="BQ259" s="58"/>
      <c r="BR259" s="58"/>
    </row>
    <row r="260">
      <c r="A260" s="59">
        <v>45821.0</v>
      </c>
      <c r="B260" s="60" t="s">
        <v>451</v>
      </c>
      <c r="C260" s="61">
        <v>45821.0</v>
      </c>
      <c r="D260" s="61">
        <v>45821.0</v>
      </c>
      <c r="E260" s="60" t="s">
        <v>452</v>
      </c>
      <c r="F260" s="86" t="s">
        <v>1073</v>
      </c>
      <c r="G260" s="63"/>
      <c r="H260" s="64" t="s">
        <v>521</v>
      </c>
      <c r="I260" s="64" t="s">
        <v>769</v>
      </c>
      <c r="J260" s="64" t="s">
        <v>456</v>
      </c>
      <c r="K260" s="64" t="s">
        <v>456</v>
      </c>
      <c r="L260" s="64">
        <v>22.0</v>
      </c>
      <c r="M260" s="64">
        <v>22.0</v>
      </c>
      <c r="N260" s="64" t="s">
        <v>457</v>
      </c>
      <c r="O260" s="64">
        <v>24.0</v>
      </c>
      <c r="P260" s="75">
        <v>2.44E8</v>
      </c>
      <c r="Q260" s="66" t="s">
        <v>459</v>
      </c>
      <c r="R260" s="66" t="s">
        <v>459</v>
      </c>
      <c r="S260" s="66">
        <v>176.0</v>
      </c>
      <c r="T260" s="66">
        <v>1936.0</v>
      </c>
      <c r="U260" s="66">
        <v>176.0</v>
      </c>
      <c r="V260" s="64">
        <v>1936.0</v>
      </c>
      <c r="W260" s="64">
        <v>1936.0</v>
      </c>
      <c r="X260" s="76" t="s">
        <v>460</v>
      </c>
      <c r="Y260" s="64" t="s">
        <v>461</v>
      </c>
      <c r="Z260" s="64" t="s">
        <v>462</v>
      </c>
      <c r="AA260" s="64" t="s">
        <v>463</v>
      </c>
      <c r="AB260" s="64" t="s">
        <v>464</v>
      </c>
      <c r="AC260" s="64" t="s">
        <v>451</v>
      </c>
      <c r="AD260" s="60" t="s">
        <v>544</v>
      </c>
      <c r="AE260" s="66" t="s">
        <v>545</v>
      </c>
      <c r="AF260" s="66" t="s">
        <v>546</v>
      </c>
      <c r="AG260" s="66" t="s">
        <v>467</v>
      </c>
      <c r="AH260" s="66" t="s">
        <v>467</v>
      </c>
      <c r="AI260" s="66">
        <v>440.0</v>
      </c>
      <c r="AJ260" s="66">
        <v>21.5</v>
      </c>
      <c r="AK260" s="67">
        <v>9460.0</v>
      </c>
      <c r="AL260" s="63"/>
      <c r="AM260" s="63"/>
      <c r="AN260" s="64">
        <v>21.5</v>
      </c>
      <c r="AO260" s="60" t="s">
        <v>468</v>
      </c>
      <c r="AP260" s="63"/>
      <c r="AQ260" s="63"/>
      <c r="AR260" s="63"/>
      <c r="AS260" s="63"/>
      <c r="AT260" s="63"/>
      <c r="AU260" s="63"/>
      <c r="AV260" s="63"/>
      <c r="AW260" s="58" t="s">
        <v>512</v>
      </c>
      <c r="AX260" s="69">
        <v>9460.0</v>
      </c>
      <c r="AY260" s="70"/>
      <c r="AZ260" s="70"/>
      <c r="BA260" s="70"/>
      <c r="BB260" s="70"/>
      <c r="BC260" s="58" t="s">
        <v>469</v>
      </c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8"/>
      <c r="BR260" s="58"/>
    </row>
    <row r="261">
      <c r="A261" s="59">
        <v>45821.0</v>
      </c>
      <c r="B261" s="60" t="s">
        <v>451</v>
      </c>
      <c r="C261" s="61">
        <v>45821.0</v>
      </c>
      <c r="D261" s="61">
        <v>45821.0</v>
      </c>
      <c r="E261" s="60" t="s">
        <v>452</v>
      </c>
      <c r="F261" s="71" t="s">
        <v>1074</v>
      </c>
      <c r="G261" s="77"/>
      <c r="H261" s="66" t="s">
        <v>472</v>
      </c>
      <c r="I261" s="66" t="s">
        <v>632</v>
      </c>
      <c r="J261" s="66" t="s">
        <v>456</v>
      </c>
      <c r="K261" s="66" t="s">
        <v>456</v>
      </c>
      <c r="L261" s="66">
        <v>22.0</v>
      </c>
      <c r="M261" s="66">
        <v>22.0</v>
      </c>
      <c r="N261" s="66" t="s">
        <v>457</v>
      </c>
      <c r="O261" s="66">
        <v>24.0</v>
      </c>
      <c r="P261" s="66" t="s">
        <v>1075</v>
      </c>
      <c r="Q261" s="64" t="s">
        <v>459</v>
      </c>
      <c r="R261" s="64" t="s">
        <v>459</v>
      </c>
      <c r="S261" s="64">
        <v>148.0</v>
      </c>
      <c r="T261" s="64">
        <v>1628.0</v>
      </c>
      <c r="U261" s="64">
        <v>148.0</v>
      </c>
      <c r="V261" s="66">
        <v>1628.0</v>
      </c>
      <c r="W261" s="66">
        <v>1628.0</v>
      </c>
      <c r="X261" s="79" t="s">
        <v>460</v>
      </c>
      <c r="Y261" s="66" t="s">
        <v>461</v>
      </c>
      <c r="Z261" s="66" t="s">
        <v>462</v>
      </c>
      <c r="AA261" s="66" t="s">
        <v>463</v>
      </c>
      <c r="AB261" s="66" t="s">
        <v>464</v>
      </c>
      <c r="AC261" s="66" t="s">
        <v>451</v>
      </c>
      <c r="AD261" s="60" t="s">
        <v>765</v>
      </c>
      <c r="AE261" s="64" t="s">
        <v>663</v>
      </c>
      <c r="AF261" s="64" t="s">
        <v>663</v>
      </c>
      <c r="AG261" s="64" t="s">
        <v>467</v>
      </c>
      <c r="AH261" s="64" t="s">
        <v>467</v>
      </c>
      <c r="AI261" s="64">
        <v>330.0</v>
      </c>
      <c r="AJ261" s="64">
        <v>21.5</v>
      </c>
      <c r="AK261" s="67">
        <v>7095.0</v>
      </c>
      <c r="AL261" s="63"/>
      <c r="AM261" s="63"/>
      <c r="AN261" s="64">
        <v>21.5</v>
      </c>
      <c r="AO261" s="64" t="s">
        <v>468</v>
      </c>
      <c r="AP261" s="63"/>
      <c r="AQ261" s="63"/>
      <c r="AR261" s="63"/>
      <c r="AS261" s="63"/>
      <c r="AT261" s="63"/>
      <c r="AU261" s="63"/>
      <c r="AV261" s="63"/>
      <c r="AW261" s="58" t="s">
        <v>512</v>
      </c>
      <c r="AX261" s="69">
        <v>7095.0</v>
      </c>
      <c r="AY261" s="70"/>
      <c r="AZ261" s="70"/>
      <c r="BA261" s="70"/>
      <c r="BB261" s="70"/>
      <c r="BC261" s="58" t="s">
        <v>469</v>
      </c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</row>
    <row r="262">
      <c r="A262" s="59">
        <v>45821.0</v>
      </c>
      <c r="B262" s="60" t="s">
        <v>451</v>
      </c>
      <c r="C262" s="61">
        <v>45821.0</v>
      </c>
      <c r="D262" s="61">
        <v>45821.0</v>
      </c>
      <c r="E262" s="60" t="s">
        <v>452</v>
      </c>
      <c r="F262" s="86" t="s">
        <v>1076</v>
      </c>
      <c r="G262" s="63"/>
      <c r="H262" s="64" t="s">
        <v>771</v>
      </c>
      <c r="I262" s="64" t="s">
        <v>1077</v>
      </c>
      <c r="J262" s="64" t="s">
        <v>486</v>
      </c>
      <c r="K262" s="64" t="s">
        <v>486</v>
      </c>
      <c r="L262" s="64">
        <v>22.0</v>
      </c>
      <c r="M262" s="64">
        <v>22.0</v>
      </c>
      <c r="N262" s="64" t="s">
        <v>457</v>
      </c>
      <c r="O262" s="64">
        <v>24.0</v>
      </c>
      <c r="P262" s="64" t="s">
        <v>1078</v>
      </c>
      <c r="Q262" s="66" t="s">
        <v>459</v>
      </c>
      <c r="R262" s="66" t="s">
        <v>459</v>
      </c>
      <c r="S262" s="66">
        <v>77.0</v>
      </c>
      <c r="T262" s="66">
        <v>847.0</v>
      </c>
      <c r="U262" s="66">
        <v>77.0</v>
      </c>
      <c r="V262" s="64">
        <v>847.0</v>
      </c>
      <c r="W262" s="64">
        <v>847.0</v>
      </c>
      <c r="X262" s="76" t="s">
        <v>460</v>
      </c>
      <c r="Y262" s="64" t="s">
        <v>461</v>
      </c>
      <c r="Z262" s="64" t="s">
        <v>462</v>
      </c>
      <c r="AA262" s="64" t="s">
        <v>463</v>
      </c>
      <c r="AB262" s="64" t="s">
        <v>464</v>
      </c>
      <c r="AC262" s="64" t="s">
        <v>451</v>
      </c>
      <c r="AD262" s="60" t="s">
        <v>765</v>
      </c>
      <c r="AE262" s="66" t="s">
        <v>663</v>
      </c>
      <c r="AF262" s="66" t="s">
        <v>663</v>
      </c>
      <c r="AG262" s="66" t="s">
        <v>467</v>
      </c>
      <c r="AH262" s="66" t="s">
        <v>467</v>
      </c>
      <c r="AI262" s="66">
        <v>330.0</v>
      </c>
      <c r="AJ262" s="66">
        <v>23.5</v>
      </c>
      <c r="AK262" s="67">
        <v>7755.0</v>
      </c>
      <c r="AL262" s="63"/>
      <c r="AM262" s="63"/>
      <c r="AN262" s="64">
        <v>23.5</v>
      </c>
      <c r="AO262" s="64" t="s">
        <v>468</v>
      </c>
      <c r="AP262" s="63"/>
      <c r="AQ262" s="63"/>
      <c r="AR262" s="63"/>
      <c r="AS262" s="63"/>
      <c r="AT262" s="63"/>
      <c r="AU262" s="63"/>
      <c r="AV262" s="63"/>
      <c r="AW262" s="58" t="s">
        <v>512</v>
      </c>
      <c r="AX262" s="69">
        <v>7755.0</v>
      </c>
      <c r="AY262" s="70"/>
      <c r="AZ262" s="70"/>
      <c r="BA262" s="70"/>
      <c r="BB262" s="70"/>
      <c r="BC262" s="58" t="s">
        <v>469</v>
      </c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  <c r="BQ262" s="58"/>
      <c r="BR262" s="58"/>
    </row>
    <row r="263">
      <c r="A263" s="59">
        <v>45821.0</v>
      </c>
      <c r="B263" s="60" t="s">
        <v>451</v>
      </c>
      <c r="C263" s="61">
        <v>45821.0</v>
      </c>
      <c r="D263" s="61">
        <v>45821.0</v>
      </c>
      <c r="E263" s="60" t="s">
        <v>452</v>
      </c>
      <c r="F263" s="71" t="s">
        <v>1079</v>
      </c>
      <c r="G263" s="77"/>
      <c r="H263" s="66" t="s">
        <v>521</v>
      </c>
      <c r="I263" s="66" t="s">
        <v>619</v>
      </c>
      <c r="J263" s="64" t="s">
        <v>456</v>
      </c>
      <c r="K263" s="64" t="s">
        <v>456</v>
      </c>
      <c r="L263" s="66">
        <v>22.0</v>
      </c>
      <c r="M263" s="66">
        <v>22.0</v>
      </c>
      <c r="N263" s="66" t="s">
        <v>457</v>
      </c>
      <c r="O263" s="66">
        <v>24.0</v>
      </c>
      <c r="P263" s="64" t="s">
        <v>1080</v>
      </c>
      <c r="Q263" s="64" t="s">
        <v>459</v>
      </c>
      <c r="R263" s="64" t="s">
        <v>459</v>
      </c>
      <c r="S263" s="64">
        <v>180.0</v>
      </c>
      <c r="T263" s="64">
        <v>1980.0</v>
      </c>
      <c r="U263" s="64">
        <v>180.0</v>
      </c>
      <c r="V263" s="64">
        <v>1980.0</v>
      </c>
      <c r="W263" s="64">
        <v>1980.0</v>
      </c>
      <c r="X263" s="76" t="s">
        <v>460</v>
      </c>
      <c r="Y263" s="64" t="s">
        <v>461</v>
      </c>
      <c r="Z263" s="64" t="s">
        <v>462</v>
      </c>
      <c r="AA263" s="64" t="s">
        <v>463</v>
      </c>
      <c r="AB263" s="66" t="s">
        <v>464</v>
      </c>
      <c r="AC263" s="64" t="s">
        <v>451</v>
      </c>
      <c r="AD263" s="66" t="s">
        <v>678</v>
      </c>
      <c r="AE263" s="66" t="s">
        <v>643</v>
      </c>
      <c r="AF263" s="66" t="s">
        <v>643</v>
      </c>
      <c r="AG263" s="64" t="s">
        <v>467</v>
      </c>
      <c r="AH263" s="64" t="s">
        <v>467</v>
      </c>
      <c r="AI263" s="64">
        <v>805.0</v>
      </c>
      <c r="AJ263" s="64">
        <v>21.5</v>
      </c>
      <c r="AK263" s="67">
        <v>17307.5</v>
      </c>
      <c r="AL263" s="63"/>
      <c r="AM263" s="63"/>
      <c r="AN263" s="64">
        <v>21.5</v>
      </c>
      <c r="AO263" s="66" t="s">
        <v>468</v>
      </c>
      <c r="AP263" s="63"/>
      <c r="AQ263" s="63"/>
      <c r="AR263" s="63"/>
      <c r="AS263" s="63"/>
      <c r="AT263" s="63"/>
      <c r="AU263" s="63"/>
      <c r="AV263" s="68"/>
      <c r="AW263" s="58" t="s">
        <v>512</v>
      </c>
      <c r="AX263" s="69">
        <v>17307.5</v>
      </c>
      <c r="AY263" s="70"/>
      <c r="AZ263" s="70"/>
      <c r="BA263" s="70"/>
      <c r="BB263" s="70"/>
      <c r="BC263" s="58" t="s">
        <v>469</v>
      </c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8"/>
      <c r="BR263" s="58"/>
    </row>
    <row r="264">
      <c r="A264" s="59">
        <v>45821.0</v>
      </c>
      <c r="B264" s="60" t="s">
        <v>451</v>
      </c>
      <c r="C264" s="61">
        <v>45821.0</v>
      </c>
      <c r="D264" s="61">
        <v>45821.0</v>
      </c>
      <c r="E264" s="60" t="s">
        <v>452</v>
      </c>
      <c r="F264" s="86" t="s">
        <v>1081</v>
      </c>
      <c r="G264" s="63"/>
      <c r="H264" s="64" t="s">
        <v>521</v>
      </c>
      <c r="I264" s="64" t="s">
        <v>1082</v>
      </c>
      <c r="J264" s="64" t="s">
        <v>456</v>
      </c>
      <c r="K264" s="64" t="s">
        <v>456</v>
      </c>
      <c r="L264" s="66">
        <v>22.0</v>
      </c>
      <c r="M264" s="66">
        <v>22.0</v>
      </c>
      <c r="N264" s="66" t="s">
        <v>457</v>
      </c>
      <c r="O264" s="66">
        <v>24.0</v>
      </c>
      <c r="P264" s="64" t="s">
        <v>1083</v>
      </c>
      <c r="Q264" s="64" t="s">
        <v>459</v>
      </c>
      <c r="R264" s="64" t="s">
        <v>459</v>
      </c>
      <c r="S264" s="64">
        <v>213.0</v>
      </c>
      <c r="T264" s="64">
        <v>2343.0</v>
      </c>
      <c r="U264" s="64">
        <v>213.0</v>
      </c>
      <c r="V264" s="64">
        <v>2343.0</v>
      </c>
      <c r="W264" s="64">
        <v>2343.0</v>
      </c>
      <c r="X264" s="76" t="s">
        <v>460</v>
      </c>
      <c r="Y264" s="64" t="s">
        <v>461</v>
      </c>
      <c r="Z264" s="64" t="s">
        <v>462</v>
      </c>
      <c r="AA264" s="64" t="s">
        <v>463</v>
      </c>
      <c r="AB264" s="64" t="s">
        <v>464</v>
      </c>
      <c r="AC264" s="66" t="s">
        <v>451</v>
      </c>
      <c r="AD264" s="66" t="s">
        <v>557</v>
      </c>
      <c r="AE264" s="64" t="s">
        <v>525</v>
      </c>
      <c r="AF264" s="64" t="s">
        <v>525</v>
      </c>
      <c r="AG264" s="64" t="s">
        <v>467</v>
      </c>
      <c r="AH264" s="64" t="s">
        <v>467</v>
      </c>
      <c r="AI264" s="66">
        <v>800.0</v>
      </c>
      <c r="AJ264" s="64">
        <v>21.5</v>
      </c>
      <c r="AK264" s="67">
        <v>17200.0</v>
      </c>
      <c r="AL264" s="63"/>
      <c r="AM264" s="63"/>
      <c r="AN264" s="64">
        <v>21.5</v>
      </c>
      <c r="AO264" s="66" t="s">
        <v>468</v>
      </c>
      <c r="AP264" s="63"/>
      <c r="AQ264" s="63"/>
      <c r="AR264" s="63"/>
      <c r="AS264" s="63"/>
      <c r="AT264" s="63"/>
      <c r="AU264" s="63"/>
      <c r="AV264" s="68"/>
      <c r="AW264" s="58" t="s">
        <v>512</v>
      </c>
      <c r="AX264" s="69">
        <v>17200.0</v>
      </c>
      <c r="AY264" s="70"/>
      <c r="AZ264" s="70"/>
      <c r="BA264" s="70"/>
      <c r="BB264" s="70"/>
      <c r="BC264" s="58" t="s">
        <v>469</v>
      </c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</row>
    <row r="265">
      <c r="A265" s="59">
        <v>45821.0</v>
      </c>
      <c r="B265" s="60" t="s">
        <v>451</v>
      </c>
      <c r="C265" s="61">
        <v>45821.0</v>
      </c>
      <c r="D265" s="61">
        <v>45821.0</v>
      </c>
      <c r="E265" s="60" t="s">
        <v>452</v>
      </c>
      <c r="F265" s="71" t="s">
        <v>1084</v>
      </c>
      <c r="G265" s="77"/>
      <c r="H265" s="66" t="s">
        <v>771</v>
      </c>
      <c r="I265" s="66" t="s">
        <v>772</v>
      </c>
      <c r="J265" s="66" t="s">
        <v>456</v>
      </c>
      <c r="K265" s="66" t="s">
        <v>456</v>
      </c>
      <c r="L265" s="66">
        <v>22.0</v>
      </c>
      <c r="M265" s="66">
        <v>22.0</v>
      </c>
      <c r="N265" s="66" t="s">
        <v>457</v>
      </c>
      <c r="O265" s="66">
        <v>24.0</v>
      </c>
      <c r="P265" s="66" t="s">
        <v>1085</v>
      </c>
      <c r="Q265" s="64" t="s">
        <v>459</v>
      </c>
      <c r="R265" s="64" t="s">
        <v>459</v>
      </c>
      <c r="S265" s="64">
        <v>251.0</v>
      </c>
      <c r="T265" s="64">
        <v>2761.0</v>
      </c>
      <c r="U265" s="64">
        <v>251.0</v>
      </c>
      <c r="V265" s="66">
        <v>2761.0</v>
      </c>
      <c r="W265" s="66">
        <v>2761.0</v>
      </c>
      <c r="X265" s="79" t="s">
        <v>460</v>
      </c>
      <c r="Y265" s="66" t="s">
        <v>461</v>
      </c>
      <c r="Z265" s="66" t="s">
        <v>462</v>
      </c>
      <c r="AA265" s="66" t="s">
        <v>463</v>
      </c>
      <c r="AB265" s="66" t="s">
        <v>464</v>
      </c>
      <c r="AC265" s="66" t="s">
        <v>451</v>
      </c>
      <c r="AD265" s="60" t="s">
        <v>561</v>
      </c>
      <c r="AE265" s="64" t="s">
        <v>562</v>
      </c>
      <c r="AF265" s="64" t="s">
        <v>562</v>
      </c>
      <c r="AG265" s="64" t="s">
        <v>467</v>
      </c>
      <c r="AH265" s="64" t="s">
        <v>467</v>
      </c>
      <c r="AI265" s="64">
        <v>325.0</v>
      </c>
      <c r="AJ265" s="64">
        <v>21.5</v>
      </c>
      <c r="AK265" s="67">
        <v>6987.5</v>
      </c>
      <c r="AL265" s="63"/>
      <c r="AM265" s="63"/>
      <c r="AN265" s="64">
        <v>21.5</v>
      </c>
      <c r="AO265" s="64" t="s">
        <v>468</v>
      </c>
      <c r="AP265" s="63"/>
      <c r="AQ265" s="63"/>
      <c r="AR265" s="63"/>
      <c r="AS265" s="63"/>
      <c r="AT265" s="63"/>
      <c r="AU265" s="63"/>
      <c r="AV265" s="63"/>
      <c r="AW265" s="58" t="s">
        <v>512</v>
      </c>
      <c r="AX265" s="69">
        <v>6987.5</v>
      </c>
      <c r="AY265" s="70"/>
      <c r="AZ265" s="70"/>
      <c r="BA265" s="70"/>
      <c r="BB265" s="70"/>
      <c r="BC265" s="58" t="s">
        <v>469</v>
      </c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</row>
    <row r="266">
      <c r="A266" s="59">
        <v>45821.0</v>
      </c>
      <c r="B266" s="60" t="s">
        <v>451</v>
      </c>
      <c r="C266" s="61">
        <v>45821.0</v>
      </c>
      <c r="D266" s="61">
        <v>45821.0</v>
      </c>
      <c r="E266" s="60" t="s">
        <v>452</v>
      </c>
      <c r="F266" s="86" t="s">
        <v>1086</v>
      </c>
      <c r="G266" s="63"/>
      <c r="H266" s="64" t="s">
        <v>771</v>
      </c>
      <c r="I266" s="64" t="s">
        <v>775</v>
      </c>
      <c r="J266" s="64" t="s">
        <v>456</v>
      </c>
      <c r="K266" s="64" t="s">
        <v>456</v>
      </c>
      <c r="L266" s="64">
        <v>22.0</v>
      </c>
      <c r="M266" s="64">
        <v>22.0</v>
      </c>
      <c r="N266" s="64" t="s">
        <v>457</v>
      </c>
      <c r="O266" s="64">
        <v>24.0</v>
      </c>
      <c r="P266" s="75">
        <v>2.44E8</v>
      </c>
      <c r="Q266" s="66" t="s">
        <v>459</v>
      </c>
      <c r="R266" s="66" t="s">
        <v>459</v>
      </c>
      <c r="S266" s="66">
        <v>195.0</v>
      </c>
      <c r="T266" s="66">
        <v>2145.0</v>
      </c>
      <c r="U266" s="66">
        <v>195.0</v>
      </c>
      <c r="V266" s="64">
        <v>2145.0</v>
      </c>
      <c r="W266" s="64">
        <v>2145.0</v>
      </c>
      <c r="X266" s="76" t="s">
        <v>460</v>
      </c>
      <c r="Y266" s="64" t="s">
        <v>461</v>
      </c>
      <c r="Z266" s="64" t="s">
        <v>462</v>
      </c>
      <c r="AA266" s="64" t="s">
        <v>463</v>
      </c>
      <c r="AB266" s="64" t="s">
        <v>464</v>
      </c>
      <c r="AC266" s="64" t="s">
        <v>451</v>
      </c>
      <c r="AD266" s="64" t="s">
        <v>566</v>
      </c>
      <c r="AE266" s="66" t="s">
        <v>567</v>
      </c>
      <c r="AF266" s="66" t="s">
        <v>567</v>
      </c>
      <c r="AG266" s="66" t="s">
        <v>467</v>
      </c>
      <c r="AH266" s="66" t="s">
        <v>467</v>
      </c>
      <c r="AI266" s="66">
        <v>475.0</v>
      </c>
      <c r="AJ266" s="66">
        <v>21.5</v>
      </c>
      <c r="AK266" s="67">
        <v>10212.5</v>
      </c>
      <c r="AL266" s="63"/>
      <c r="AM266" s="63"/>
      <c r="AN266" s="64">
        <v>21.5</v>
      </c>
      <c r="AO266" s="64" t="s">
        <v>468</v>
      </c>
      <c r="AP266" s="63"/>
      <c r="AQ266" s="63"/>
      <c r="AR266" s="63"/>
      <c r="AS266" s="63"/>
      <c r="AT266" s="63"/>
      <c r="AU266" s="63"/>
      <c r="AV266" s="63"/>
      <c r="AW266" s="58" t="s">
        <v>512</v>
      </c>
      <c r="AX266" s="69">
        <v>10212.5</v>
      </c>
      <c r="AY266" s="70"/>
      <c r="AZ266" s="70"/>
      <c r="BA266" s="70"/>
      <c r="BB266" s="70"/>
      <c r="BC266" s="58" t="s">
        <v>469</v>
      </c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</row>
    <row r="267">
      <c r="A267" s="59">
        <v>45821.0</v>
      </c>
      <c r="B267" s="60" t="s">
        <v>451</v>
      </c>
      <c r="C267" s="61">
        <v>45821.0</v>
      </c>
      <c r="D267" s="61">
        <v>45821.0</v>
      </c>
      <c r="E267" s="60" t="s">
        <v>452</v>
      </c>
      <c r="F267" s="71" t="s">
        <v>1087</v>
      </c>
      <c r="G267" s="77"/>
      <c r="H267" s="66" t="s">
        <v>492</v>
      </c>
      <c r="I267" s="66" t="s">
        <v>569</v>
      </c>
      <c r="J267" s="66" t="s">
        <v>456</v>
      </c>
      <c r="K267" s="66" t="s">
        <v>456</v>
      </c>
      <c r="L267" s="66">
        <v>22.0</v>
      </c>
      <c r="M267" s="66">
        <v>22.0</v>
      </c>
      <c r="N267" s="66" t="s">
        <v>457</v>
      </c>
      <c r="O267" s="66">
        <v>24.0</v>
      </c>
      <c r="P267" s="66" t="s">
        <v>1088</v>
      </c>
      <c r="Q267" s="64" t="s">
        <v>459</v>
      </c>
      <c r="R267" s="64" t="s">
        <v>459</v>
      </c>
      <c r="S267" s="64">
        <v>266.0</v>
      </c>
      <c r="T267" s="64">
        <v>2926.0</v>
      </c>
      <c r="U267" s="64">
        <v>266.0</v>
      </c>
      <c r="V267" s="66">
        <v>2926.0</v>
      </c>
      <c r="W267" s="66">
        <v>2926.0</v>
      </c>
      <c r="X267" s="79" t="s">
        <v>460</v>
      </c>
      <c r="Y267" s="66" t="s">
        <v>461</v>
      </c>
      <c r="Z267" s="66" t="s">
        <v>462</v>
      </c>
      <c r="AA267" s="66" t="s">
        <v>463</v>
      </c>
      <c r="AB267" s="66" t="s">
        <v>464</v>
      </c>
      <c r="AC267" s="66" t="s">
        <v>451</v>
      </c>
      <c r="AD267" s="64" t="s">
        <v>571</v>
      </c>
      <c r="AE267" s="64" t="s">
        <v>572</v>
      </c>
      <c r="AF267" s="64" t="s">
        <v>572</v>
      </c>
      <c r="AG267" s="64" t="s">
        <v>467</v>
      </c>
      <c r="AH267" s="64" t="s">
        <v>467</v>
      </c>
      <c r="AI267" s="64">
        <v>655.0</v>
      </c>
      <c r="AJ267" s="64">
        <v>21.5</v>
      </c>
      <c r="AK267" s="67">
        <v>14082.5</v>
      </c>
      <c r="AL267" s="63"/>
      <c r="AM267" s="63"/>
      <c r="AN267" s="64">
        <v>21.5</v>
      </c>
      <c r="AO267" s="60" t="s">
        <v>468</v>
      </c>
      <c r="AP267" s="63"/>
      <c r="AQ267" s="63"/>
      <c r="AR267" s="63"/>
      <c r="AS267" s="63"/>
      <c r="AT267" s="63"/>
      <c r="AU267" s="63"/>
      <c r="AV267" s="68"/>
      <c r="AW267" s="58" t="s">
        <v>512</v>
      </c>
      <c r="AX267" s="69">
        <v>14082.5</v>
      </c>
      <c r="AY267" s="70"/>
      <c r="AZ267" s="70"/>
      <c r="BA267" s="70"/>
      <c r="BB267" s="70"/>
      <c r="BC267" s="58" t="s">
        <v>469</v>
      </c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8"/>
      <c r="BR267" s="58"/>
    </row>
    <row r="268">
      <c r="A268" s="59">
        <v>45821.0</v>
      </c>
      <c r="B268" s="60" t="s">
        <v>451</v>
      </c>
      <c r="C268" s="61">
        <v>45821.0</v>
      </c>
      <c r="D268" s="61">
        <v>45821.0</v>
      </c>
      <c r="E268" s="60" t="s">
        <v>452</v>
      </c>
      <c r="F268" s="86" t="s">
        <v>1089</v>
      </c>
      <c r="G268" s="63"/>
      <c r="H268" s="64" t="s">
        <v>472</v>
      </c>
      <c r="I268" s="64" t="s">
        <v>891</v>
      </c>
      <c r="J268" s="64" t="s">
        <v>456</v>
      </c>
      <c r="K268" s="64" t="s">
        <v>456</v>
      </c>
      <c r="L268" s="64">
        <v>22.0</v>
      </c>
      <c r="M268" s="64">
        <v>22.0</v>
      </c>
      <c r="N268" s="64" t="s">
        <v>457</v>
      </c>
      <c r="O268" s="64">
        <v>24.0</v>
      </c>
      <c r="P268" s="64" t="s">
        <v>1090</v>
      </c>
      <c r="Q268" s="66" t="s">
        <v>459</v>
      </c>
      <c r="R268" s="66" t="s">
        <v>459</v>
      </c>
      <c r="S268" s="66">
        <v>162.0</v>
      </c>
      <c r="T268" s="66">
        <v>1782.0</v>
      </c>
      <c r="U268" s="66">
        <v>162.0</v>
      </c>
      <c r="V268" s="64">
        <v>1782.0</v>
      </c>
      <c r="W268" s="64">
        <v>1782.0</v>
      </c>
      <c r="X268" s="76" t="s">
        <v>460</v>
      </c>
      <c r="Y268" s="64" t="s">
        <v>461</v>
      </c>
      <c r="Z268" s="64" t="s">
        <v>462</v>
      </c>
      <c r="AA268" s="64" t="s">
        <v>463</v>
      </c>
      <c r="AB268" s="64" t="s">
        <v>464</v>
      </c>
      <c r="AC268" s="64" t="s">
        <v>451</v>
      </c>
      <c r="AD268" s="66" t="s">
        <v>577</v>
      </c>
      <c r="AE268" s="66" t="s">
        <v>578</v>
      </c>
      <c r="AF268" s="66" t="s">
        <v>578</v>
      </c>
      <c r="AG268" s="66" t="s">
        <v>467</v>
      </c>
      <c r="AH268" s="66" t="s">
        <v>467</v>
      </c>
      <c r="AI268" s="66">
        <v>396.0</v>
      </c>
      <c r="AJ268" s="66">
        <v>21.5</v>
      </c>
      <c r="AK268" s="67">
        <v>8514.0</v>
      </c>
      <c r="AL268" s="63"/>
      <c r="AM268" s="63"/>
      <c r="AN268" s="64">
        <v>21.5</v>
      </c>
      <c r="AO268" s="64" t="s">
        <v>468</v>
      </c>
      <c r="AP268" s="63"/>
      <c r="AQ268" s="63"/>
      <c r="AR268" s="63"/>
      <c r="AS268" s="63"/>
      <c r="AT268" s="63"/>
      <c r="AU268" s="63"/>
      <c r="AV268" s="63"/>
      <c r="AW268" s="58" t="s">
        <v>512</v>
      </c>
      <c r="AX268" s="69">
        <v>8514.0</v>
      </c>
      <c r="AY268" s="70"/>
      <c r="AZ268" s="70"/>
      <c r="BA268" s="70"/>
      <c r="BB268" s="70"/>
      <c r="BC268" s="58" t="s">
        <v>469</v>
      </c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  <c r="BQ268" s="58"/>
      <c r="BR268" s="58"/>
    </row>
    <row r="269">
      <c r="A269" s="59">
        <v>45821.0</v>
      </c>
      <c r="B269" s="60" t="s">
        <v>451</v>
      </c>
      <c r="C269" s="61">
        <v>45821.0</v>
      </c>
      <c r="D269" s="61">
        <v>45821.0</v>
      </c>
      <c r="E269" s="60" t="s">
        <v>452</v>
      </c>
      <c r="F269" s="71" t="s">
        <v>1091</v>
      </c>
      <c r="G269" s="77"/>
      <c r="H269" s="66" t="s">
        <v>472</v>
      </c>
      <c r="I269" s="66" t="s">
        <v>636</v>
      </c>
      <c r="J269" s="66" t="s">
        <v>456</v>
      </c>
      <c r="K269" s="66" t="s">
        <v>456</v>
      </c>
      <c r="L269" s="66">
        <v>22.0</v>
      </c>
      <c r="M269" s="66">
        <v>22.0</v>
      </c>
      <c r="N269" s="66" t="s">
        <v>457</v>
      </c>
      <c r="O269" s="66">
        <v>24.0</v>
      </c>
      <c r="P269" s="66" t="s">
        <v>1092</v>
      </c>
      <c r="Q269" s="64" t="s">
        <v>459</v>
      </c>
      <c r="R269" s="64" t="s">
        <v>459</v>
      </c>
      <c r="S269" s="64">
        <v>125.0</v>
      </c>
      <c r="T269" s="64">
        <v>1375.0</v>
      </c>
      <c r="U269" s="64">
        <v>125.0</v>
      </c>
      <c r="V269" s="66">
        <v>1375.0</v>
      </c>
      <c r="W269" s="66">
        <v>1375.0</v>
      </c>
      <c r="X269" s="79" t="s">
        <v>460</v>
      </c>
      <c r="Y269" s="66" t="s">
        <v>461</v>
      </c>
      <c r="Z269" s="66" t="s">
        <v>462</v>
      </c>
      <c r="AA269" s="66" t="s">
        <v>463</v>
      </c>
      <c r="AB269" s="66" t="s">
        <v>464</v>
      </c>
      <c r="AC269" s="66" t="s">
        <v>451</v>
      </c>
      <c r="AD269" s="64" t="s">
        <v>583</v>
      </c>
      <c r="AE269" s="64" t="s">
        <v>584</v>
      </c>
      <c r="AF269" s="64" t="s">
        <v>584</v>
      </c>
      <c r="AG269" s="64" t="s">
        <v>467</v>
      </c>
      <c r="AH269" s="64" t="s">
        <v>467</v>
      </c>
      <c r="AI269" s="64">
        <v>510.0</v>
      </c>
      <c r="AJ269" s="64">
        <v>21.5</v>
      </c>
      <c r="AK269" s="67">
        <v>10965.0</v>
      </c>
      <c r="AL269" s="63"/>
      <c r="AM269" s="63"/>
      <c r="AN269" s="64">
        <v>21.5</v>
      </c>
      <c r="AO269" s="64" t="s">
        <v>468</v>
      </c>
      <c r="AP269" s="63"/>
      <c r="AQ269" s="63"/>
      <c r="AR269" s="63"/>
      <c r="AS269" s="63"/>
      <c r="AT269" s="63"/>
      <c r="AU269" s="63"/>
      <c r="AV269" s="68"/>
      <c r="AW269" s="58" t="s">
        <v>512</v>
      </c>
      <c r="AX269" s="69">
        <v>10965.0</v>
      </c>
      <c r="AY269" s="70"/>
      <c r="AZ269" s="70"/>
      <c r="BA269" s="70"/>
      <c r="BB269" s="70"/>
      <c r="BC269" s="58" t="s">
        <v>469</v>
      </c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8"/>
      <c r="BR269" s="58"/>
    </row>
    <row r="270">
      <c r="A270" s="59">
        <v>45821.0</v>
      </c>
      <c r="B270" s="60" t="s">
        <v>451</v>
      </c>
      <c r="C270" s="61">
        <v>45821.0</v>
      </c>
      <c r="D270" s="61">
        <v>45821.0</v>
      </c>
      <c r="E270" s="60" t="s">
        <v>452</v>
      </c>
      <c r="F270" s="86" t="s">
        <v>1093</v>
      </c>
      <c r="G270" s="63"/>
      <c r="H270" s="64" t="s">
        <v>472</v>
      </c>
      <c r="I270" s="64" t="s">
        <v>575</v>
      </c>
      <c r="J270" s="64" t="s">
        <v>456</v>
      </c>
      <c r="K270" s="64" t="s">
        <v>456</v>
      </c>
      <c r="L270" s="64">
        <v>22.0</v>
      </c>
      <c r="M270" s="64">
        <v>22.0</v>
      </c>
      <c r="N270" s="64" t="s">
        <v>457</v>
      </c>
      <c r="O270" s="64">
        <v>24.0</v>
      </c>
      <c r="P270" s="75">
        <v>2.44E8</v>
      </c>
      <c r="Q270" s="66" t="s">
        <v>459</v>
      </c>
      <c r="R270" s="66" t="s">
        <v>459</v>
      </c>
      <c r="S270" s="66">
        <v>98.0</v>
      </c>
      <c r="T270" s="66">
        <v>1078.0</v>
      </c>
      <c r="U270" s="66">
        <v>98.0</v>
      </c>
      <c r="V270" s="64">
        <v>1078.0</v>
      </c>
      <c r="W270" s="64">
        <v>1078.0</v>
      </c>
      <c r="X270" s="76" t="s">
        <v>460</v>
      </c>
      <c r="Y270" s="64" t="s">
        <v>461</v>
      </c>
      <c r="Z270" s="64" t="s">
        <v>462</v>
      </c>
      <c r="AA270" s="64" t="s">
        <v>463</v>
      </c>
      <c r="AB270" s="64" t="s">
        <v>464</v>
      </c>
      <c r="AC270" s="64" t="s">
        <v>451</v>
      </c>
      <c r="AD270" s="64" t="s">
        <v>634</v>
      </c>
      <c r="AE270" s="66" t="s">
        <v>617</v>
      </c>
      <c r="AF270" s="66" t="s">
        <v>617</v>
      </c>
      <c r="AG270" s="66" t="s">
        <v>467</v>
      </c>
      <c r="AH270" s="66" t="s">
        <v>467</v>
      </c>
      <c r="AI270" s="66">
        <v>330.0</v>
      </c>
      <c r="AJ270" s="66">
        <v>21.5</v>
      </c>
      <c r="AK270" s="67">
        <v>7095.0</v>
      </c>
      <c r="AL270" s="63"/>
      <c r="AM270" s="63"/>
      <c r="AN270" s="64">
        <v>21.5</v>
      </c>
      <c r="AO270" s="64" t="s">
        <v>468</v>
      </c>
      <c r="AP270" s="63"/>
      <c r="AQ270" s="63"/>
      <c r="AR270" s="63"/>
      <c r="AS270" s="63"/>
      <c r="AT270" s="63"/>
      <c r="AU270" s="63"/>
      <c r="AV270" s="63"/>
      <c r="AW270" s="58" t="s">
        <v>512</v>
      </c>
      <c r="AX270" s="69">
        <v>7095.0</v>
      </c>
      <c r="AY270" s="70"/>
      <c r="AZ270" s="70"/>
      <c r="BA270" s="70"/>
      <c r="BB270" s="70"/>
      <c r="BC270" s="58" t="s">
        <v>469</v>
      </c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8"/>
      <c r="BR270" s="58"/>
    </row>
    <row r="271">
      <c r="A271" s="87">
        <v>45821.0</v>
      </c>
      <c r="B271" s="88" t="s">
        <v>1094</v>
      </c>
      <c r="C271" s="89">
        <v>45821.0</v>
      </c>
      <c r="D271" s="89">
        <v>45821.0</v>
      </c>
      <c r="E271" s="90" t="s">
        <v>452</v>
      </c>
      <c r="F271" s="91" t="s">
        <v>1095</v>
      </c>
      <c r="G271" s="77"/>
      <c r="H271" s="92" t="s">
        <v>771</v>
      </c>
      <c r="I271" s="92" t="s">
        <v>1096</v>
      </c>
      <c r="J271" s="92" t="s">
        <v>456</v>
      </c>
      <c r="K271" s="92" t="s">
        <v>456</v>
      </c>
      <c r="L271" s="92" t="s">
        <v>1097</v>
      </c>
      <c r="M271" s="92" t="s">
        <v>1097</v>
      </c>
      <c r="N271" s="92" t="s">
        <v>457</v>
      </c>
      <c r="O271" s="92">
        <v>24.0</v>
      </c>
      <c r="P271" s="93">
        <v>2.44312752E8</v>
      </c>
      <c r="Q271" s="90" t="s">
        <v>1098</v>
      </c>
      <c r="R271" s="90" t="s">
        <v>1098</v>
      </c>
      <c r="S271" s="94">
        <v>0.0</v>
      </c>
      <c r="T271" s="90">
        <v>0.0</v>
      </c>
      <c r="U271" s="90">
        <v>39.0</v>
      </c>
      <c r="V271" s="92">
        <v>0.0</v>
      </c>
      <c r="W271" s="92">
        <v>0.0</v>
      </c>
      <c r="X271" s="95" t="s">
        <v>1099</v>
      </c>
      <c r="Y271" s="92" t="s">
        <v>1100</v>
      </c>
      <c r="Z271" s="92" t="s">
        <v>462</v>
      </c>
      <c r="AA271" s="92" t="s">
        <v>463</v>
      </c>
      <c r="AB271" s="92" t="s">
        <v>464</v>
      </c>
      <c r="AC271" s="96" t="s">
        <v>1101</v>
      </c>
      <c r="AD271" s="90" t="s">
        <v>1102</v>
      </c>
      <c r="AE271" s="90" t="s">
        <v>477</v>
      </c>
      <c r="AF271" s="90" t="s">
        <v>477</v>
      </c>
      <c r="AG271" s="97" t="s">
        <v>467</v>
      </c>
      <c r="AH271" s="97" t="s">
        <v>467</v>
      </c>
      <c r="AI271" s="98">
        <v>400.0</v>
      </c>
      <c r="AJ271" s="98">
        <v>21.0</v>
      </c>
      <c r="AK271" s="99">
        <v>8400.0</v>
      </c>
      <c r="AL271" s="78"/>
      <c r="AM271" s="78"/>
      <c r="AN271" s="78"/>
      <c r="AO271" s="90" t="s">
        <v>468</v>
      </c>
      <c r="AP271" s="100"/>
      <c r="AQ271" s="100"/>
      <c r="AR271" s="100"/>
      <c r="AS271" s="100"/>
      <c r="AT271" s="100"/>
      <c r="AU271" s="100"/>
      <c r="AV271" s="100"/>
      <c r="AW271" s="58" t="s">
        <v>512</v>
      </c>
      <c r="AX271" s="69">
        <v>8400.0</v>
      </c>
      <c r="AY271" s="70"/>
      <c r="AZ271" s="70"/>
      <c r="BA271" s="70"/>
      <c r="BB271" s="70"/>
      <c r="BC271" s="58" t="s">
        <v>469</v>
      </c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</row>
    <row r="272">
      <c r="A272" s="59">
        <v>45822.0</v>
      </c>
      <c r="B272" s="60" t="s">
        <v>451</v>
      </c>
      <c r="C272" s="61">
        <v>45822.0</v>
      </c>
      <c r="D272" s="61">
        <v>45822.0</v>
      </c>
      <c r="E272" s="60" t="s">
        <v>452</v>
      </c>
      <c r="F272" s="86" t="s">
        <v>1103</v>
      </c>
      <c r="G272" s="63"/>
      <c r="H272" s="64" t="s">
        <v>454</v>
      </c>
      <c r="I272" s="64" t="s">
        <v>706</v>
      </c>
      <c r="J272" s="64" t="s">
        <v>456</v>
      </c>
      <c r="K272" s="64" t="s">
        <v>456</v>
      </c>
      <c r="L272" s="64">
        <v>22.0</v>
      </c>
      <c r="M272" s="64">
        <v>22.0</v>
      </c>
      <c r="N272" s="64" t="s">
        <v>457</v>
      </c>
      <c r="O272" s="64">
        <v>24.0</v>
      </c>
      <c r="P272" s="64" t="s">
        <v>1104</v>
      </c>
      <c r="Q272" s="66" t="s">
        <v>459</v>
      </c>
      <c r="R272" s="66" t="s">
        <v>459</v>
      </c>
      <c r="S272" s="66">
        <v>177.0</v>
      </c>
      <c r="T272" s="66">
        <v>1947.0</v>
      </c>
      <c r="U272" s="66">
        <v>177.0</v>
      </c>
      <c r="V272" s="64">
        <v>1947.0</v>
      </c>
      <c r="W272" s="64">
        <v>1947.0</v>
      </c>
      <c r="X272" s="76" t="s">
        <v>460</v>
      </c>
      <c r="Y272" s="64" t="s">
        <v>461</v>
      </c>
      <c r="Z272" s="64" t="s">
        <v>462</v>
      </c>
      <c r="AA272" s="64" t="s">
        <v>463</v>
      </c>
      <c r="AB272" s="64" t="s">
        <v>464</v>
      </c>
      <c r="AC272" s="64" t="s">
        <v>451</v>
      </c>
      <c r="AD272" s="64" t="s">
        <v>465</v>
      </c>
      <c r="AE272" s="66" t="s">
        <v>466</v>
      </c>
      <c r="AF272" s="66" t="s">
        <v>466</v>
      </c>
      <c r="AG272" s="66" t="s">
        <v>467</v>
      </c>
      <c r="AH272" s="66" t="s">
        <v>467</v>
      </c>
      <c r="AI272" s="66">
        <v>735.0</v>
      </c>
      <c r="AJ272" s="66">
        <v>21.5</v>
      </c>
      <c r="AK272" s="67">
        <v>15802.5</v>
      </c>
      <c r="AL272" s="63"/>
      <c r="AM272" s="63"/>
      <c r="AN272" s="64">
        <v>21.5</v>
      </c>
      <c r="AO272" s="60" t="s">
        <v>468</v>
      </c>
      <c r="AP272" s="63"/>
      <c r="AQ272" s="63"/>
      <c r="AR272" s="63"/>
      <c r="AS272" s="63"/>
      <c r="AT272" s="63"/>
      <c r="AU272" s="63"/>
      <c r="AV272" s="68"/>
      <c r="AW272" s="58" t="s">
        <v>512</v>
      </c>
      <c r="AX272" s="69">
        <v>15802.5</v>
      </c>
      <c r="AY272" s="70"/>
      <c r="AZ272" s="70"/>
      <c r="BA272" s="70"/>
      <c r="BB272" s="70"/>
      <c r="BC272" s="58" t="s">
        <v>469</v>
      </c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</row>
    <row r="273">
      <c r="A273" s="59">
        <v>45822.0</v>
      </c>
      <c r="B273" s="60" t="s">
        <v>451</v>
      </c>
      <c r="C273" s="61">
        <v>45822.0</v>
      </c>
      <c r="D273" s="61">
        <v>45822.0</v>
      </c>
      <c r="E273" s="60" t="s">
        <v>452</v>
      </c>
      <c r="F273" s="86" t="s">
        <v>1105</v>
      </c>
      <c r="G273" s="63"/>
      <c r="H273" s="64" t="s">
        <v>472</v>
      </c>
      <c r="I273" s="64" t="s">
        <v>588</v>
      </c>
      <c r="J273" s="64" t="s">
        <v>456</v>
      </c>
      <c r="K273" s="64" t="s">
        <v>456</v>
      </c>
      <c r="L273" s="64">
        <v>22.0</v>
      </c>
      <c r="M273" s="64">
        <v>22.0</v>
      </c>
      <c r="N273" s="64" t="s">
        <v>457</v>
      </c>
      <c r="O273" s="64">
        <v>24.0</v>
      </c>
      <c r="P273" s="64" t="s">
        <v>1106</v>
      </c>
      <c r="Q273" s="66" t="s">
        <v>459</v>
      </c>
      <c r="R273" s="66" t="s">
        <v>459</v>
      </c>
      <c r="S273" s="66">
        <v>219.0</v>
      </c>
      <c r="T273" s="66">
        <v>2409.0</v>
      </c>
      <c r="U273" s="66">
        <v>219.0</v>
      </c>
      <c r="V273" s="64">
        <v>2409.0</v>
      </c>
      <c r="W273" s="64">
        <v>2409.0</v>
      </c>
      <c r="X273" s="76" t="s">
        <v>460</v>
      </c>
      <c r="Y273" s="64" t="s">
        <v>461</v>
      </c>
      <c r="Z273" s="64" t="s">
        <v>462</v>
      </c>
      <c r="AA273" s="64" t="s">
        <v>463</v>
      </c>
      <c r="AB273" s="64" t="s">
        <v>464</v>
      </c>
      <c r="AC273" s="64" t="s">
        <v>451</v>
      </c>
      <c r="AD273" s="60" t="s">
        <v>475</v>
      </c>
      <c r="AE273" s="66" t="s">
        <v>476</v>
      </c>
      <c r="AF273" s="66" t="s">
        <v>476</v>
      </c>
      <c r="AG273" s="66" t="s">
        <v>467</v>
      </c>
      <c r="AH273" s="66" t="s">
        <v>467</v>
      </c>
      <c r="AI273" s="66">
        <v>650.0</v>
      </c>
      <c r="AJ273" s="66">
        <v>21.5</v>
      </c>
      <c r="AK273" s="67">
        <v>13975.0</v>
      </c>
      <c r="AL273" s="63"/>
      <c r="AM273" s="63"/>
      <c r="AN273" s="64">
        <v>21.5</v>
      </c>
      <c r="AO273" s="64" t="s">
        <v>468</v>
      </c>
      <c r="AP273" s="63"/>
      <c r="AQ273" s="63"/>
      <c r="AR273" s="63"/>
      <c r="AS273" s="63"/>
      <c r="AT273" s="63"/>
      <c r="AU273" s="63"/>
      <c r="AV273" s="63"/>
      <c r="AW273" s="58" t="s">
        <v>512</v>
      </c>
      <c r="AX273" s="69">
        <v>13975.0</v>
      </c>
      <c r="AY273" s="70"/>
      <c r="AZ273" s="70"/>
      <c r="BA273" s="70"/>
      <c r="BB273" s="70"/>
      <c r="BC273" s="58" t="s">
        <v>469</v>
      </c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8"/>
      <c r="BR273" s="58"/>
    </row>
    <row r="274">
      <c r="A274" s="59">
        <v>45822.0</v>
      </c>
      <c r="B274" s="60" t="s">
        <v>451</v>
      </c>
      <c r="C274" s="61">
        <v>45822.0</v>
      </c>
      <c r="D274" s="61">
        <v>45822.0</v>
      </c>
      <c r="E274" s="60" t="s">
        <v>452</v>
      </c>
      <c r="F274" s="71" t="s">
        <v>1107</v>
      </c>
      <c r="G274" s="77"/>
      <c r="H274" s="66" t="s">
        <v>472</v>
      </c>
      <c r="I274" s="66" t="s">
        <v>779</v>
      </c>
      <c r="J274" s="66" t="s">
        <v>456</v>
      </c>
      <c r="K274" s="66" t="s">
        <v>456</v>
      </c>
      <c r="L274" s="66">
        <v>22.0</v>
      </c>
      <c r="M274" s="66">
        <v>22.0</v>
      </c>
      <c r="N274" s="66" t="s">
        <v>457</v>
      </c>
      <c r="O274" s="66">
        <v>24.0</v>
      </c>
      <c r="P274" s="66" t="s">
        <v>1108</v>
      </c>
      <c r="Q274" s="64" t="s">
        <v>459</v>
      </c>
      <c r="R274" s="64" t="s">
        <v>459</v>
      </c>
      <c r="S274" s="64">
        <v>182.0</v>
      </c>
      <c r="T274" s="64">
        <v>2002.0</v>
      </c>
      <c r="U274" s="64">
        <v>182.0</v>
      </c>
      <c r="V274" s="66">
        <v>2002.0</v>
      </c>
      <c r="W274" s="66">
        <v>2002.0</v>
      </c>
      <c r="X274" s="79" t="s">
        <v>460</v>
      </c>
      <c r="Y274" s="66" t="s">
        <v>461</v>
      </c>
      <c r="Z274" s="66" t="s">
        <v>462</v>
      </c>
      <c r="AA274" s="66" t="s">
        <v>463</v>
      </c>
      <c r="AB274" s="66" t="s">
        <v>464</v>
      </c>
      <c r="AC274" s="66" t="s">
        <v>451</v>
      </c>
      <c r="AD274" s="64" t="s">
        <v>481</v>
      </c>
      <c r="AE274" s="64" t="s">
        <v>482</v>
      </c>
      <c r="AF274" s="64" t="s">
        <v>482</v>
      </c>
      <c r="AG274" s="64" t="s">
        <v>467</v>
      </c>
      <c r="AH274" s="64" t="s">
        <v>467</v>
      </c>
      <c r="AI274" s="64">
        <v>655.0</v>
      </c>
      <c r="AJ274" s="64">
        <v>21.5</v>
      </c>
      <c r="AK274" s="67">
        <v>14082.5</v>
      </c>
      <c r="AL274" s="63"/>
      <c r="AM274" s="63"/>
      <c r="AN274" s="64">
        <v>21.5</v>
      </c>
      <c r="AO274" s="64" t="s">
        <v>468</v>
      </c>
      <c r="AP274" s="63"/>
      <c r="AQ274" s="63"/>
      <c r="AR274" s="63"/>
      <c r="AS274" s="63"/>
      <c r="AT274" s="63"/>
      <c r="AU274" s="63"/>
      <c r="AV274" s="68"/>
      <c r="AW274" s="58" t="s">
        <v>512</v>
      </c>
      <c r="AX274" s="69">
        <v>14082.5</v>
      </c>
      <c r="AY274" s="70"/>
      <c r="AZ274" s="70"/>
      <c r="BA274" s="70"/>
      <c r="BB274" s="70"/>
      <c r="BC274" s="58" t="s">
        <v>469</v>
      </c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8"/>
      <c r="BR274" s="58"/>
    </row>
    <row r="275">
      <c r="A275" s="59">
        <v>45822.0</v>
      </c>
      <c r="B275" s="60" t="s">
        <v>451</v>
      </c>
      <c r="C275" s="61">
        <v>45822.0</v>
      </c>
      <c r="D275" s="61">
        <v>45822.0</v>
      </c>
      <c r="E275" s="60" t="s">
        <v>452</v>
      </c>
      <c r="F275" s="86" t="s">
        <v>1109</v>
      </c>
      <c r="G275" s="63"/>
      <c r="H275" s="64" t="s">
        <v>472</v>
      </c>
      <c r="I275" s="64" t="s">
        <v>629</v>
      </c>
      <c r="J275" s="64" t="s">
        <v>486</v>
      </c>
      <c r="K275" s="64" t="s">
        <v>486</v>
      </c>
      <c r="L275" s="64">
        <v>22.0</v>
      </c>
      <c r="M275" s="64">
        <v>22.0</v>
      </c>
      <c r="N275" s="64" t="s">
        <v>457</v>
      </c>
      <c r="O275" s="64">
        <v>24.0</v>
      </c>
      <c r="P275" s="64" t="s">
        <v>1110</v>
      </c>
      <c r="Q275" s="66" t="s">
        <v>459</v>
      </c>
      <c r="R275" s="66" t="s">
        <v>459</v>
      </c>
      <c r="S275" s="66">
        <v>88.0</v>
      </c>
      <c r="T275" s="66">
        <v>968.0</v>
      </c>
      <c r="U275" s="66">
        <v>88.0</v>
      </c>
      <c r="V275" s="64">
        <v>968.0</v>
      </c>
      <c r="W275" s="64">
        <v>968.0</v>
      </c>
      <c r="X275" s="76" t="s">
        <v>460</v>
      </c>
      <c r="Y275" s="64" t="s">
        <v>461</v>
      </c>
      <c r="Z275" s="64" t="s">
        <v>462</v>
      </c>
      <c r="AA275" s="64" t="s">
        <v>463</v>
      </c>
      <c r="AB275" s="64" t="s">
        <v>464</v>
      </c>
      <c r="AC275" s="64" t="s">
        <v>451</v>
      </c>
      <c r="AD275" s="64" t="s">
        <v>481</v>
      </c>
      <c r="AE275" s="66" t="s">
        <v>482</v>
      </c>
      <c r="AF275" s="66" t="s">
        <v>482</v>
      </c>
      <c r="AG275" s="66" t="s">
        <v>467</v>
      </c>
      <c r="AH275" s="66" t="s">
        <v>467</v>
      </c>
      <c r="AI275" s="66">
        <v>655.0</v>
      </c>
      <c r="AJ275" s="66">
        <v>23.5</v>
      </c>
      <c r="AK275" s="67">
        <v>15392.5</v>
      </c>
      <c r="AL275" s="63"/>
      <c r="AM275" s="63"/>
      <c r="AN275" s="64">
        <v>23.5</v>
      </c>
      <c r="AO275" s="64" t="s">
        <v>468</v>
      </c>
      <c r="AP275" s="63"/>
      <c r="AQ275" s="63"/>
      <c r="AR275" s="63"/>
      <c r="AS275" s="63"/>
      <c r="AT275" s="63"/>
      <c r="AU275" s="63"/>
      <c r="AV275" s="68"/>
      <c r="AW275" s="58" t="s">
        <v>512</v>
      </c>
      <c r="AX275" s="69">
        <v>15392.5</v>
      </c>
      <c r="AY275" s="70"/>
      <c r="AZ275" s="70"/>
      <c r="BA275" s="70"/>
      <c r="BB275" s="70"/>
      <c r="BC275" s="58" t="s">
        <v>469</v>
      </c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8"/>
      <c r="BR275" s="58"/>
    </row>
    <row r="276">
      <c r="A276" s="59">
        <v>45822.0</v>
      </c>
      <c r="B276" s="60" t="s">
        <v>451</v>
      </c>
      <c r="C276" s="61">
        <v>45822.0</v>
      </c>
      <c r="D276" s="61">
        <v>45822.0</v>
      </c>
      <c r="E276" s="60" t="s">
        <v>452</v>
      </c>
      <c r="F276" s="71" t="s">
        <v>1111</v>
      </c>
      <c r="G276" s="77"/>
      <c r="H276" s="66" t="s">
        <v>454</v>
      </c>
      <c r="I276" s="66" t="s">
        <v>485</v>
      </c>
      <c r="J276" s="66" t="s">
        <v>486</v>
      </c>
      <c r="K276" s="66" t="s">
        <v>486</v>
      </c>
      <c r="L276" s="66">
        <v>22.0</v>
      </c>
      <c r="M276" s="66">
        <v>22.0</v>
      </c>
      <c r="N276" s="66" t="s">
        <v>457</v>
      </c>
      <c r="O276" s="66">
        <v>24.0</v>
      </c>
      <c r="P276" s="66" t="s">
        <v>1112</v>
      </c>
      <c r="Q276" s="64" t="s">
        <v>459</v>
      </c>
      <c r="R276" s="64" t="s">
        <v>459</v>
      </c>
      <c r="S276" s="64">
        <v>256.0</v>
      </c>
      <c r="T276" s="64">
        <v>2816.0</v>
      </c>
      <c r="U276" s="64">
        <v>256.0</v>
      </c>
      <c r="V276" s="66">
        <v>2816.0</v>
      </c>
      <c r="W276" s="66">
        <v>2816.0</v>
      </c>
      <c r="X276" s="79" t="s">
        <v>460</v>
      </c>
      <c r="Y276" s="66" t="s">
        <v>461</v>
      </c>
      <c r="Z276" s="66" t="s">
        <v>462</v>
      </c>
      <c r="AA276" s="66" t="s">
        <v>463</v>
      </c>
      <c r="AB276" s="66" t="s">
        <v>464</v>
      </c>
      <c r="AC276" s="66" t="s">
        <v>451</v>
      </c>
      <c r="AD276" s="64" t="s">
        <v>488</v>
      </c>
      <c r="AE276" s="64" t="s">
        <v>489</v>
      </c>
      <c r="AF276" s="64" t="s">
        <v>489</v>
      </c>
      <c r="AG276" s="64" t="s">
        <v>467</v>
      </c>
      <c r="AH276" s="64" t="s">
        <v>467</v>
      </c>
      <c r="AI276" s="64">
        <v>760.0</v>
      </c>
      <c r="AJ276" s="64">
        <v>23.5</v>
      </c>
      <c r="AK276" s="67">
        <v>17860.0</v>
      </c>
      <c r="AL276" s="63"/>
      <c r="AM276" s="63"/>
      <c r="AN276" s="64">
        <v>23.5</v>
      </c>
      <c r="AO276" s="60" t="s">
        <v>468</v>
      </c>
      <c r="AP276" s="63"/>
      <c r="AQ276" s="63"/>
      <c r="AR276" s="63"/>
      <c r="AS276" s="63"/>
      <c r="AT276" s="63"/>
      <c r="AU276" s="63"/>
      <c r="AV276" s="63"/>
      <c r="AW276" s="58" t="s">
        <v>512</v>
      </c>
      <c r="AX276" s="69">
        <v>17860.0</v>
      </c>
      <c r="AY276" s="70"/>
      <c r="AZ276" s="70"/>
      <c r="BA276" s="70"/>
      <c r="BB276" s="70"/>
      <c r="BC276" s="58" t="s">
        <v>469</v>
      </c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</row>
    <row r="277">
      <c r="A277" s="59">
        <v>45822.0</v>
      </c>
      <c r="B277" s="60" t="s">
        <v>451</v>
      </c>
      <c r="C277" s="61">
        <v>45822.0</v>
      </c>
      <c r="D277" s="61">
        <v>45822.0</v>
      </c>
      <c r="E277" s="60" t="s">
        <v>452</v>
      </c>
      <c r="F277" s="86" t="s">
        <v>1113</v>
      </c>
      <c r="G277" s="63"/>
      <c r="H277" s="64" t="s">
        <v>492</v>
      </c>
      <c r="I277" s="64" t="s">
        <v>593</v>
      </c>
      <c r="J277" s="64" t="s">
        <v>456</v>
      </c>
      <c r="K277" s="64" t="s">
        <v>456</v>
      </c>
      <c r="L277" s="64">
        <v>28.0</v>
      </c>
      <c r="M277" s="64">
        <v>28.0</v>
      </c>
      <c r="N277" s="64" t="s">
        <v>457</v>
      </c>
      <c r="O277" s="64">
        <v>24.0</v>
      </c>
      <c r="P277" s="64" t="s">
        <v>1114</v>
      </c>
      <c r="Q277" s="66" t="s">
        <v>459</v>
      </c>
      <c r="R277" s="66" t="s">
        <v>459</v>
      </c>
      <c r="S277" s="66">
        <v>529.0</v>
      </c>
      <c r="T277" s="66">
        <v>5819.0</v>
      </c>
      <c r="U277" s="66">
        <v>529.0</v>
      </c>
      <c r="V277" s="64">
        <v>5819.0</v>
      </c>
      <c r="W277" s="64">
        <v>5819.0</v>
      </c>
      <c r="X277" s="76" t="s">
        <v>460</v>
      </c>
      <c r="Y277" s="64" t="s">
        <v>461</v>
      </c>
      <c r="Z277" s="64" t="s">
        <v>462</v>
      </c>
      <c r="AA277" s="64" t="s">
        <v>463</v>
      </c>
      <c r="AB277" s="64" t="s">
        <v>464</v>
      </c>
      <c r="AC277" s="64" t="s">
        <v>451</v>
      </c>
      <c r="AD277" s="64" t="s">
        <v>495</v>
      </c>
      <c r="AE277" s="66" t="s">
        <v>496</v>
      </c>
      <c r="AF277" s="66" t="s">
        <v>496</v>
      </c>
      <c r="AG277" s="66" t="s">
        <v>467</v>
      </c>
      <c r="AH277" s="66" t="s">
        <v>467</v>
      </c>
      <c r="AI277" s="66">
        <v>570.0</v>
      </c>
      <c r="AJ277" s="66">
        <v>23.5</v>
      </c>
      <c r="AK277" s="67">
        <v>13395.0</v>
      </c>
      <c r="AL277" s="63"/>
      <c r="AM277" s="63"/>
      <c r="AN277" s="64">
        <v>23.5</v>
      </c>
      <c r="AO277" s="64" t="s">
        <v>468</v>
      </c>
      <c r="AP277" s="63"/>
      <c r="AQ277" s="63"/>
      <c r="AR277" s="63"/>
      <c r="AS277" s="63"/>
      <c r="AT277" s="63"/>
      <c r="AU277" s="63"/>
      <c r="AV277" s="63"/>
      <c r="AW277" s="58" t="s">
        <v>512</v>
      </c>
      <c r="AX277" s="69">
        <v>13395.0</v>
      </c>
      <c r="AY277" s="70"/>
      <c r="AZ277" s="70"/>
      <c r="BA277" s="70"/>
      <c r="BB277" s="70"/>
      <c r="BC277" s="58" t="s">
        <v>469</v>
      </c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</row>
    <row r="278">
      <c r="A278" s="59">
        <v>45822.0</v>
      </c>
      <c r="B278" s="60" t="s">
        <v>451</v>
      </c>
      <c r="C278" s="61">
        <v>45822.0</v>
      </c>
      <c r="D278" s="61">
        <v>45822.0</v>
      </c>
      <c r="E278" s="60" t="s">
        <v>452</v>
      </c>
      <c r="F278" s="71" t="s">
        <v>1115</v>
      </c>
      <c r="G278" s="77"/>
      <c r="H278" s="66" t="s">
        <v>454</v>
      </c>
      <c r="I278" s="66" t="s">
        <v>455</v>
      </c>
      <c r="J278" s="66" t="s">
        <v>486</v>
      </c>
      <c r="K278" s="66" t="s">
        <v>486</v>
      </c>
      <c r="L278" s="66">
        <v>22.0</v>
      </c>
      <c r="M278" s="66">
        <v>22.0</v>
      </c>
      <c r="N278" s="66" t="s">
        <v>457</v>
      </c>
      <c r="O278" s="66">
        <v>24.0</v>
      </c>
      <c r="P278" s="66" t="s">
        <v>750</v>
      </c>
      <c r="Q278" s="64" t="s">
        <v>459</v>
      </c>
      <c r="R278" s="64" t="s">
        <v>459</v>
      </c>
      <c r="S278" s="64">
        <v>172.0</v>
      </c>
      <c r="T278" s="64">
        <v>1892.0</v>
      </c>
      <c r="U278" s="64">
        <v>172.0</v>
      </c>
      <c r="V278" s="66">
        <v>1892.0</v>
      </c>
      <c r="W278" s="66">
        <v>1892.0</v>
      </c>
      <c r="X278" s="79" t="s">
        <v>460</v>
      </c>
      <c r="Y278" s="66" t="s">
        <v>461</v>
      </c>
      <c r="Z278" s="66" t="s">
        <v>462</v>
      </c>
      <c r="AA278" s="66" t="s">
        <v>463</v>
      </c>
      <c r="AB278" s="66" t="s">
        <v>464</v>
      </c>
      <c r="AC278" s="66" t="s">
        <v>451</v>
      </c>
      <c r="AD278" s="64" t="s">
        <v>501</v>
      </c>
      <c r="AE278" s="64" t="s">
        <v>470</v>
      </c>
      <c r="AF278" s="64" t="s">
        <v>470</v>
      </c>
      <c r="AG278" s="64" t="s">
        <v>467</v>
      </c>
      <c r="AH278" s="64" t="s">
        <v>467</v>
      </c>
      <c r="AI278" s="64">
        <v>380.0</v>
      </c>
      <c r="AJ278" s="64">
        <v>23.5</v>
      </c>
      <c r="AK278" s="67">
        <v>8930.0</v>
      </c>
      <c r="AL278" s="63"/>
      <c r="AM278" s="63"/>
      <c r="AN278" s="64">
        <v>23.5</v>
      </c>
      <c r="AO278" s="64" t="s">
        <v>468</v>
      </c>
      <c r="AP278" s="63"/>
      <c r="AQ278" s="63"/>
      <c r="AR278" s="63"/>
      <c r="AS278" s="63"/>
      <c r="AT278" s="63"/>
      <c r="AU278" s="63"/>
      <c r="AV278" s="68"/>
      <c r="AW278" s="58" t="s">
        <v>512</v>
      </c>
      <c r="AX278" s="69">
        <v>8930.0</v>
      </c>
      <c r="AY278" s="70"/>
      <c r="AZ278" s="70"/>
      <c r="BA278" s="70"/>
      <c r="BB278" s="70"/>
      <c r="BC278" s="58" t="s">
        <v>469</v>
      </c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</row>
    <row r="279">
      <c r="A279" s="59">
        <v>45822.0</v>
      </c>
      <c r="B279" s="60" t="s">
        <v>451</v>
      </c>
      <c r="C279" s="61">
        <v>45822.0</v>
      </c>
      <c r="D279" s="61">
        <v>45822.0</v>
      </c>
      <c r="E279" s="60" t="s">
        <v>452</v>
      </c>
      <c r="F279" s="86" t="s">
        <v>1116</v>
      </c>
      <c r="G279" s="63"/>
      <c r="H279" s="64" t="s">
        <v>492</v>
      </c>
      <c r="I279" s="64" t="s">
        <v>600</v>
      </c>
      <c r="J279" s="64" t="s">
        <v>456</v>
      </c>
      <c r="K279" s="64" t="s">
        <v>456</v>
      </c>
      <c r="L279" s="64">
        <v>22.0</v>
      </c>
      <c r="M279" s="64">
        <v>22.0</v>
      </c>
      <c r="N279" s="64" t="s">
        <v>457</v>
      </c>
      <c r="O279" s="64">
        <v>24.0</v>
      </c>
      <c r="P279" s="64" t="s">
        <v>1117</v>
      </c>
      <c r="Q279" s="66" t="s">
        <v>459</v>
      </c>
      <c r="R279" s="66" t="s">
        <v>459</v>
      </c>
      <c r="S279" s="66">
        <v>190.0</v>
      </c>
      <c r="T279" s="66">
        <v>2090.0</v>
      </c>
      <c r="U279" s="66">
        <v>190.0</v>
      </c>
      <c r="V279" s="64">
        <v>2090.0</v>
      </c>
      <c r="W279" s="64">
        <v>2090.0</v>
      </c>
      <c r="X279" s="76" t="s">
        <v>460</v>
      </c>
      <c r="Y279" s="64" t="s">
        <v>461</v>
      </c>
      <c r="Z279" s="64" t="s">
        <v>462</v>
      </c>
      <c r="AA279" s="64" t="s">
        <v>463</v>
      </c>
      <c r="AB279" s="64" t="s">
        <v>464</v>
      </c>
      <c r="AC279" s="64" t="s">
        <v>451</v>
      </c>
      <c r="AD279" s="64" t="s">
        <v>601</v>
      </c>
      <c r="AE279" s="66" t="s">
        <v>547</v>
      </c>
      <c r="AF279" s="66" t="s">
        <v>547</v>
      </c>
      <c r="AG279" s="66" t="s">
        <v>467</v>
      </c>
      <c r="AH279" s="66" t="s">
        <v>467</v>
      </c>
      <c r="AI279" s="66">
        <v>770.0</v>
      </c>
      <c r="AJ279" s="66">
        <v>21.5</v>
      </c>
      <c r="AK279" s="67">
        <v>16555.0</v>
      </c>
      <c r="AL279" s="63"/>
      <c r="AM279" s="63"/>
      <c r="AN279" s="64">
        <v>21.5</v>
      </c>
      <c r="AO279" s="64" t="s">
        <v>468</v>
      </c>
      <c r="AP279" s="63"/>
      <c r="AQ279" s="63"/>
      <c r="AR279" s="63"/>
      <c r="AS279" s="63"/>
      <c r="AT279" s="63"/>
      <c r="AU279" s="63"/>
      <c r="AV279" s="63"/>
      <c r="AW279" s="58" t="s">
        <v>512</v>
      </c>
      <c r="AX279" s="69">
        <v>16555.0</v>
      </c>
      <c r="AY279" s="70"/>
      <c r="AZ279" s="70"/>
      <c r="BA279" s="70"/>
      <c r="BB279" s="70"/>
      <c r="BC279" s="58" t="s">
        <v>469</v>
      </c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</row>
    <row r="280">
      <c r="A280" s="59">
        <v>45822.0</v>
      </c>
      <c r="B280" s="60" t="s">
        <v>451</v>
      </c>
      <c r="C280" s="61">
        <v>45822.0</v>
      </c>
      <c r="D280" s="61">
        <v>45822.0</v>
      </c>
      <c r="E280" s="60" t="s">
        <v>452</v>
      </c>
      <c r="F280" s="71" t="s">
        <v>1118</v>
      </c>
      <c r="G280" s="77"/>
      <c r="H280" s="66" t="s">
        <v>492</v>
      </c>
      <c r="I280" s="66" t="s">
        <v>1119</v>
      </c>
      <c r="J280" s="66" t="s">
        <v>486</v>
      </c>
      <c r="K280" s="66" t="s">
        <v>486</v>
      </c>
      <c r="L280" s="66">
        <v>22.0</v>
      </c>
      <c r="M280" s="66">
        <v>22.0</v>
      </c>
      <c r="N280" s="66" t="s">
        <v>457</v>
      </c>
      <c r="O280" s="66">
        <v>24.0</v>
      </c>
      <c r="P280" s="66" t="s">
        <v>1120</v>
      </c>
      <c r="Q280" s="64" t="s">
        <v>459</v>
      </c>
      <c r="R280" s="64" t="s">
        <v>459</v>
      </c>
      <c r="S280" s="64">
        <v>178.0</v>
      </c>
      <c r="T280" s="64">
        <v>1958.0</v>
      </c>
      <c r="U280" s="64">
        <v>178.0</v>
      </c>
      <c r="V280" s="66">
        <v>1958.0</v>
      </c>
      <c r="W280" s="66">
        <v>1958.0</v>
      </c>
      <c r="X280" s="79" t="s">
        <v>460</v>
      </c>
      <c r="Y280" s="66" t="s">
        <v>461</v>
      </c>
      <c r="Z280" s="66" t="s">
        <v>462</v>
      </c>
      <c r="AA280" s="66" t="s">
        <v>463</v>
      </c>
      <c r="AB280" s="66" t="s">
        <v>464</v>
      </c>
      <c r="AC280" s="66" t="s">
        <v>451</v>
      </c>
      <c r="AD280" s="64" t="s">
        <v>601</v>
      </c>
      <c r="AE280" s="64" t="s">
        <v>547</v>
      </c>
      <c r="AF280" s="64" t="s">
        <v>547</v>
      </c>
      <c r="AG280" s="64" t="s">
        <v>467</v>
      </c>
      <c r="AH280" s="64" t="s">
        <v>467</v>
      </c>
      <c r="AI280" s="64">
        <v>770.0</v>
      </c>
      <c r="AJ280" s="64">
        <v>23.5</v>
      </c>
      <c r="AK280" s="67">
        <v>18095.0</v>
      </c>
      <c r="AL280" s="63"/>
      <c r="AM280" s="63"/>
      <c r="AN280" s="64">
        <v>23.5</v>
      </c>
      <c r="AO280" s="64" t="s">
        <v>468</v>
      </c>
      <c r="AP280" s="63"/>
      <c r="AQ280" s="63"/>
      <c r="AR280" s="63"/>
      <c r="AS280" s="63"/>
      <c r="AT280" s="63"/>
      <c r="AU280" s="63"/>
      <c r="AV280" s="63"/>
      <c r="AW280" s="58" t="s">
        <v>512</v>
      </c>
      <c r="AX280" s="69">
        <v>18095.0</v>
      </c>
      <c r="AY280" s="70"/>
      <c r="AZ280" s="70"/>
      <c r="BA280" s="70"/>
      <c r="BB280" s="70"/>
      <c r="BC280" s="58" t="s">
        <v>469</v>
      </c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</row>
    <row r="281">
      <c r="A281" s="59">
        <v>45822.0</v>
      </c>
      <c r="B281" s="60" t="s">
        <v>451</v>
      </c>
      <c r="C281" s="61">
        <v>45822.0</v>
      </c>
      <c r="D281" s="61">
        <v>45822.0</v>
      </c>
      <c r="E281" s="60" t="s">
        <v>452</v>
      </c>
      <c r="F281" s="86" t="s">
        <v>1121</v>
      </c>
      <c r="G281" s="63"/>
      <c r="H281" s="64" t="s">
        <v>504</v>
      </c>
      <c r="I281" s="64" t="s">
        <v>603</v>
      </c>
      <c r="J281" s="64" t="s">
        <v>456</v>
      </c>
      <c r="K281" s="64" t="s">
        <v>456</v>
      </c>
      <c r="L281" s="64">
        <v>22.0</v>
      </c>
      <c r="M281" s="64">
        <v>22.0</v>
      </c>
      <c r="N281" s="64" t="s">
        <v>457</v>
      </c>
      <c r="O281" s="64">
        <v>24.0</v>
      </c>
      <c r="P281" s="64" t="s">
        <v>459</v>
      </c>
      <c r="Q281" s="66" t="s">
        <v>459</v>
      </c>
      <c r="R281" s="66" t="s">
        <v>459</v>
      </c>
      <c r="S281" s="66">
        <v>178.0</v>
      </c>
      <c r="T281" s="66">
        <v>1958.0</v>
      </c>
      <c r="U281" s="66">
        <v>178.0</v>
      </c>
      <c r="V281" s="64">
        <v>1958.0</v>
      </c>
      <c r="W281" s="64">
        <v>1958.0</v>
      </c>
      <c r="X281" s="76" t="s">
        <v>460</v>
      </c>
      <c r="Y281" s="64" t="s">
        <v>461</v>
      </c>
      <c r="Z281" s="64" t="s">
        <v>462</v>
      </c>
      <c r="AA281" s="64" t="s">
        <v>463</v>
      </c>
      <c r="AB281" s="64" t="s">
        <v>464</v>
      </c>
      <c r="AC281" s="64" t="s">
        <v>451</v>
      </c>
      <c r="AD281" s="66" t="s">
        <v>507</v>
      </c>
      <c r="AE281" s="66" t="s">
        <v>508</v>
      </c>
      <c r="AF281" s="66" t="s">
        <v>509</v>
      </c>
      <c r="AG281" s="66" t="s">
        <v>467</v>
      </c>
      <c r="AH281" s="66" t="s">
        <v>467</v>
      </c>
      <c r="AI281" s="66">
        <v>790.0</v>
      </c>
      <c r="AJ281" s="66">
        <v>21.5</v>
      </c>
      <c r="AK281" s="67">
        <v>16985.0</v>
      </c>
      <c r="AL281" s="63"/>
      <c r="AM281" s="63"/>
      <c r="AN281" s="64">
        <v>21.5</v>
      </c>
      <c r="AO281" s="64" t="s">
        <v>468</v>
      </c>
      <c r="AP281" s="63"/>
      <c r="AQ281" s="63"/>
      <c r="AR281" s="63"/>
      <c r="AS281" s="73">
        <v>0.5</v>
      </c>
      <c r="AT281" s="64">
        <v>8492.5</v>
      </c>
      <c r="AU281" s="60" t="s">
        <v>510</v>
      </c>
      <c r="AV281" s="74" t="s">
        <v>511</v>
      </c>
      <c r="AW281" s="58" t="s">
        <v>512</v>
      </c>
      <c r="AX281" s="69">
        <v>8492.5</v>
      </c>
      <c r="AY281" s="70"/>
      <c r="AZ281" s="70"/>
      <c r="BA281" s="69">
        <v>8492.5</v>
      </c>
      <c r="BB281" s="70"/>
      <c r="BC281" s="58" t="s">
        <v>469</v>
      </c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</row>
    <row r="282">
      <c r="A282" s="59">
        <v>45822.0</v>
      </c>
      <c r="B282" s="60" t="s">
        <v>451</v>
      </c>
      <c r="C282" s="61">
        <v>45822.0</v>
      </c>
      <c r="D282" s="61">
        <v>45822.0</v>
      </c>
      <c r="E282" s="60" t="s">
        <v>452</v>
      </c>
      <c r="F282" s="71" t="s">
        <v>1122</v>
      </c>
      <c r="G282" s="77"/>
      <c r="H282" s="66" t="s">
        <v>504</v>
      </c>
      <c r="I282" s="66" t="s">
        <v>606</v>
      </c>
      <c r="J282" s="66" t="s">
        <v>456</v>
      </c>
      <c r="K282" s="66" t="s">
        <v>456</v>
      </c>
      <c r="L282" s="66">
        <v>22.0</v>
      </c>
      <c r="M282" s="66">
        <v>22.0</v>
      </c>
      <c r="N282" s="66" t="s">
        <v>457</v>
      </c>
      <c r="O282" s="66">
        <v>24.0</v>
      </c>
      <c r="P282" s="80">
        <v>2.45E8</v>
      </c>
      <c r="Q282" s="64" t="s">
        <v>459</v>
      </c>
      <c r="R282" s="64" t="s">
        <v>459</v>
      </c>
      <c r="S282" s="64">
        <v>180.0</v>
      </c>
      <c r="T282" s="64">
        <v>1980.0</v>
      </c>
      <c r="U282" s="64">
        <v>180.0</v>
      </c>
      <c r="V282" s="66">
        <v>1980.0</v>
      </c>
      <c r="W282" s="66">
        <v>1980.0</v>
      </c>
      <c r="X282" s="79" t="s">
        <v>460</v>
      </c>
      <c r="Y282" s="66" t="s">
        <v>461</v>
      </c>
      <c r="Z282" s="66" t="s">
        <v>462</v>
      </c>
      <c r="AA282" s="66" t="s">
        <v>463</v>
      </c>
      <c r="AB282" s="66" t="s">
        <v>464</v>
      </c>
      <c r="AC282" s="66" t="s">
        <v>451</v>
      </c>
      <c r="AD282" s="64" t="s">
        <v>517</v>
      </c>
      <c r="AE282" s="64" t="s">
        <v>518</v>
      </c>
      <c r="AF282" s="64" t="s">
        <v>518</v>
      </c>
      <c r="AG282" s="64" t="s">
        <v>467</v>
      </c>
      <c r="AH282" s="64" t="s">
        <v>467</v>
      </c>
      <c r="AI282" s="64">
        <v>815.0</v>
      </c>
      <c r="AJ282" s="64">
        <v>21.5</v>
      </c>
      <c r="AK282" s="67">
        <v>17522.5</v>
      </c>
      <c r="AL282" s="63"/>
      <c r="AM282" s="63"/>
      <c r="AN282" s="64">
        <v>21.5</v>
      </c>
      <c r="AO282" s="64" t="s">
        <v>468</v>
      </c>
      <c r="AP282" s="63"/>
      <c r="AQ282" s="63"/>
      <c r="AR282" s="63"/>
      <c r="AS282" s="63"/>
      <c r="AT282" s="63"/>
      <c r="AU282" s="63"/>
      <c r="AV282" s="68"/>
      <c r="AW282" s="58" t="s">
        <v>512</v>
      </c>
      <c r="AX282" s="69">
        <v>17522.5</v>
      </c>
      <c r="AY282" s="70"/>
      <c r="AZ282" s="70"/>
      <c r="BA282" s="70"/>
      <c r="BB282" s="70"/>
      <c r="BC282" s="58" t="s">
        <v>469</v>
      </c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</row>
    <row r="283">
      <c r="A283" s="59">
        <v>45822.0</v>
      </c>
      <c r="B283" s="60" t="s">
        <v>451</v>
      </c>
      <c r="C283" s="61">
        <v>45822.0</v>
      </c>
      <c r="D283" s="61">
        <v>45822.0</v>
      </c>
      <c r="E283" s="60" t="s">
        <v>452</v>
      </c>
      <c r="F283" s="86" t="s">
        <v>1123</v>
      </c>
      <c r="G283" s="63"/>
      <c r="H283" s="64" t="s">
        <v>521</v>
      </c>
      <c r="I283" s="64" t="s">
        <v>608</v>
      </c>
      <c r="J283" s="64" t="s">
        <v>456</v>
      </c>
      <c r="K283" s="64" t="s">
        <v>456</v>
      </c>
      <c r="L283" s="64">
        <v>22.0</v>
      </c>
      <c r="M283" s="64">
        <v>22.0</v>
      </c>
      <c r="N283" s="64" t="s">
        <v>457</v>
      </c>
      <c r="O283" s="64">
        <v>24.0</v>
      </c>
      <c r="P283" s="75">
        <v>2.45E8</v>
      </c>
      <c r="Q283" s="66" t="s">
        <v>459</v>
      </c>
      <c r="R283" s="66" t="s">
        <v>459</v>
      </c>
      <c r="S283" s="66">
        <v>240.0</v>
      </c>
      <c r="T283" s="66">
        <v>2640.0</v>
      </c>
      <c r="U283" s="66">
        <v>240.0</v>
      </c>
      <c r="V283" s="64">
        <v>2640.0</v>
      </c>
      <c r="W283" s="64">
        <v>2640.0</v>
      </c>
      <c r="X283" s="76" t="s">
        <v>460</v>
      </c>
      <c r="Y283" s="64" t="s">
        <v>461</v>
      </c>
      <c r="Z283" s="64" t="s">
        <v>462</v>
      </c>
      <c r="AA283" s="64" t="s">
        <v>463</v>
      </c>
      <c r="AB283" s="64" t="s">
        <v>464</v>
      </c>
      <c r="AC283" s="64" t="s">
        <v>451</v>
      </c>
      <c r="AD283" s="66" t="s">
        <v>524</v>
      </c>
      <c r="AE283" s="66" t="s">
        <v>483</v>
      </c>
      <c r="AF283" s="66" t="s">
        <v>483</v>
      </c>
      <c r="AG283" s="66" t="s">
        <v>467</v>
      </c>
      <c r="AH283" s="66" t="s">
        <v>467</v>
      </c>
      <c r="AI283" s="66">
        <v>600.0</v>
      </c>
      <c r="AJ283" s="66">
        <v>21.5</v>
      </c>
      <c r="AK283" s="67">
        <v>12900.0</v>
      </c>
      <c r="AL283" s="63"/>
      <c r="AM283" s="63"/>
      <c r="AN283" s="64">
        <v>21.5</v>
      </c>
      <c r="AO283" s="64" t="s">
        <v>468</v>
      </c>
      <c r="AP283" s="63"/>
      <c r="AQ283" s="63"/>
      <c r="AR283" s="63"/>
      <c r="AS283" s="63"/>
      <c r="AT283" s="63"/>
      <c r="AU283" s="63"/>
      <c r="AV283" s="68"/>
      <c r="AW283" s="58" t="s">
        <v>512</v>
      </c>
      <c r="AX283" s="69">
        <v>12900.0</v>
      </c>
      <c r="AY283" s="70"/>
      <c r="AZ283" s="70"/>
      <c r="BA283" s="70"/>
      <c r="BB283" s="70"/>
      <c r="BC283" s="58" t="s">
        <v>469</v>
      </c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</row>
    <row r="284">
      <c r="A284" s="59">
        <v>45822.0</v>
      </c>
      <c r="B284" s="60" t="s">
        <v>451</v>
      </c>
      <c r="C284" s="61">
        <v>45822.0</v>
      </c>
      <c r="D284" s="61">
        <v>45822.0</v>
      </c>
      <c r="E284" s="60" t="s">
        <v>452</v>
      </c>
      <c r="F284" s="71" t="s">
        <v>1124</v>
      </c>
      <c r="G284" s="77"/>
      <c r="H284" s="66" t="s">
        <v>492</v>
      </c>
      <c r="I284" s="66" t="s">
        <v>527</v>
      </c>
      <c r="J284" s="66" t="s">
        <v>456</v>
      </c>
      <c r="K284" s="66" t="s">
        <v>456</v>
      </c>
      <c r="L284" s="66">
        <v>22.0</v>
      </c>
      <c r="M284" s="66">
        <v>22.0</v>
      </c>
      <c r="N284" s="66" t="s">
        <v>457</v>
      </c>
      <c r="O284" s="66">
        <v>24.0</v>
      </c>
      <c r="P284" s="66" t="s">
        <v>1125</v>
      </c>
      <c r="Q284" s="64" t="s">
        <v>459</v>
      </c>
      <c r="R284" s="64" t="s">
        <v>459</v>
      </c>
      <c r="S284" s="64">
        <v>192.0</v>
      </c>
      <c r="T284" s="64">
        <v>2112.0</v>
      </c>
      <c r="U284" s="64">
        <v>192.0</v>
      </c>
      <c r="V284" s="66">
        <v>2112.0</v>
      </c>
      <c r="W284" s="66">
        <v>2112.0</v>
      </c>
      <c r="X284" s="79" t="s">
        <v>460</v>
      </c>
      <c r="Y284" s="66" t="s">
        <v>461</v>
      </c>
      <c r="Z284" s="66" t="s">
        <v>462</v>
      </c>
      <c r="AA284" s="66" t="s">
        <v>463</v>
      </c>
      <c r="AB284" s="66" t="s">
        <v>464</v>
      </c>
      <c r="AC284" s="66" t="s">
        <v>451</v>
      </c>
      <c r="AD284" s="60" t="s">
        <v>529</v>
      </c>
      <c r="AE284" s="64" t="s">
        <v>530</v>
      </c>
      <c r="AF284" s="64" t="s">
        <v>530</v>
      </c>
      <c r="AG284" s="64" t="s">
        <v>467</v>
      </c>
      <c r="AH284" s="64" t="s">
        <v>467</v>
      </c>
      <c r="AI284" s="64">
        <v>510.0</v>
      </c>
      <c r="AJ284" s="64">
        <v>21.5</v>
      </c>
      <c r="AK284" s="67">
        <v>10965.0</v>
      </c>
      <c r="AL284" s="63"/>
      <c r="AM284" s="63"/>
      <c r="AN284" s="64">
        <v>21.5</v>
      </c>
      <c r="AO284" s="64" t="s">
        <v>468</v>
      </c>
      <c r="AP284" s="63"/>
      <c r="AQ284" s="63"/>
      <c r="AR284" s="63"/>
      <c r="AS284" s="63"/>
      <c r="AT284" s="63"/>
      <c r="AU284" s="63"/>
      <c r="AV284" s="68"/>
      <c r="AW284" s="58" t="s">
        <v>512</v>
      </c>
      <c r="AX284" s="69">
        <v>10965.0</v>
      </c>
      <c r="AY284" s="70"/>
      <c r="AZ284" s="70"/>
      <c r="BA284" s="70"/>
      <c r="BB284" s="70"/>
      <c r="BC284" s="58" t="s">
        <v>469</v>
      </c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</row>
    <row r="285">
      <c r="A285" s="59">
        <v>45822.0</v>
      </c>
      <c r="B285" s="60" t="s">
        <v>451</v>
      </c>
      <c r="C285" s="61">
        <v>45822.0</v>
      </c>
      <c r="D285" s="61">
        <v>45822.0</v>
      </c>
      <c r="E285" s="60" t="s">
        <v>452</v>
      </c>
      <c r="F285" s="86" t="s">
        <v>1126</v>
      </c>
      <c r="G285" s="63"/>
      <c r="H285" s="64" t="s">
        <v>492</v>
      </c>
      <c r="I285" s="64" t="s">
        <v>533</v>
      </c>
      <c r="J285" s="64" t="s">
        <v>486</v>
      </c>
      <c r="K285" s="64" t="s">
        <v>486</v>
      </c>
      <c r="L285" s="64">
        <v>22.0</v>
      </c>
      <c r="M285" s="64">
        <v>22.0</v>
      </c>
      <c r="N285" s="64" t="s">
        <v>457</v>
      </c>
      <c r="O285" s="64">
        <v>24.0</v>
      </c>
      <c r="P285" s="64" t="s">
        <v>459</v>
      </c>
      <c r="Q285" s="66" t="s">
        <v>459</v>
      </c>
      <c r="R285" s="66" t="s">
        <v>459</v>
      </c>
      <c r="S285" s="66">
        <v>88.0</v>
      </c>
      <c r="T285" s="66">
        <v>968.0</v>
      </c>
      <c r="U285" s="66">
        <v>88.0</v>
      </c>
      <c r="V285" s="64">
        <v>968.0</v>
      </c>
      <c r="W285" s="64">
        <v>968.0</v>
      </c>
      <c r="X285" s="76" t="s">
        <v>460</v>
      </c>
      <c r="Y285" s="64" t="s">
        <v>461</v>
      </c>
      <c r="Z285" s="64" t="s">
        <v>462</v>
      </c>
      <c r="AA285" s="64" t="s">
        <v>463</v>
      </c>
      <c r="AB285" s="64" t="s">
        <v>464</v>
      </c>
      <c r="AC285" s="64" t="s">
        <v>451</v>
      </c>
      <c r="AD285" s="60" t="s">
        <v>529</v>
      </c>
      <c r="AE285" s="66" t="s">
        <v>535</v>
      </c>
      <c r="AF285" s="66" t="s">
        <v>535</v>
      </c>
      <c r="AG285" s="66" t="s">
        <v>467</v>
      </c>
      <c r="AH285" s="66" t="s">
        <v>467</v>
      </c>
      <c r="AI285" s="66">
        <v>510.0</v>
      </c>
      <c r="AJ285" s="66">
        <v>23.5</v>
      </c>
      <c r="AK285" s="67">
        <v>11985.0</v>
      </c>
      <c r="AL285" s="63"/>
      <c r="AM285" s="63"/>
      <c r="AN285" s="64">
        <v>23.5</v>
      </c>
      <c r="AO285" s="64" t="s">
        <v>468</v>
      </c>
      <c r="AP285" s="63"/>
      <c r="AQ285" s="63"/>
      <c r="AR285" s="63"/>
      <c r="AS285" s="63"/>
      <c r="AT285" s="63"/>
      <c r="AU285" s="63"/>
      <c r="AV285" s="68"/>
      <c r="AW285" s="58" t="s">
        <v>512</v>
      </c>
      <c r="AX285" s="69">
        <v>11985.0</v>
      </c>
      <c r="AY285" s="70"/>
      <c r="AZ285" s="70"/>
      <c r="BA285" s="70"/>
      <c r="BB285" s="70"/>
      <c r="BC285" s="58" t="s">
        <v>469</v>
      </c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</row>
    <row r="286">
      <c r="A286" s="59">
        <v>45822.0</v>
      </c>
      <c r="B286" s="60" t="s">
        <v>451</v>
      </c>
      <c r="C286" s="61">
        <v>45822.0</v>
      </c>
      <c r="D286" s="61">
        <v>45822.0</v>
      </c>
      <c r="E286" s="60" t="s">
        <v>452</v>
      </c>
      <c r="F286" s="86" t="s">
        <v>1127</v>
      </c>
      <c r="G286" s="63"/>
      <c r="H286" s="64" t="s">
        <v>538</v>
      </c>
      <c r="I286" s="64" t="s">
        <v>539</v>
      </c>
      <c r="J286" s="64" t="s">
        <v>456</v>
      </c>
      <c r="K286" s="64" t="s">
        <v>456</v>
      </c>
      <c r="L286" s="64">
        <v>32.0</v>
      </c>
      <c r="M286" s="64">
        <v>32.0</v>
      </c>
      <c r="N286" s="64" t="s">
        <v>540</v>
      </c>
      <c r="O286" s="64">
        <v>24.0</v>
      </c>
      <c r="P286" s="75">
        <v>2.45E8</v>
      </c>
      <c r="Q286" s="66" t="s">
        <v>459</v>
      </c>
      <c r="R286" s="66" t="s">
        <v>459</v>
      </c>
      <c r="S286" s="66">
        <v>192.0</v>
      </c>
      <c r="T286" s="66">
        <v>2112.0</v>
      </c>
      <c r="U286" s="66">
        <v>192.0</v>
      </c>
      <c r="V286" s="64">
        <v>2112.0</v>
      </c>
      <c r="W286" s="64">
        <v>2112.0</v>
      </c>
      <c r="X286" s="76" t="s">
        <v>460</v>
      </c>
      <c r="Y286" s="64" t="s">
        <v>461</v>
      </c>
      <c r="Z286" s="64" t="s">
        <v>462</v>
      </c>
      <c r="AA286" s="64" t="s">
        <v>463</v>
      </c>
      <c r="AB286" s="64" t="s">
        <v>464</v>
      </c>
      <c r="AC286" s="64" t="s">
        <v>451</v>
      </c>
      <c r="AD286" s="64" t="s">
        <v>541</v>
      </c>
      <c r="AE286" s="66" t="s">
        <v>490</v>
      </c>
      <c r="AF286" s="66" t="s">
        <v>490</v>
      </c>
      <c r="AG286" s="66" t="s">
        <v>467</v>
      </c>
      <c r="AH286" s="66" t="s">
        <v>467</v>
      </c>
      <c r="AI286" s="66">
        <v>325.0</v>
      </c>
      <c r="AJ286" s="66">
        <v>28.4</v>
      </c>
      <c r="AK286" s="67">
        <v>9213.75</v>
      </c>
      <c r="AL286" s="63"/>
      <c r="AM286" s="63"/>
      <c r="AN286" s="64">
        <v>28.35</v>
      </c>
      <c r="AO286" s="64" t="s">
        <v>468</v>
      </c>
      <c r="AP286" s="63"/>
      <c r="AQ286" s="63"/>
      <c r="AR286" s="63"/>
      <c r="AS286" s="63"/>
      <c r="AT286" s="63"/>
      <c r="AU286" s="63"/>
      <c r="AV286" s="68"/>
      <c r="AW286" s="58" t="s">
        <v>512</v>
      </c>
      <c r="AX286" s="69">
        <v>9213.75</v>
      </c>
      <c r="AY286" s="70"/>
      <c r="AZ286" s="70"/>
      <c r="BA286" s="70"/>
      <c r="BB286" s="70"/>
      <c r="BC286" s="58" t="s">
        <v>469</v>
      </c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</row>
    <row r="287">
      <c r="A287" s="59">
        <v>45822.0</v>
      </c>
      <c r="B287" s="60" t="s">
        <v>451</v>
      </c>
      <c r="C287" s="61">
        <v>45822.0</v>
      </c>
      <c r="D287" s="61">
        <v>45822.0</v>
      </c>
      <c r="E287" s="60" t="s">
        <v>452</v>
      </c>
      <c r="F287" s="71" t="s">
        <v>1128</v>
      </c>
      <c r="G287" s="77"/>
      <c r="H287" s="66" t="s">
        <v>521</v>
      </c>
      <c r="I287" s="66" t="s">
        <v>914</v>
      </c>
      <c r="J287" s="64" t="s">
        <v>486</v>
      </c>
      <c r="K287" s="64" t="s">
        <v>486</v>
      </c>
      <c r="L287" s="66">
        <v>22.0</v>
      </c>
      <c r="M287" s="66">
        <v>22.0</v>
      </c>
      <c r="N287" s="66" t="s">
        <v>457</v>
      </c>
      <c r="O287" s="66">
        <v>24.0</v>
      </c>
      <c r="P287" s="64" t="s">
        <v>459</v>
      </c>
      <c r="Q287" s="64" t="s">
        <v>459</v>
      </c>
      <c r="R287" s="64" t="s">
        <v>459</v>
      </c>
      <c r="S287" s="64">
        <v>150.0</v>
      </c>
      <c r="T287" s="64">
        <v>1650.0</v>
      </c>
      <c r="U287" s="64">
        <v>150.0</v>
      </c>
      <c r="V287" s="64">
        <v>1650.0</v>
      </c>
      <c r="W287" s="64">
        <v>1650.0</v>
      </c>
      <c r="X287" s="76" t="s">
        <v>460</v>
      </c>
      <c r="Y287" s="64" t="s">
        <v>461</v>
      </c>
      <c r="Z287" s="64" t="s">
        <v>462</v>
      </c>
      <c r="AA287" s="64" t="s">
        <v>463</v>
      </c>
      <c r="AB287" s="66" t="s">
        <v>464</v>
      </c>
      <c r="AC287" s="64" t="s">
        <v>451</v>
      </c>
      <c r="AD287" s="66" t="s">
        <v>678</v>
      </c>
      <c r="AE287" s="66" t="s">
        <v>643</v>
      </c>
      <c r="AF287" s="66" t="s">
        <v>643</v>
      </c>
      <c r="AG287" s="64" t="s">
        <v>467</v>
      </c>
      <c r="AH287" s="64" t="s">
        <v>467</v>
      </c>
      <c r="AI287" s="64">
        <v>805.0</v>
      </c>
      <c r="AJ287" s="64">
        <v>23.5</v>
      </c>
      <c r="AK287" s="67">
        <v>18917.5</v>
      </c>
      <c r="AL287" s="63"/>
      <c r="AM287" s="63"/>
      <c r="AN287" s="64">
        <v>23.5</v>
      </c>
      <c r="AO287" s="66" t="s">
        <v>468</v>
      </c>
      <c r="AP287" s="63"/>
      <c r="AQ287" s="63"/>
      <c r="AR287" s="63"/>
      <c r="AS287" s="63"/>
      <c r="AT287" s="63"/>
      <c r="AU287" s="63"/>
      <c r="AV287" s="68"/>
      <c r="AW287" s="58" t="s">
        <v>512</v>
      </c>
      <c r="AX287" s="69">
        <v>18917.5</v>
      </c>
      <c r="AY287" s="70"/>
      <c r="AZ287" s="70"/>
      <c r="BA287" s="70"/>
      <c r="BB287" s="70"/>
      <c r="BC287" s="58" t="s">
        <v>469</v>
      </c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8"/>
      <c r="BQ287" s="58"/>
      <c r="BR287" s="58"/>
    </row>
    <row r="288">
      <c r="A288" s="59">
        <v>45822.0</v>
      </c>
      <c r="B288" s="60" t="s">
        <v>451</v>
      </c>
      <c r="C288" s="61">
        <v>45822.0</v>
      </c>
      <c r="D288" s="61">
        <v>45822.0</v>
      </c>
      <c r="E288" s="60" t="s">
        <v>452</v>
      </c>
      <c r="F288" s="86" t="s">
        <v>1129</v>
      </c>
      <c r="G288" s="63"/>
      <c r="H288" s="64" t="s">
        <v>521</v>
      </c>
      <c r="I288" s="64" t="s">
        <v>615</v>
      </c>
      <c r="J288" s="64" t="s">
        <v>456</v>
      </c>
      <c r="K288" s="64" t="s">
        <v>456</v>
      </c>
      <c r="L288" s="66">
        <v>22.0</v>
      </c>
      <c r="M288" s="66">
        <v>22.0</v>
      </c>
      <c r="N288" s="66" t="s">
        <v>457</v>
      </c>
      <c r="O288" s="66">
        <v>24.0</v>
      </c>
      <c r="P288" s="64" t="s">
        <v>1130</v>
      </c>
      <c r="Q288" s="64" t="s">
        <v>459</v>
      </c>
      <c r="R288" s="64" t="s">
        <v>459</v>
      </c>
      <c r="S288" s="64">
        <v>171.0</v>
      </c>
      <c r="T288" s="64">
        <v>1881.0</v>
      </c>
      <c r="U288" s="64">
        <v>171.0</v>
      </c>
      <c r="V288" s="64">
        <v>1881.0</v>
      </c>
      <c r="W288" s="64">
        <v>1881.0</v>
      </c>
      <c r="X288" s="76" t="s">
        <v>460</v>
      </c>
      <c r="Y288" s="64" t="s">
        <v>461</v>
      </c>
      <c r="Z288" s="64" t="s">
        <v>462</v>
      </c>
      <c r="AA288" s="64" t="s">
        <v>463</v>
      </c>
      <c r="AB288" s="64" t="s">
        <v>464</v>
      </c>
      <c r="AC288" s="66" t="s">
        <v>451</v>
      </c>
      <c r="AD288" s="66" t="s">
        <v>557</v>
      </c>
      <c r="AE288" s="64" t="s">
        <v>525</v>
      </c>
      <c r="AF288" s="64" t="s">
        <v>525</v>
      </c>
      <c r="AG288" s="64" t="s">
        <v>467</v>
      </c>
      <c r="AH288" s="64" t="s">
        <v>467</v>
      </c>
      <c r="AI288" s="66">
        <v>800.0</v>
      </c>
      <c r="AJ288" s="64">
        <v>21.5</v>
      </c>
      <c r="AK288" s="67">
        <v>17200.0</v>
      </c>
      <c r="AL288" s="63"/>
      <c r="AM288" s="63"/>
      <c r="AN288" s="64">
        <v>21.5</v>
      </c>
      <c r="AO288" s="66" t="s">
        <v>468</v>
      </c>
      <c r="AP288" s="63"/>
      <c r="AQ288" s="63"/>
      <c r="AR288" s="63"/>
      <c r="AS288" s="63"/>
      <c r="AT288" s="63"/>
      <c r="AU288" s="63"/>
      <c r="AV288" s="68"/>
      <c r="AW288" s="58" t="s">
        <v>512</v>
      </c>
      <c r="AX288" s="69">
        <v>17200.0</v>
      </c>
      <c r="AY288" s="70"/>
      <c r="AZ288" s="70"/>
      <c r="BA288" s="70"/>
      <c r="BB288" s="70"/>
      <c r="BC288" s="58" t="s">
        <v>469</v>
      </c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  <c r="BQ288" s="58"/>
      <c r="BR288" s="58"/>
    </row>
    <row r="289">
      <c r="A289" s="59">
        <v>45822.0</v>
      </c>
      <c r="B289" s="60" t="s">
        <v>451</v>
      </c>
      <c r="C289" s="61">
        <v>45822.0</v>
      </c>
      <c r="D289" s="61">
        <v>45822.0</v>
      </c>
      <c r="E289" s="60" t="s">
        <v>452</v>
      </c>
      <c r="F289" s="71" t="s">
        <v>1131</v>
      </c>
      <c r="G289" s="77"/>
      <c r="H289" s="66" t="s">
        <v>771</v>
      </c>
      <c r="I289" s="66" t="s">
        <v>772</v>
      </c>
      <c r="J289" s="66" t="s">
        <v>456</v>
      </c>
      <c r="K289" s="66" t="s">
        <v>456</v>
      </c>
      <c r="L289" s="66">
        <v>22.0</v>
      </c>
      <c r="M289" s="66">
        <v>22.0</v>
      </c>
      <c r="N289" s="66" t="s">
        <v>457</v>
      </c>
      <c r="O289" s="66">
        <v>24.0</v>
      </c>
      <c r="P289" s="66" t="s">
        <v>1132</v>
      </c>
      <c r="Q289" s="64" t="s">
        <v>459</v>
      </c>
      <c r="R289" s="64" t="s">
        <v>459</v>
      </c>
      <c r="S289" s="64">
        <v>261.0</v>
      </c>
      <c r="T289" s="64">
        <v>2871.0</v>
      </c>
      <c r="U289" s="64">
        <v>261.0</v>
      </c>
      <c r="V289" s="66">
        <v>2871.0</v>
      </c>
      <c r="W289" s="66">
        <v>2871.0</v>
      </c>
      <c r="X289" s="79" t="s">
        <v>460</v>
      </c>
      <c r="Y289" s="66" t="s">
        <v>461</v>
      </c>
      <c r="Z289" s="66" t="s">
        <v>462</v>
      </c>
      <c r="AA289" s="66" t="s">
        <v>463</v>
      </c>
      <c r="AB289" s="66" t="s">
        <v>464</v>
      </c>
      <c r="AC289" s="66" t="s">
        <v>451</v>
      </c>
      <c r="AD289" s="60" t="s">
        <v>561</v>
      </c>
      <c r="AE289" s="64" t="s">
        <v>562</v>
      </c>
      <c r="AF289" s="64" t="s">
        <v>562</v>
      </c>
      <c r="AG289" s="64" t="s">
        <v>467</v>
      </c>
      <c r="AH289" s="64" t="s">
        <v>467</v>
      </c>
      <c r="AI289" s="64">
        <v>325.0</v>
      </c>
      <c r="AJ289" s="64">
        <v>21.5</v>
      </c>
      <c r="AK289" s="67">
        <v>6987.5</v>
      </c>
      <c r="AL289" s="63"/>
      <c r="AM289" s="63"/>
      <c r="AN289" s="64">
        <v>21.5</v>
      </c>
      <c r="AO289" s="64" t="s">
        <v>468</v>
      </c>
      <c r="AP289" s="63"/>
      <c r="AQ289" s="63"/>
      <c r="AR289" s="63"/>
      <c r="AS289" s="63"/>
      <c r="AT289" s="63"/>
      <c r="AU289" s="63"/>
      <c r="AV289" s="63"/>
      <c r="AW289" s="58" t="s">
        <v>512</v>
      </c>
      <c r="AX289" s="69">
        <v>6987.5</v>
      </c>
      <c r="AY289" s="70"/>
      <c r="AZ289" s="70"/>
      <c r="BA289" s="70"/>
      <c r="BB289" s="70"/>
      <c r="BC289" s="58" t="s">
        <v>469</v>
      </c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8"/>
      <c r="BR289" s="58"/>
    </row>
    <row r="290">
      <c r="A290" s="59">
        <v>45822.0</v>
      </c>
      <c r="B290" s="60" t="s">
        <v>451</v>
      </c>
      <c r="C290" s="61">
        <v>45822.0</v>
      </c>
      <c r="D290" s="61">
        <v>45822.0</v>
      </c>
      <c r="E290" s="60" t="s">
        <v>452</v>
      </c>
      <c r="F290" s="86" t="s">
        <v>1133</v>
      </c>
      <c r="G290" s="63"/>
      <c r="H290" s="64" t="s">
        <v>771</v>
      </c>
      <c r="I290" s="64" t="s">
        <v>775</v>
      </c>
      <c r="J290" s="64" t="s">
        <v>456</v>
      </c>
      <c r="K290" s="64" t="s">
        <v>456</v>
      </c>
      <c r="L290" s="64">
        <v>22.0</v>
      </c>
      <c r="M290" s="64">
        <v>22.0</v>
      </c>
      <c r="N290" s="64" t="s">
        <v>457</v>
      </c>
      <c r="O290" s="64">
        <v>24.0</v>
      </c>
      <c r="P290" s="64" t="s">
        <v>1134</v>
      </c>
      <c r="Q290" s="66" t="s">
        <v>459</v>
      </c>
      <c r="R290" s="66" t="s">
        <v>459</v>
      </c>
      <c r="S290" s="66">
        <v>188.0</v>
      </c>
      <c r="T290" s="66">
        <v>2068.0</v>
      </c>
      <c r="U290" s="66">
        <v>188.0</v>
      </c>
      <c r="V290" s="64">
        <v>2068.0</v>
      </c>
      <c r="W290" s="64">
        <v>2068.0</v>
      </c>
      <c r="X290" s="76" t="s">
        <v>460</v>
      </c>
      <c r="Y290" s="64" t="s">
        <v>461</v>
      </c>
      <c r="Z290" s="64" t="s">
        <v>462</v>
      </c>
      <c r="AA290" s="64" t="s">
        <v>463</v>
      </c>
      <c r="AB290" s="64" t="s">
        <v>464</v>
      </c>
      <c r="AC290" s="64" t="s">
        <v>451</v>
      </c>
      <c r="AD290" s="64" t="s">
        <v>566</v>
      </c>
      <c r="AE290" s="66" t="s">
        <v>567</v>
      </c>
      <c r="AF290" s="66" t="s">
        <v>567</v>
      </c>
      <c r="AG290" s="66" t="s">
        <v>467</v>
      </c>
      <c r="AH290" s="66" t="s">
        <v>467</v>
      </c>
      <c r="AI290" s="66">
        <v>475.0</v>
      </c>
      <c r="AJ290" s="66">
        <v>21.5</v>
      </c>
      <c r="AK290" s="67">
        <v>10212.5</v>
      </c>
      <c r="AL290" s="63"/>
      <c r="AM290" s="63"/>
      <c r="AN290" s="64">
        <v>21.5</v>
      </c>
      <c r="AO290" s="64" t="s">
        <v>468</v>
      </c>
      <c r="AP290" s="63"/>
      <c r="AQ290" s="63"/>
      <c r="AR290" s="63"/>
      <c r="AS290" s="63"/>
      <c r="AT290" s="63"/>
      <c r="AU290" s="63"/>
      <c r="AV290" s="63"/>
      <c r="AW290" s="58" t="s">
        <v>512</v>
      </c>
      <c r="AX290" s="69">
        <v>10212.5</v>
      </c>
      <c r="AY290" s="70"/>
      <c r="AZ290" s="70"/>
      <c r="BA290" s="70"/>
      <c r="BB290" s="70"/>
      <c r="BC290" s="58" t="s">
        <v>469</v>
      </c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  <c r="BQ290" s="58"/>
      <c r="BR290" s="58"/>
    </row>
    <row r="291">
      <c r="A291" s="59">
        <v>45822.0</v>
      </c>
      <c r="B291" s="60" t="s">
        <v>451</v>
      </c>
      <c r="C291" s="61">
        <v>45822.0</v>
      </c>
      <c r="D291" s="61">
        <v>45822.0</v>
      </c>
      <c r="E291" s="60" t="s">
        <v>452</v>
      </c>
      <c r="F291" s="71" t="s">
        <v>1135</v>
      </c>
      <c r="G291" s="77"/>
      <c r="H291" s="66" t="s">
        <v>521</v>
      </c>
      <c r="I291" s="66" t="s">
        <v>769</v>
      </c>
      <c r="J291" s="66" t="s">
        <v>486</v>
      </c>
      <c r="K291" s="66" t="s">
        <v>486</v>
      </c>
      <c r="L291" s="66">
        <v>22.0</v>
      </c>
      <c r="M291" s="66">
        <v>22.0</v>
      </c>
      <c r="N291" s="66" t="s">
        <v>457</v>
      </c>
      <c r="O291" s="66">
        <v>24.0</v>
      </c>
      <c r="P291" s="66" t="s">
        <v>1136</v>
      </c>
      <c r="Q291" s="64" t="s">
        <v>459</v>
      </c>
      <c r="R291" s="64" t="s">
        <v>459</v>
      </c>
      <c r="S291" s="64">
        <v>97.0</v>
      </c>
      <c r="T291" s="64">
        <v>1067.0</v>
      </c>
      <c r="U291" s="64">
        <v>97.0</v>
      </c>
      <c r="V291" s="66">
        <v>1067.0</v>
      </c>
      <c r="W291" s="66">
        <v>1067.0</v>
      </c>
      <c r="X291" s="79" t="s">
        <v>460</v>
      </c>
      <c r="Y291" s="66" t="s">
        <v>461</v>
      </c>
      <c r="Z291" s="66" t="s">
        <v>462</v>
      </c>
      <c r="AA291" s="66" t="s">
        <v>463</v>
      </c>
      <c r="AB291" s="66" t="s">
        <v>464</v>
      </c>
      <c r="AC291" s="66" t="s">
        <v>451</v>
      </c>
      <c r="AD291" s="64" t="s">
        <v>566</v>
      </c>
      <c r="AE291" s="64" t="s">
        <v>567</v>
      </c>
      <c r="AF291" s="64" t="s">
        <v>567</v>
      </c>
      <c r="AG291" s="64" t="s">
        <v>467</v>
      </c>
      <c r="AH291" s="64" t="s">
        <v>467</v>
      </c>
      <c r="AI291" s="64">
        <v>475.0</v>
      </c>
      <c r="AJ291" s="64">
        <v>23.5</v>
      </c>
      <c r="AK291" s="67">
        <v>11162.5</v>
      </c>
      <c r="AL291" s="63"/>
      <c r="AM291" s="63"/>
      <c r="AN291" s="64">
        <v>23.5</v>
      </c>
      <c r="AO291" s="64" t="s">
        <v>468</v>
      </c>
      <c r="AP291" s="63"/>
      <c r="AQ291" s="63"/>
      <c r="AR291" s="63"/>
      <c r="AS291" s="63"/>
      <c r="AT291" s="63"/>
      <c r="AU291" s="63"/>
      <c r="AV291" s="63"/>
      <c r="AW291" s="58" t="s">
        <v>512</v>
      </c>
      <c r="AX291" s="69">
        <v>11162.5</v>
      </c>
      <c r="AY291" s="70"/>
      <c r="AZ291" s="70"/>
      <c r="BA291" s="70"/>
      <c r="BB291" s="70"/>
      <c r="BC291" s="58" t="s">
        <v>469</v>
      </c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</row>
    <row r="292">
      <c r="A292" s="59">
        <v>45822.0</v>
      </c>
      <c r="B292" s="60" t="s">
        <v>451</v>
      </c>
      <c r="C292" s="61">
        <v>45822.0</v>
      </c>
      <c r="D292" s="61">
        <v>45822.0</v>
      </c>
      <c r="E292" s="60" t="s">
        <v>452</v>
      </c>
      <c r="F292" s="86" t="s">
        <v>1137</v>
      </c>
      <c r="G292" s="63"/>
      <c r="H292" s="64" t="s">
        <v>492</v>
      </c>
      <c r="I292" s="64" t="s">
        <v>626</v>
      </c>
      <c r="J292" s="64" t="s">
        <v>456</v>
      </c>
      <c r="K292" s="64" t="s">
        <v>456</v>
      </c>
      <c r="L292" s="64">
        <v>22.0</v>
      </c>
      <c r="M292" s="64">
        <v>22.0</v>
      </c>
      <c r="N292" s="64" t="s">
        <v>457</v>
      </c>
      <c r="O292" s="64">
        <v>24.0</v>
      </c>
      <c r="P292" s="64" t="s">
        <v>1138</v>
      </c>
      <c r="Q292" s="66" t="s">
        <v>459</v>
      </c>
      <c r="R292" s="66" t="s">
        <v>459</v>
      </c>
      <c r="S292" s="66">
        <v>179.0</v>
      </c>
      <c r="T292" s="66">
        <v>1969.0</v>
      </c>
      <c r="U292" s="66">
        <v>179.0</v>
      </c>
      <c r="V292" s="64">
        <v>1969.0</v>
      </c>
      <c r="W292" s="64">
        <v>1969.0</v>
      </c>
      <c r="X292" s="76" t="s">
        <v>460</v>
      </c>
      <c r="Y292" s="64" t="s">
        <v>461</v>
      </c>
      <c r="Z292" s="64" t="s">
        <v>462</v>
      </c>
      <c r="AA292" s="64" t="s">
        <v>463</v>
      </c>
      <c r="AB292" s="64" t="s">
        <v>464</v>
      </c>
      <c r="AC292" s="64" t="s">
        <v>451</v>
      </c>
      <c r="AD292" s="64" t="s">
        <v>571</v>
      </c>
      <c r="AE292" s="66" t="s">
        <v>572</v>
      </c>
      <c r="AF292" s="66" t="s">
        <v>572</v>
      </c>
      <c r="AG292" s="66" t="s">
        <v>467</v>
      </c>
      <c r="AH292" s="66" t="s">
        <v>467</v>
      </c>
      <c r="AI292" s="66">
        <v>655.0</v>
      </c>
      <c r="AJ292" s="66">
        <v>21.5</v>
      </c>
      <c r="AK292" s="67">
        <v>14082.5</v>
      </c>
      <c r="AL292" s="63"/>
      <c r="AM292" s="63"/>
      <c r="AN292" s="64">
        <v>21.5</v>
      </c>
      <c r="AO292" s="60" t="s">
        <v>468</v>
      </c>
      <c r="AP292" s="63"/>
      <c r="AQ292" s="63"/>
      <c r="AR292" s="63"/>
      <c r="AS292" s="63"/>
      <c r="AT292" s="63"/>
      <c r="AU292" s="63"/>
      <c r="AV292" s="68"/>
      <c r="AW292" s="58" t="s">
        <v>512</v>
      </c>
      <c r="AX292" s="69">
        <v>14082.5</v>
      </c>
      <c r="AY292" s="70"/>
      <c r="AZ292" s="70"/>
      <c r="BA292" s="70"/>
      <c r="BB292" s="70"/>
      <c r="BC292" s="58" t="s">
        <v>469</v>
      </c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</row>
    <row r="293">
      <c r="A293" s="59">
        <v>45822.0</v>
      </c>
      <c r="B293" s="60" t="s">
        <v>451</v>
      </c>
      <c r="C293" s="61">
        <v>45822.0</v>
      </c>
      <c r="D293" s="61">
        <v>45822.0</v>
      </c>
      <c r="E293" s="60" t="s">
        <v>452</v>
      </c>
      <c r="F293" s="71" t="s">
        <v>1139</v>
      </c>
      <c r="G293" s="77"/>
      <c r="H293" s="66" t="s">
        <v>492</v>
      </c>
      <c r="I293" s="66" t="s">
        <v>1070</v>
      </c>
      <c r="J293" s="66" t="s">
        <v>486</v>
      </c>
      <c r="K293" s="66" t="s">
        <v>486</v>
      </c>
      <c r="L293" s="66">
        <v>22.0</v>
      </c>
      <c r="M293" s="66">
        <v>22.0</v>
      </c>
      <c r="N293" s="66" t="s">
        <v>457</v>
      </c>
      <c r="O293" s="66">
        <v>24.0</v>
      </c>
      <c r="P293" s="66" t="s">
        <v>1140</v>
      </c>
      <c r="Q293" s="64" t="s">
        <v>459</v>
      </c>
      <c r="R293" s="64" t="s">
        <v>459</v>
      </c>
      <c r="S293" s="64">
        <v>151.0</v>
      </c>
      <c r="T293" s="64">
        <v>1661.0</v>
      </c>
      <c r="U293" s="64">
        <v>151.0</v>
      </c>
      <c r="V293" s="66">
        <v>1661.0</v>
      </c>
      <c r="W293" s="66">
        <v>1661.0</v>
      </c>
      <c r="X293" s="79" t="s">
        <v>460</v>
      </c>
      <c r="Y293" s="66" t="s">
        <v>461</v>
      </c>
      <c r="Z293" s="66" t="s">
        <v>462</v>
      </c>
      <c r="AA293" s="66" t="s">
        <v>463</v>
      </c>
      <c r="AB293" s="66" t="s">
        <v>464</v>
      </c>
      <c r="AC293" s="66" t="s">
        <v>451</v>
      </c>
      <c r="AD293" s="64" t="s">
        <v>571</v>
      </c>
      <c r="AE293" s="64" t="s">
        <v>572</v>
      </c>
      <c r="AF293" s="64" t="s">
        <v>572</v>
      </c>
      <c r="AG293" s="64" t="s">
        <v>467</v>
      </c>
      <c r="AH293" s="64" t="s">
        <v>467</v>
      </c>
      <c r="AI293" s="64">
        <v>655.0</v>
      </c>
      <c r="AJ293" s="64">
        <v>23.5</v>
      </c>
      <c r="AK293" s="67">
        <v>15392.5</v>
      </c>
      <c r="AL293" s="63"/>
      <c r="AM293" s="63"/>
      <c r="AN293" s="64">
        <v>23.5</v>
      </c>
      <c r="AO293" s="60" t="s">
        <v>468</v>
      </c>
      <c r="AP293" s="63"/>
      <c r="AQ293" s="63"/>
      <c r="AR293" s="63"/>
      <c r="AS293" s="63"/>
      <c r="AT293" s="63"/>
      <c r="AU293" s="63"/>
      <c r="AV293" s="68"/>
      <c r="AW293" s="58" t="s">
        <v>512</v>
      </c>
      <c r="AX293" s="69">
        <v>15392.5</v>
      </c>
      <c r="AY293" s="70"/>
      <c r="AZ293" s="70"/>
      <c r="BA293" s="70"/>
      <c r="BB293" s="70"/>
      <c r="BC293" s="58" t="s">
        <v>469</v>
      </c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</row>
    <row r="294">
      <c r="A294" s="59">
        <v>45822.0</v>
      </c>
      <c r="B294" s="60" t="s">
        <v>451</v>
      </c>
      <c r="C294" s="61">
        <v>45822.0</v>
      </c>
      <c r="D294" s="61">
        <v>45822.0</v>
      </c>
      <c r="E294" s="60" t="s">
        <v>452</v>
      </c>
      <c r="F294" s="86" t="s">
        <v>1141</v>
      </c>
      <c r="G294" s="63"/>
      <c r="H294" s="64" t="s">
        <v>472</v>
      </c>
      <c r="I294" s="64" t="s">
        <v>632</v>
      </c>
      <c r="J294" s="64" t="s">
        <v>486</v>
      </c>
      <c r="K294" s="64" t="s">
        <v>486</v>
      </c>
      <c r="L294" s="64">
        <v>22.0</v>
      </c>
      <c r="M294" s="64">
        <v>22.0</v>
      </c>
      <c r="N294" s="64" t="s">
        <v>457</v>
      </c>
      <c r="O294" s="64">
        <v>24.0</v>
      </c>
      <c r="P294" s="64" t="s">
        <v>1142</v>
      </c>
      <c r="Q294" s="66" t="s">
        <v>459</v>
      </c>
      <c r="R294" s="66" t="s">
        <v>459</v>
      </c>
      <c r="S294" s="66">
        <v>140.0</v>
      </c>
      <c r="T294" s="66">
        <v>1540.0</v>
      </c>
      <c r="U294" s="66">
        <v>140.0</v>
      </c>
      <c r="V294" s="64">
        <v>1540.0</v>
      </c>
      <c r="W294" s="64">
        <v>1540.0</v>
      </c>
      <c r="X294" s="76" t="s">
        <v>460</v>
      </c>
      <c r="Y294" s="64" t="s">
        <v>461</v>
      </c>
      <c r="Z294" s="64" t="s">
        <v>462</v>
      </c>
      <c r="AA294" s="64" t="s">
        <v>463</v>
      </c>
      <c r="AB294" s="64" t="s">
        <v>464</v>
      </c>
      <c r="AC294" s="64" t="s">
        <v>451</v>
      </c>
      <c r="AD294" s="66" t="s">
        <v>577</v>
      </c>
      <c r="AE294" s="66" t="s">
        <v>578</v>
      </c>
      <c r="AF294" s="66" t="s">
        <v>578</v>
      </c>
      <c r="AG294" s="66" t="s">
        <v>467</v>
      </c>
      <c r="AH294" s="66" t="s">
        <v>467</v>
      </c>
      <c r="AI294" s="66">
        <v>396.0</v>
      </c>
      <c r="AJ294" s="66">
        <v>23.5</v>
      </c>
      <c r="AK294" s="67">
        <v>9306.0</v>
      </c>
      <c r="AL294" s="63"/>
      <c r="AM294" s="63"/>
      <c r="AN294" s="64">
        <v>23.5</v>
      </c>
      <c r="AO294" s="64" t="s">
        <v>468</v>
      </c>
      <c r="AP294" s="63"/>
      <c r="AQ294" s="63"/>
      <c r="AR294" s="63"/>
      <c r="AS294" s="63"/>
      <c r="AT294" s="63"/>
      <c r="AU294" s="63"/>
      <c r="AV294" s="63"/>
      <c r="AW294" s="58" t="s">
        <v>512</v>
      </c>
      <c r="AX294" s="69">
        <v>9306.0</v>
      </c>
      <c r="AY294" s="70"/>
      <c r="AZ294" s="70"/>
      <c r="BA294" s="70"/>
      <c r="BB294" s="70"/>
      <c r="BC294" s="58" t="s">
        <v>469</v>
      </c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</row>
    <row r="295">
      <c r="A295" s="59">
        <v>45822.0</v>
      </c>
      <c r="B295" s="60" t="s">
        <v>451</v>
      </c>
      <c r="C295" s="61">
        <v>45822.0</v>
      </c>
      <c r="D295" s="61">
        <v>45822.0</v>
      </c>
      <c r="E295" s="60" t="s">
        <v>452</v>
      </c>
      <c r="F295" s="71" t="s">
        <v>1143</v>
      </c>
      <c r="G295" s="77"/>
      <c r="H295" s="66" t="s">
        <v>472</v>
      </c>
      <c r="I295" s="66" t="s">
        <v>817</v>
      </c>
      <c r="J295" s="66" t="s">
        <v>456</v>
      </c>
      <c r="K295" s="66" t="s">
        <v>456</v>
      </c>
      <c r="L295" s="66">
        <v>22.0</v>
      </c>
      <c r="M295" s="66">
        <v>22.0</v>
      </c>
      <c r="N295" s="66" t="s">
        <v>457</v>
      </c>
      <c r="O295" s="66">
        <v>24.0</v>
      </c>
      <c r="P295" s="66" t="s">
        <v>1144</v>
      </c>
      <c r="Q295" s="64" t="s">
        <v>459</v>
      </c>
      <c r="R295" s="64" t="s">
        <v>459</v>
      </c>
      <c r="S295" s="64">
        <v>117.0</v>
      </c>
      <c r="T295" s="64">
        <v>1287.0</v>
      </c>
      <c r="U295" s="64">
        <v>117.0</v>
      </c>
      <c r="V295" s="66">
        <v>1287.0</v>
      </c>
      <c r="W295" s="66">
        <v>1287.0</v>
      </c>
      <c r="X295" s="79" t="s">
        <v>460</v>
      </c>
      <c r="Y295" s="66" t="s">
        <v>461</v>
      </c>
      <c r="Z295" s="66" t="s">
        <v>462</v>
      </c>
      <c r="AA295" s="66" t="s">
        <v>463</v>
      </c>
      <c r="AB295" s="66" t="s">
        <v>464</v>
      </c>
      <c r="AC295" s="66" t="s">
        <v>451</v>
      </c>
      <c r="AD295" s="66" t="s">
        <v>577</v>
      </c>
      <c r="AE295" s="64" t="s">
        <v>578</v>
      </c>
      <c r="AF295" s="64" t="s">
        <v>578</v>
      </c>
      <c r="AG295" s="64" t="s">
        <v>467</v>
      </c>
      <c r="AH295" s="64" t="s">
        <v>467</v>
      </c>
      <c r="AI295" s="64">
        <v>396.0</v>
      </c>
      <c r="AJ295" s="64">
        <v>21.5</v>
      </c>
      <c r="AK295" s="67">
        <v>8514.0</v>
      </c>
      <c r="AL295" s="63"/>
      <c r="AM295" s="63"/>
      <c r="AN295" s="64">
        <v>21.5</v>
      </c>
      <c r="AO295" s="64" t="s">
        <v>468</v>
      </c>
      <c r="AP295" s="63"/>
      <c r="AQ295" s="63"/>
      <c r="AR295" s="63"/>
      <c r="AS295" s="63"/>
      <c r="AT295" s="63"/>
      <c r="AU295" s="63"/>
      <c r="AV295" s="63"/>
      <c r="AW295" s="58" t="s">
        <v>512</v>
      </c>
      <c r="AX295" s="69">
        <v>8514.0</v>
      </c>
      <c r="AY295" s="70"/>
      <c r="AZ295" s="70"/>
      <c r="BA295" s="70"/>
      <c r="BB295" s="70"/>
      <c r="BC295" s="58" t="s">
        <v>469</v>
      </c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  <c r="BQ295" s="58"/>
      <c r="BR295" s="58"/>
    </row>
    <row r="296">
      <c r="A296" s="59">
        <v>45822.0</v>
      </c>
      <c r="B296" s="60" t="s">
        <v>451</v>
      </c>
      <c r="C296" s="61">
        <v>45822.0</v>
      </c>
      <c r="D296" s="61">
        <v>45822.0</v>
      </c>
      <c r="E296" s="60" t="s">
        <v>452</v>
      </c>
      <c r="F296" s="86" t="s">
        <v>1145</v>
      </c>
      <c r="G296" s="63"/>
      <c r="H296" s="64" t="s">
        <v>472</v>
      </c>
      <c r="I296" s="64" t="s">
        <v>891</v>
      </c>
      <c r="J296" s="64" t="s">
        <v>456</v>
      </c>
      <c r="K296" s="64" t="s">
        <v>456</v>
      </c>
      <c r="L296" s="64">
        <v>22.0</v>
      </c>
      <c r="M296" s="64">
        <v>22.0</v>
      </c>
      <c r="N296" s="64" t="s">
        <v>457</v>
      </c>
      <c r="O296" s="64">
        <v>24.0</v>
      </c>
      <c r="P296" s="75">
        <v>2.45E8</v>
      </c>
      <c r="Q296" s="66" t="s">
        <v>459</v>
      </c>
      <c r="R296" s="66" t="s">
        <v>459</v>
      </c>
      <c r="S296" s="66">
        <v>80.0</v>
      </c>
      <c r="T296" s="66">
        <v>880.0</v>
      </c>
      <c r="U296" s="66">
        <v>80.0</v>
      </c>
      <c r="V296" s="64">
        <v>880.0</v>
      </c>
      <c r="W296" s="64">
        <v>880.0</v>
      </c>
      <c r="X296" s="76" t="s">
        <v>460</v>
      </c>
      <c r="Y296" s="64" t="s">
        <v>461</v>
      </c>
      <c r="Z296" s="64" t="s">
        <v>462</v>
      </c>
      <c r="AA296" s="64" t="s">
        <v>463</v>
      </c>
      <c r="AB296" s="64" t="s">
        <v>464</v>
      </c>
      <c r="AC296" s="64" t="s">
        <v>451</v>
      </c>
      <c r="AD296" s="64" t="s">
        <v>634</v>
      </c>
      <c r="AE296" s="66" t="s">
        <v>617</v>
      </c>
      <c r="AF296" s="66" t="s">
        <v>617</v>
      </c>
      <c r="AG296" s="66" t="s">
        <v>467</v>
      </c>
      <c r="AH296" s="66" t="s">
        <v>467</v>
      </c>
      <c r="AI296" s="66">
        <v>330.0</v>
      </c>
      <c r="AJ296" s="66">
        <v>21.5</v>
      </c>
      <c r="AK296" s="67">
        <v>7095.0</v>
      </c>
      <c r="AL296" s="63"/>
      <c r="AM296" s="63"/>
      <c r="AN296" s="64">
        <v>21.5</v>
      </c>
      <c r="AO296" s="64" t="s">
        <v>468</v>
      </c>
      <c r="AP296" s="63"/>
      <c r="AQ296" s="63"/>
      <c r="AR296" s="63"/>
      <c r="AS296" s="63"/>
      <c r="AT296" s="63"/>
      <c r="AU296" s="63"/>
      <c r="AV296" s="63"/>
      <c r="AW296" s="58" t="s">
        <v>512</v>
      </c>
      <c r="AX296" s="69">
        <v>7095.0</v>
      </c>
      <c r="AY296" s="70"/>
      <c r="AZ296" s="70"/>
      <c r="BA296" s="70"/>
      <c r="BB296" s="70"/>
      <c r="BC296" s="58" t="s">
        <v>469</v>
      </c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</row>
    <row r="297">
      <c r="A297" s="59">
        <v>45822.0</v>
      </c>
      <c r="B297" s="60" t="s">
        <v>451</v>
      </c>
      <c r="C297" s="61">
        <v>45822.0</v>
      </c>
      <c r="D297" s="61">
        <v>45822.0</v>
      </c>
      <c r="E297" s="60" t="s">
        <v>452</v>
      </c>
      <c r="F297" s="71" t="s">
        <v>1146</v>
      </c>
      <c r="G297" s="77"/>
      <c r="H297" s="66" t="s">
        <v>472</v>
      </c>
      <c r="I297" s="66" t="s">
        <v>636</v>
      </c>
      <c r="J297" s="66" t="s">
        <v>456</v>
      </c>
      <c r="K297" s="66" t="s">
        <v>456</v>
      </c>
      <c r="L297" s="66">
        <v>22.0</v>
      </c>
      <c r="M297" s="66">
        <v>22.0</v>
      </c>
      <c r="N297" s="66" t="s">
        <v>457</v>
      </c>
      <c r="O297" s="66">
        <v>24.0</v>
      </c>
      <c r="P297" s="66" t="s">
        <v>1147</v>
      </c>
      <c r="Q297" s="64" t="s">
        <v>459</v>
      </c>
      <c r="R297" s="64" t="s">
        <v>459</v>
      </c>
      <c r="S297" s="64">
        <v>158.0</v>
      </c>
      <c r="T297" s="64">
        <v>1738.0</v>
      </c>
      <c r="U297" s="64">
        <v>158.0</v>
      </c>
      <c r="V297" s="66">
        <v>1738.0</v>
      </c>
      <c r="W297" s="66">
        <v>1738.0</v>
      </c>
      <c r="X297" s="79" t="s">
        <v>460</v>
      </c>
      <c r="Y297" s="66" t="s">
        <v>461</v>
      </c>
      <c r="Z297" s="66" t="s">
        <v>462</v>
      </c>
      <c r="AA297" s="66" t="s">
        <v>463</v>
      </c>
      <c r="AB297" s="66" t="s">
        <v>464</v>
      </c>
      <c r="AC297" s="66" t="s">
        <v>451</v>
      </c>
      <c r="AD297" s="60" t="s">
        <v>638</v>
      </c>
      <c r="AE297" s="64" t="s">
        <v>531</v>
      </c>
      <c r="AF297" s="64" t="s">
        <v>531</v>
      </c>
      <c r="AG297" s="64" t="s">
        <v>467</v>
      </c>
      <c r="AH297" s="64" t="s">
        <v>467</v>
      </c>
      <c r="AI297" s="64">
        <v>510.0</v>
      </c>
      <c r="AJ297" s="64">
        <v>21.5</v>
      </c>
      <c r="AK297" s="67">
        <v>10965.0</v>
      </c>
      <c r="AL297" s="63"/>
      <c r="AM297" s="63"/>
      <c r="AN297" s="64">
        <v>21.5</v>
      </c>
      <c r="AO297" s="64" t="s">
        <v>468</v>
      </c>
      <c r="AP297" s="63"/>
      <c r="AQ297" s="63"/>
      <c r="AR297" s="63"/>
      <c r="AS297" s="63"/>
      <c r="AT297" s="63"/>
      <c r="AU297" s="63"/>
      <c r="AV297" s="68"/>
      <c r="AW297" s="58" t="s">
        <v>512</v>
      </c>
      <c r="AX297" s="69">
        <v>10965.0</v>
      </c>
      <c r="AY297" s="70"/>
      <c r="AZ297" s="70"/>
      <c r="BA297" s="70"/>
      <c r="BB297" s="70"/>
      <c r="BC297" s="58" t="s">
        <v>469</v>
      </c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8"/>
      <c r="BR297" s="58"/>
    </row>
    <row r="298">
      <c r="A298" s="59">
        <v>45823.0</v>
      </c>
      <c r="B298" s="60" t="s">
        <v>451</v>
      </c>
      <c r="C298" s="61">
        <v>45823.0</v>
      </c>
      <c r="D298" s="61">
        <v>45823.0</v>
      </c>
      <c r="E298" s="60" t="s">
        <v>452</v>
      </c>
      <c r="F298" s="101" t="s">
        <v>1148</v>
      </c>
      <c r="G298" s="63"/>
      <c r="H298" s="64" t="s">
        <v>454</v>
      </c>
      <c r="I298" s="64" t="s">
        <v>641</v>
      </c>
      <c r="J298" s="64" t="s">
        <v>456</v>
      </c>
      <c r="K298" s="64" t="s">
        <v>456</v>
      </c>
      <c r="L298" s="64">
        <v>22.0</v>
      </c>
      <c r="M298" s="64">
        <v>22.0</v>
      </c>
      <c r="N298" s="64" t="s">
        <v>457</v>
      </c>
      <c r="O298" s="64">
        <v>24.0</v>
      </c>
      <c r="P298" s="64" t="s">
        <v>1149</v>
      </c>
      <c r="Q298" s="66" t="s">
        <v>459</v>
      </c>
      <c r="R298" s="66" t="s">
        <v>459</v>
      </c>
      <c r="S298" s="66">
        <v>285.0</v>
      </c>
      <c r="T298" s="66">
        <v>3135.0</v>
      </c>
      <c r="U298" s="66">
        <v>285.0</v>
      </c>
      <c r="V298" s="64">
        <v>3135.0</v>
      </c>
      <c r="W298" s="64">
        <v>3135.0</v>
      </c>
      <c r="X298" s="76" t="s">
        <v>460</v>
      </c>
      <c r="Y298" s="64" t="s">
        <v>461</v>
      </c>
      <c r="Z298" s="64" t="s">
        <v>462</v>
      </c>
      <c r="AA298" s="64" t="s">
        <v>463</v>
      </c>
      <c r="AB298" s="64" t="s">
        <v>464</v>
      </c>
      <c r="AC298" s="64" t="s">
        <v>451</v>
      </c>
      <c r="AD298" s="64" t="s">
        <v>465</v>
      </c>
      <c r="AE298" s="64" t="s">
        <v>466</v>
      </c>
      <c r="AF298" s="64" t="s">
        <v>466</v>
      </c>
      <c r="AG298" s="64" t="s">
        <v>467</v>
      </c>
      <c r="AH298" s="64" t="s">
        <v>467</v>
      </c>
      <c r="AI298" s="66">
        <v>735.0</v>
      </c>
      <c r="AJ298" s="66">
        <v>21.5</v>
      </c>
      <c r="AK298" s="67">
        <v>15802.5</v>
      </c>
      <c r="AL298" s="63"/>
      <c r="AM298" s="63"/>
      <c r="AN298" s="64">
        <v>21.5</v>
      </c>
      <c r="AO298" s="60" t="s">
        <v>468</v>
      </c>
      <c r="AP298" s="63"/>
      <c r="AQ298" s="63"/>
      <c r="AR298" s="63"/>
      <c r="AS298" s="63"/>
      <c r="AT298" s="63"/>
      <c r="AU298" s="63"/>
      <c r="AV298" s="68"/>
      <c r="AW298" s="58" t="s">
        <v>512</v>
      </c>
      <c r="AX298" s="69">
        <v>15802.5</v>
      </c>
      <c r="AY298" s="70"/>
      <c r="AZ298" s="70"/>
      <c r="BA298" s="70"/>
      <c r="BB298" s="70"/>
      <c r="BC298" s="58" t="s">
        <v>469</v>
      </c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8"/>
      <c r="BR298" s="58"/>
    </row>
    <row r="299">
      <c r="A299" s="59">
        <v>45823.0</v>
      </c>
      <c r="B299" s="60" t="s">
        <v>451</v>
      </c>
      <c r="C299" s="61">
        <v>45823.0</v>
      </c>
      <c r="D299" s="61">
        <v>45823.0</v>
      </c>
      <c r="E299" s="60" t="s">
        <v>452</v>
      </c>
      <c r="F299" s="101" t="s">
        <v>1150</v>
      </c>
      <c r="G299" s="63"/>
      <c r="H299" s="64" t="s">
        <v>472</v>
      </c>
      <c r="I299" s="64" t="s">
        <v>473</v>
      </c>
      <c r="J299" s="64" t="s">
        <v>456</v>
      </c>
      <c r="K299" s="64" t="s">
        <v>456</v>
      </c>
      <c r="L299" s="64">
        <v>22.0</v>
      </c>
      <c r="M299" s="64">
        <v>22.0</v>
      </c>
      <c r="N299" s="64" t="s">
        <v>457</v>
      </c>
      <c r="O299" s="64">
        <v>24.0</v>
      </c>
      <c r="P299" s="64" t="s">
        <v>1151</v>
      </c>
      <c r="Q299" s="66" t="s">
        <v>459</v>
      </c>
      <c r="R299" s="66" t="s">
        <v>459</v>
      </c>
      <c r="S299" s="66">
        <v>192.0</v>
      </c>
      <c r="T299" s="66">
        <v>2112.0</v>
      </c>
      <c r="U299" s="66">
        <v>192.0</v>
      </c>
      <c r="V299" s="64">
        <v>2112.0</v>
      </c>
      <c r="W299" s="64">
        <v>2112.0</v>
      </c>
      <c r="X299" s="76" t="s">
        <v>460</v>
      </c>
      <c r="Y299" s="64" t="s">
        <v>461</v>
      </c>
      <c r="Z299" s="64" t="s">
        <v>462</v>
      </c>
      <c r="AA299" s="64" t="s">
        <v>463</v>
      </c>
      <c r="AB299" s="64" t="s">
        <v>464</v>
      </c>
      <c r="AC299" s="64" t="s">
        <v>451</v>
      </c>
      <c r="AD299" s="60" t="s">
        <v>475</v>
      </c>
      <c r="AE299" s="66" t="s">
        <v>476</v>
      </c>
      <c r="AF299" s="66" t="s">
        <v>476</v>
      </c>
      <c r="AG299" s="64" t="s">
        <v>467</v>
      </c>
      <c r="AH299" s="64" t="s">
        <v>467</v>
      </c>
      <c r="AI299" s="64">
        <v>650.0</v>
      </c>
      <c r="AJ299" s="66">
        <v>21.5</v>
      </c>
      <c r="AK299" s="67">
        <v>13975.0</v>
      </c>
      <c r="AL299" s="63"/>
      <c r="AM299" s="63"/>
      <c r="AN299" s="64">
        <v>21.5</v>
      </c>
      <c r="AO299" s="64" t="s">
        <v>468</v>
      </c>
      <c r="AP299" s="63"/>
      <c r="AQ299" s="63"/>
      <c r="AR299" s="63"/>
      <c r="AS299" s="63"/>
      <c r="AT299" s="63"/>
      <c r="AU299" s="63"/>
      <c r="AV299" s="63"/>
      <c r="AW299" s="58" t="s">
        <v>512</v>
      </c>
      <c r="AX299" s="69">
        <v>13975.0</v>
      </c>
      <c r="AY299" s="70"/>
      <c r="AZ299" s="70"/>
      <c r="BA299" s="70"/>
      <c r="BB299" s="70"/>
      <c r="BC299" s="58" t="s">
        <v>469</v>
      </c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  <c r="BQ299" s="58"/>
      <c r="BR299" s="58"/>
    </row>
    <row r="300">
      <c r="A300" s="59">
        <v>45823.0</v>
      </c>
      <c r="B300" s="60" t="s">
        <v>451</v>
      </c>
      <c r="C300" s="61">
        <v>45823.0</v>
      </c>
      <c r="D300" s="61">
        <v>45823.0</v>
      </c>
      <c r="E300" s="60" t="s">
        <v>452</v>
      </c>
      <c r="F300" s="102" t="s">
        <v>1152</v>
      </c>
      <c r="G300" s="77"/>
      <c r="H300" s="66" t="s">
        <v>472</v>
      </c>
      <c r="I300" s="66" t="s">
        <v>590</v>
      </c>
      <c r="J300" s="66" t="s">
        <v>456</v>
      </c>
      <c r="K300" s="66" t="s">
        <v>456</v>
      </c>
      <c r="L300" s="66">
        <v>22.0</v>
      </c>
      <c r="M300" s="66">
        <v>22.0</v>
      </c>
      <c r="N300" s="66" t="s">
        <v>457</v>
      </c>
      <c r="O300" s="66">
        <v>24.0</v>
      </c>
      <c r="P300" s="66" t="s">
        <v>1153</v>
      </c>
      <c r="Q300" s="64" t="s">
        <v>459</v>
      </c>
      <c r="R300" s="64" t="s">
        <v>459</v>
      </c>
      <c r="S300" s="64">
        <v>238.0</v>
      </c>
      <c r="T300" s="64">
        <v>2618.0</v>
      </c>
      <c r="U300" s="64">
        <v>238.0</v>
      </c>
      <c r="V300" s="66">
        <v>2618.0</v>
      </c>
      <c r="W300" s="66">
        <v>2618.0</v>
      </c>
      <c r="X300" s="79" t="s">
        <v>460</v>
      </c>
      <c r="Y300" s="66" t="s">
        <v>461</v>
      </c>
      <c r="Z300" s="66" t="s">
        <v>462</v>
      </c>
      <c r="AA300" s="66" t="s">
        <v>463</v>
      </c>
      <c r="AB300" s="66" t="s">
        <v>464</v>
      </c>
      <c r="AC300" s="66" t="s">
        <v>451</v>
      </c>
      <c r="AD300" s="64" t="s">
        <v>481</v>
      </c>
      <c r="AE300" s="66" t="s">
        <v>482</v>
      </c>
      <c r="AF300" s="66" t="s">
        <v>482</v>
      </c>
      <c r="AG300" s="64" t="s">
        <v>467</v>
      </c>
      <c r="AH300" s="64" t="s">
        <v>467</v>
      </c>
      <c r="AI300" s="64">
        <v>655.0</v>
      </c>
      <c r="AJ300" s="64">
        <v>21.5</v>
      </c>
      <c r="AK300" s="67">
        <v>14082.5</v>
      </c>
      <c r="AL300" s="63"/>
      <c r="AM300" s="63"/>
      <c r="AN300" s="64">
        <v>21.5</v>
      </c>
      <c r="AO300" s="64" t="s">
        <v>468</v>
      </c>
      <c r="AP300" s="63"/>
      <c r="AQ300" s="63"/>
      <c r="AR300" s="63"/>
      <c r="AS300" s="63"/>
      <c r="AT300" s="63"/>
      <c r="AU300" s="63"/>
      <c r="AV300" s="68"/>
      <c r="AW300" s="58" t="s">
        <v>512</v>
      </c>
      <c r="AX300" s="69">
        <v>14082.5</v>
      </c>
      <c r="AY300" s="70"/>
      <c r="AZ300" s="70"/>
      <c r="BA300" s="70"/>
      <c r="BB300" s="70"/>
      <c r="BC300" s="58" t="s">
        <v>469</v>
      </c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</row>
    <row r="301">
      <c r="A301" s="59">
        <v>45823.0</v>
      </c>
      <c r="B301" s="60" t="s">
        <v>451</v>
      </c>
      <c r="C301" s="61">
        <v>45823.0</v>
      </c>
      <c r="D301" s="61">
        <v>45823.0</v>
      </c>
      <c r="E301" s="60" t="s">
        <v>452</v>
      </c>
      <c r="F301" s="101" t="s">
        <v>1154</v>
      </c>
      <c r="G301" s="63"/>
      <c r="H301" s="64" t="s">
        <v>454</v>
      </c>
      <c r="I301" s="64" t="s">
        <v>455</v>
      </c>
      <c r="J301" s="64" t="s">
        <v>486</v>
      </c>
      <c r="K301" s="64" t="s">
        <v>486</v>
      </c>
      <c r="L301" s="64">
        <v>22.0</v>
      </c>
      <c r="M301" s="64">
        <v>22.0</v>
      </c>
      <c r="N301" s="64" t="s">
        <v>457</v>
      </c>
      <c r="O301" s="64">
        <v>24.0</v>
      </c>
      <c r="P301" s="64" t="s">
        <v>1155</v>
      </c>
      <c r="Q301" s="66" t="s">
        <v>459</v>
      </c>
      <c r="R301" s="66" t="s">
        <v>459</v>
      </c>
      <c r="S301" s="66">
        <v>69.0</v>
      </c>
      <c r="T301" s="66">
        <v>759.0</v>
      </c>
      <c r="U301" s="66">
        <v>69.0</v>
      </c>
      <c r="V301" s="64">
        <v>759.0</v>
      </c>
      <c r="W301" s="64">
        <v>759.0</v>
      </c>
      <c r="X301" s="76" t="s">
        <v>460</v>
      </c>
      <c r="Y301" s="64" t="s">
        <v>461</v>
      </c>
      <c r="Z301" s="64" t="s">
        <v>462</v>
      </c>
      <c r="AA301" s="64" t="s">
        <v>463</v>
      </c>
      <c r="AB301" s="64" t="s">
        <v>464</v>
      </c>
      <c r="AC301" s="64" t="s">
        <v>451</v>
      </c>
      <c r="AD301" s="64" t="s">
        <v>481</v>
      </c>
      <c r="AE301" s="66" t="s">
        <v>482</v>
      </c>
      <c r="AF301" s="66" t="s">
        <v>482</v>
      </c>
      <c r="AG301" s="64" t="s">
        <v>467</v>
      </c>
      <c r="AH301" s="64" t="s">
        <v>467</v>
      </c>
      <c r="AI301" s="64">
        <v>655.0</v>
      </c>
      <c r="AJ301" s="64">
        <v>23.5</v>
      </c>
      <c r="AK301" s="67">
        <v>15392.5</v>
      </c>
      <c r="AL301" s="63"/>
      <c r="AM301" s="63"/>
      <c r="AN301" s="64">
        <v>23.5</v>
      </c>
      <c r="AO301" s="64" t="s">
        <v>468</v>
      </c>
      <c r="AP301" s="63"/>
      <c r="AQ301" s="63"/>
      <c r="AR301" s="63"/>
      <c r="AS301" s="63"/>
      <c r="AT301" s="63"/>
      <c r="AU301" s="63"/>
      <c r="AV301" s="68"/>
      <c r="AW301" s="58" t="s">
        <v>512</v>
      </c>
      <c r="AX301" s="69">
        <v>15392.5</v>
      </c>
      <c r="AY301" s="70"/>
      <c r="AZ301" s="70"/>
      <c r="BA301" s="70"/>
      <c r="BB301" s="70"/>
      <c r="BC301" s="58" t="s">
        <v>469</v>
      </c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  <c r="BQ301" s="58"/>
      <c r="BR301" s="58"/>
    </row>
    <row r="302">
      <c r="A302" s="59">
        <v>45823.0</v>
      </c>
      <c r="B302" s="60" t="s">
        <v>451</v>
      </c>
      <c r="C302" s="61">
        <v>45823.0</v>
      </c>
      <c r="D302" s="61">
        <v>45823.0</v>
      </c>
      <c r="E302" s="60" t="s">
        <v>452</v>
      </c>
      <c r="F302" s="102" t="s">
        <v>1156</v>
      </c>
      <c r="G302" s="77"/>
      <c r="H302" s="66" t="s">
        <v>472</v>
      </c>
      <c r="I302" s="66" t="s">
        <v>479</v>
      </c>
      <c r="J302" s="66" t="s">
        <v>486</v>
      </c>
      <c r="K302" s="66" t="s">
        <v>486</v>
      </c>
      <c r="L302" s="66">
        <v>22.0</v>
      </c>
      <c r="M302" s="66">
        <v>22.0</v>
      </c>
      <c r="N302" s="66" t="s">
        <v>457</v>
      </c>
      <c r="O302" s="66">
        <v>24.0</v>
      </c>
      <c r="P302" s="66" t="s">
        <v>1157</v>
      </c>
      <c r="Q302" s="64" t="s">
        <v>459</v>
      </c>
      <c r="R302" s="64" t="s">
        <v>459</v>
      </c>
      <c r="S302" s="64">
        <v>196.0</v>
      </c>
      <c r="T302" s="64">
        <v>2156.0</v>
      </c>
      <c r="U302" s="64">
        <v>196.0</v>
      </c>
      <c r="V302" s="66">
        <v>2156.0</v>
      </c>
      <c r="W302" s="66">
        <v>2156.0</v>
      </c>
      <c r="X302" s="79" t="s">
        <v>460</v>
      </c>
      <c r="Y302" s="66" t="s">
        <v>461</v>
      </c>
      <c r="Z302" s="66" t="s">
        <v>462</v>
      </c>
      <c r="AA302" s="66" t="s">
        <v>463</v>
      </c>
      <c r="AB302" s="66" t="s">
        <v>464</v>
      </c>
      <c r="AC302" s="66" t="s">
        <v>451</v>
      </c>
      <c r="AD302" s="64" t="s">
        <v>488</v>
      </c>
      <c r="AE302" s="64" t="s">
        <v>489</v>
      </c>
      <c r="AF302" s="64" t="s">
        <v>489</v>
      </c>
      <c r="AG302" s="64" t="s">
        <v>467</v>
      </c>
      <c r="AH302" s="64" t="s">
        <v>467</v>
      </c>
      <c r="AI302" s="64">
        <v>760.0</v>
      </c>
      <c r="AJ302" s="64">
        <v>23.5</v>
      </c>
      <c r="AK302" s="67">
        <v>17860.0</v>
      </c>
      <c r="AL302" s="63"/>
      <c r="AM302" s="63"/>
      <c r="AN302" s="64">
        <v>23.5</v>
      </c>
      <c r="AO302" s="60" t="s">
        <v>468</v>
      </c>
      <c r="AP302" s="63"/>
      <c r="AQ302" s="63"/>
      <c r="AR302" s="63"/>
      <c r="AS302" s="63"/>
      <c r="AT302" s="63"/>
      <c r="AU302" s="63"/>
      <c r="AV302" s="63"/>
      <c r="AW302" s="58" t="s">
        <v>512</v>
      </c>
      <c r="AX302" s="69">
        <v>17860.0</v>
      </c>
      <c r="AY302" s="70"/>
      <c r="AZ302" s="70"/>
      <c r="BA302" s="70"/>
      <c r="BB302" s="70"/>
      <c r="BC302" s="58" t="s">
        <v>469</v>
      </c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8"/>
      <c r="BR302" s="58"/>
    </row>
    <row r="303">
      <c r="A303" s="59">
        <v>45823.0</v>
      </c>
      <c r="B303" s="60" t="s">
        <v>451</v>
      </c>
      <c r="C303" s="61">
        <v>45823.0</v>
      </c>
      <c r="D303" s="61">
        <v>45823.0</v>
      </c>
      <c r="E303" s="60" t="s">
        <v>452</v>
      </c>
      <c r="F303" s="101" t="s">
        <v>1158</v>
      </c>
      <c r="G303" s="63"/>
      <c r="H303" s="64" t="s">
        <v>492</v>
      </c>
      <c r="I303" s="64" t="s">
        <v>493</v>
      </c>
      <c r="J303" s="64" t="s">
        <v>456</v>
      </c>
      <c r="K303" s="64" t="s">
        <v>456</v>
      </c>
      <c r="L303" s="64">
        <v>28.0</v>
      </c>
      <c r="M303" s="64">
        <v>28.0</v>
      </c>
      <c r="N303" s="64" t="s">
        <v>457</v>
      </c>
      <c r="O303" s="64">
        <v>24.0</v>
      </c>
      <c r="P303" s="64" t="s">
        <v>1159</v>
      </c>
      <c r="Q303" s="66" t="s">
        <v>459</v>
      </c>
      <c r="R303" s="66" t="s">
        <v>459</v>
      </c>
      <c r="S303" s="66">
        <v>378.0</v>
      </c>
      <c r="T303" s="66">
        <v>4158.0</v>
      </c>
      <c r="U303" s="66">
        <v>378.0</v>
      </c>
      <c r="V303" s="64">
        <v>4158.0</v>
      </c>
      <c r="W303" s="64">
        <v>4158.0</v>
      </c>
      <c r="X303" s="76" t="s">
        <v>460</v>
      </c>
      <c r="Y303" s="64" t="s">
        <v>461</v>
      </c>
      <c r="Z303" s="64" t="s">
        <v>462</v>
      </c>
      <c r="AA303" s="64" t="s">
        <v>463</v>
      </c>
      <c r="AB303" s="64" t="s">
        <v>464</v>
      </c>
      <c r="AC303" s="64" t="s">
        <v>451</v>
      </c>
      <c r="AD303" s="64" t="s">
        <v>495</v>
      </c>
      <c r="AE303" s="64" t="s">
        <v>496</v>
      </c>
      <c r="AF303" s="64" t="s">
        <v>496</v>
      </c>
      <c r="AG303" s="64" t="s">
        <v>467</v>
      </c>
      <c r="AH303" s="64" t="s">
        <v>467</v>
      </c>
      <c r="AI303" s="64">
        <v>570.0</v>
      </c>
      <c r="AJ303" s="60">
        <v>23.5</v>
      </c>
      <c r="AK303" s="67">
        <v>13395.0</v>
      </c>
      <c r="AL303" s="63"/>
      <c r="AM303" s="63"/>
      <c r="AN303" s="64">
        <v>23.5</v>
      </c>
      <c r="AO303" s="64" t="s">
        <v>468</v>
      </c>
      <c r="AP303" s="63"/>
      <c r="AQ303" s="63"/>
      <c r="AR303" s="63"/>
      <c r="AS303" s="63"/>
      <c r="AT303" s="63"/>
      <c r="AU303" s="63"/>
      <c r="AV303" s="63"/>
      <c r="AW303" s="58" t="s">
        <v>512</v>
      </c>
      <c r="AX303" s="69">
        <v>13395.0</v>
      </c>
      <c r="AY303" s="70"/>
      <c r="AZ303" s="70"/>
      <c r="BA303" s="70"/>
      <c r="BB303" s="70"/>
      <c r="BC303" s="58" t="s">
        <v>469</v>
      </c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8"/>
      <c r="BR303" s="58"/>
    </row>
    <row r="304">
      <c r="A304" s="59">
        <v>45823.0</v>
      </c>
      <c r="B304" s="60" t="s">
        <v>451</v>
      </c>
      <c r="C304" s="61">
        <v>45823.0</v>
      </c>
      <c r="D304" s="61">
        <v>45823.0</v>
      </c>
      <c r="E304" s="60" t="s">
        <v>452</v>
      </c>
      <c r="F304" s="101" t="s">
        <v>1160</v>
      </c>
      <c r="G304" s="77"/>
      <c r="H304" s="66" t="s">
        <v>454</v>
      </c>
      <c r="I304" s="66" t="s">
        <v>586</v>
      </c>
      <c r="J304" s="66" t="s">
        <v>486</v>
      </c>
      <c r="K304" s="66" t="s">
        <v>486</v>
      </c>
      <c r="L304" s="66">
        <v>22.0</v>
      </c>
      <c r="M304" s="66">
        <v>22.0</v>
      </c>
      <c r="N304" s="66" t="s">
        <v>457</v>
      </c>
      <c r="O304" s="66">
        <v>24.0</v>
      </c>
      <c r="P304" s="66" t="s">
        <v>1161</v>
      </c>
      <c r="Q304" s="64" t="s">
        <v>459</v>
      </c>
      <c r="R304" s="64" t="s">
        <v>459</v>
      </c>
      <c r="S304" s="64">
        <v>236.0</v>
      </c>
      <c r="T304" s="64">
        <v>2596.0</v>
      </c>
      <c r="U304" s="64">
        <v>236.0</v>
      </c>
      <c r="V304" s="66">
        <v>2596.0</v>
      </c>
      <c r="W304" s="66">
        <v>2596.0</v>
      </c>
      <c r="X304" s="79" t="s">
        <v>460</v>
      </c>
      <c r="Y304" s="66" t="s">
        <v>461</v>
      </c>
      <c r="Z304" s="66" t="s">
        <v>462</v>
      </c>
      <c r="AA304" s="66" t="s">
        <v>463</v>
      </c>
      <c r="AB304" s="66" t="s">
        <v>464</v>
      </c>
      <c r="AC304" s="66" t="s">
        <v>451</v>
      </c>
      <c r="AD304" s="64" t="s">
        <v>495</v>
      </c>
      <c r="AE304" s="64" t="s">
        <v>496</v>
      </c>
      <c r="AF304" s="64" t="s">
        <v>496</v>
      </c>
      <c r="AG304" s="64" t="s">
        <v>467</v>
      </c>
      <c r="AH304" s="64" t="s">
        <v>467</v>
      </c>
      <c r="AI304" s="64">
        <v>570.0</v>
      </c>
      <c r="AJ304" s="60">
        <v>23.5</v>
      </c>
      <c r="AK304" s="67">
        <v>13395.0</v>
      </c>
      <c r="AL304" s="63"/>
      <c r="AM304" s="63"/>
      <c r="AN304" s="64">
        <v>23.5</v>
      </c>
      <c r="AO304" s="64" t="s">
        <v>468</v>
      </c>
      <c r="AP304" s="63"/>
      <c r="AQ304" s="63"/>
      <c r="AR304" s="63"/>
      <c r="AS304" s="63"/>
      <c r="AT304" s="63"/>
      <c r="AU304" s="63"/>
      <c r="AV304" s="63"/>
      <c r="AW304" s="58" t="s">
        <v>512</v>
      </c>
      <c r="AX304" s="69">
        <v>13395.0</v>
      </c>
      <c r="AY304" s="70"/>
      <c r="AZ304" s="70"/>
      <c r="BA304" s="70"/>
      <c r="BB304" s="70"/>
      <c r="BC304" s="58" t="s">
        <v>469</v>
      </c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8"/>
      <c r="BR304" s="58"/>
    </row>
    <row r="305">
      <c r="A305" s="59">
        <v>45823.0</v>
      </c>
      <c r="B305" s="60" t="s">
        <v>451</v>
      </c>
      <c r="C305" s="61">
        <v>45823.0</v>
      </c>
      <c r="D305" s="61">
        <v>45823.0</v>
      </c>
      <c r="E305" s="60" t="s">
        <v>452</v>
      </c>
      <c r="F305" s="102" t="s">
        <v>1162</v>
      </c>
      <c r="G305" s="63"/>
      <c r="H305" s="64" t="s">
        <v>504</v>
      </c>
      <c r="I305" s="64" t="s">
        <v>1163</v>
      </c>
      <c r="J305" s="64" t="s">
        <v>486</v>
      </c>
      <c r="K305" s="64" t="s">
        <v>486</v>
      </c>
      <c r="L305" s="64">
        <v>22.0</v>
      </c>
      <c r="M305" s="64">
        <v>22.0</v>
      </c>
      <c r="N305" s="64" t="s">
        <v>457</v>
      </c>
      <c r="O305" s="64">
        <v>24.0</v>
      </c>
      <c r="P305" s="64" t="s">
        <v>1164</v>
      </c>
      <c r="Q305" s="66" t="s">
        <v>459</v>
      </c>
      <c r="R305" s="66" t="s">
        <v>459</v>
      </c>
      <c r="S305" s="66">
        <v>230.0</v>
      </c>
      <c r="T305" s="66">
        <v>2530.0</v>
      </c>
      <c r="U305" s="66">
        <v>230.0</v>
      </c>
      <c r="V305" s="64">
        <v>2530.0</v>
      </c>
      <c r="W305" s="64">
        <v>2530.0</v>
      </c>
      <c r="X305" s="76" t="s">
        <v>460</v>
      </c>
      <c r="Y305" s="64" t="s">
        <v>461</v>
      </c>
      <c r="Z305" s="64" t="s">
        <v>462</v>
      </c>
      <c r="AA305" s="64" t="s">
        <v>463</v>
      </c>
      <c r="AB305" s="64" t="s">
        <v>464</v>
      </c>
      <c r="AC305" s="64" t="s">
        <v>451</v>
      </c>
      <c r="AD305" s="64" t="s">
        <v>501</v>
      </c>
      <c r="AE305" s="64" t="s">
        <v>470</v>
      </c>
      <c r="AF305" s="64" t="s">
        <v>470</v>
      </c>
      <c r="AG305" s="64" t="s">
        <v>467</v>
      </c>
      <c r="AH305" s="64" t="s">
        <v>467</v>
      </c>
      <c r="AI305" s="64">
        <v>380.0</v>
      </c>
      <c r="AJ305" s="64">
        <v>23.5</v>
      </c>
      <c r="AK305" s="67">
        <v>8930.0</v>
      </c>
      <c r="AL305" s="63"/>
      <c r="AM305" s="63"/>
      <c r="AN305" s="64">
        <v>23.5</v>
      </c>
      <c r="AO305" s="64" t="s">
        <v>468</v>
      </c>
      <c r="AP305" s="63"/>
      <c r="AQ305" s="63"/>
      <c r="AR305" s="63"/>
      <c r="AS305" s="63"/>
      <c r="AT305" s="63"/>
      <c r="AU305" s="63"/>
      <c r="AV305" s="68"/>
      <c r="AW305" s="58" t="s">
        <v>512</v>
      </c>
      <c r="AX305" s="69">
        <v>8930.0</v>
      </c>
      <c r="AY305" s="70"/>
      <c r="AZ305" s="70"/>
      <c r="BA305" s="70"/>
      <c r="BB305" s="70"/>
      <c r="BC305" s="58" t="s">
        <v>469</v>
      </c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  <c r="BQ305" s="58"/>
      <c r="BR305" s="58"/>
    </row>
    <row r="306">
      <c r="A306" s="59">
        <v>45823.0</v>
      </c>
      <c r="B306" s="60" t="s">
        <v>451</v>
      </c>
      <c r="C306" s="61">
        <v>45823.0</v>
      </c>
      <c r="D306" s="61">
        <v>45823.0</v>
      </c>
      <c r="E306" s="60" t="s">
        <v>452</v>
      </c>
      <c r="F306" s="101" t="s">
        <v>1165</v>
      </c>
      <c r="G306" s="77"/>
      <c r="H306" s="66" t="s">
        <v>771</v>
      </c>
      <c r="I306" s="66" t="s">
        <v>1166</v>
      </c>
      <c r="J306" s="66" t="s">
        <v>486</v>
      </c>
      <c r="K306" s="66" t="s">
        <v>486</v>
      </c>
      <c r="L306" s="66">
        <v>22.0</v>
      </c>
      <c r="M306" s="66">
        <v>22.0</v>
      </c>
      <c r="N306" s="66" t="s">
        <v>457</v>
      </c>
      <c r="O306" s="66">
        <v>24.0</v>
      </c>
      <c r="P306" s="66" t="s">
        <v>1167</v>
      </c>
      <c r="Q306" s="64" t="s">
        <v>459</v>
      </c>
      <c r="R306" s="64" t="s">
        <v>459</v>
      </c>
      <c r="S306" s="64">
        <v>103.0</v>
      </c>
      <c r="T306" s="64">
        <v>1133.0</v>
      </c>
      <c r="U306" s="64">
        <v>103.0</v>
      </c>
      <c r="V306" s="66">
        <v>1133.0</v>
      </c>
      <c r="W306" s="66">
        <v>1133.0</v>
      </c>
      <c r="X306" s="79" t="s">
        <v>460</v>
      </c>
      <c r="Y306" s="66" t="s">
        <v>461</v>
      </c>
      <c r="Z306" s="66" t="s">
        <v>462</v>
      </c>
      <c r="AA306" s="66" t="s">
        <v>463</v>
      </c>
      <c r="AB306" s="66" t="s">
        <v>464</v>
      </c>
      <c r="AC306" s="66" t="s">
        <v>451</v>
      </c>
      <c r="AD306" s="64" t="s">
        <v>501</v>
      </c>
      <c r="AE306" s="64" t="s">
        <v>470</v>
      </c>
      <c r="AF306" s="64" t="s">
        <v>470</v>
      </c>
      <c r="AG306" s="64" t="s">
        <v>467</v>
      </c>
      <c r="AH306" s="64" t="s">
        <v>467</v>
      </c>
      <c r="AI306" s="64">
        <v>380.0</v>
      </c>
      <c r="AJ306" s="64">
        <v>23.5</v>
      </c>
      <c r="AK306" s="67">
        <v>8930.0</v>
      </c>
      <c r="AL306" s="63"/>
      <c r="AM306" s="63"/>
      <c r="AN306" s="64">
        <v>23.5</v>
      </c>
      <c r="AO306" s="64" t="s">
        <v>468</v>
      </c>
      <c r="AP306" s="63"/>
      <c r="AQ306" s="63"/>
      <c r="AR306" s="63"/>
      <c r="AS306" s="63"/>
      <c r="AT306" s="63"/>
      <c r="AU306" s="63"/>
      <c r="AV306" s="68"/>
      <c r="AW306" s="58" t="s">
        <v>512</v>
      </c>
      <c r="AX306" s="69">
        <v>8930.0</v>
      </c>
      <c r="AY306" s="70"/>
      <c r="AZ306" s="70"/>
      <c r="BA306" s="70"/>
      <c r="BB306" s="70"/>
      <c r="BC306" s="58" t="s">
        <v>469</v>
      </c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8"/>
      <c r="BR306" s="58"/>
    </row>
    <row r="307">
      <c r="A307" s="59">
        <v>45823.0</v>
      </c>
      <c r="B307" s="60" t="s">
        <v>451</v>
      </c>
      <c r="C307" s="61">
        <v>45823.0</v>
      </c>
      <c r="D307" s="61">
        <v>45823.0</v>
      </c>
      <c r="E307" s="60" t="s">
        <v>452</v>
      </c>
      <c r="F307" s="101" t="s">
        <v>1168</v>
      </c>
      <c r="G307" s="63"/>
      <c r="H307" s="64" t="s">
        <v>504</v>
      </c>
      <c r="I307" s="64" t="s">
        <v>505</v>
      </c>
      <c r="J307" s="64" t="s">
        <v>456</v>
      </c>
      <c r="K307" s="64" t="s">
        <v>456</v>
      </c>
      <c r="L307" s="64">
        <v>22.0</v>
      </c>
      <c r="M307" s="64">
        <v>22.0</v>
      </c>
      <c r="N307" s="64" t="s">
        <v>457</v>
      </c>
      <c r="O307" s="64">
        <v>24.0</v>
      </c>
      <c r="P307" s="64" t="s">
        <v>1169</v>
      </c>
      <c r="Q307" s="66" t="s">
        <v>459</v>
      </c>
      <c r="R307" s="66" t="s">
        <v>459</v>
      </c>
      <c r="S307" s="66">
        <v>191.0</v>
      </c>
      <c r="T307" s="66">
        <v>2101.0</v>
      </c>
      <c r="U307" s="66">
        <v>191.0</v>
      </c>
      <c r="V307" s="64">
        <v>2101.0</v>
      </c>
      <c r="W307" s="64">
        <v>2101.0</v>
      </c>
      <c r="X307" s="76" t="s">
        <v>460</v>
      </c>
      <c r="Y307" s="64" t="s">
        <v>461</v>
      </c>
      <c r="Z307" s="64" t="s">
        <v>462</v>
      </c>
      <c r="AA307" s="64" t="s">
        <v>463</v>
      </c>
      <c r="AB307" s="64" t="s">
        <v>464</v>
      </c>
      <c r="AC307" s="64" t="s">
        <v>451</v>
      </c>
      <c r="AD307" s="66" t="s">
        <v>507</v>
      </c>
      <c r="AE307" s="64" t="s">
        <v>508</v>
      </c>
      <c r="AF307" s="66" t="s">
        <v>509</v>
      </c>
      <c r="AG307" s="66" t="s">
        <v>467</v>
      </c>
      <c r="AH307" s="66" t="s">
        <v>467</v>
      </c>
      <c r="AI307" s="66">
        <v>790.0</v>
      </c>
      <c r="AJ307" s="66">
        <v>21.5</v>
      </c>
      <c r="AK307" s="84">
        <v>16985.0</v>
      </c>
      <c r="AL307" s="77"/>
      <c r="AM307" s="77"/>
      <c r="AN307" s="66">
        <v>21.5</v>
      </c>
      <c r="AO307" s="64" t="s">
        <v>468</v>
      </c>
      <c r="AP307" s="63"/>
      <c r="AQ307" s="63"/>
      <c r="AR307" s="63"/>
      <c r="AS307" s="73">
        <v>0.5</v>
      </c>
      <c r="AT307" s="64">
        <v>8492.5</v>
      </c>
      <c r="AU307" s="60" t="s">
        <v>510</v>
      </c>
      <c r="AV307" s="74" t="s">
        <v>511</v>
      </c>
      <c r="AW307" s="58" t="s">
        <v>512</v>
      </c>
      <c r="AX307" s="69">
        <v>8492.5</v>
      </c>
      <c r="AY307" s="70"/>
      <c r="AZ307" s="70"/>
      <c r="BA307" s="69">
        <v>8492.5</v>
      </c>
      <c r="BB307" s="70"/>
      <c r="BC307" s="58" t="s">
        <v>469</v>
      </c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8"/>
      <c r="BR307" s="58"/>
    </row>
    <row r="308">
      <c r="A308" s="59">
        <v>45823.0</v>
      </c>
      <c r="B308" s="60" t="s">
        <v>451</v>
      </c>
      <c r="C308" s="61">
        <v>45823.0</v>
      </c>
      <c r="D308" s="61">
        <v>45823.0</v>
      </c>
      <c r="E308" s="60" t="s">
        <v>452</v>
      </c>
      <c r="F308" s="102" t="s">
        <v>1170</v>
      </c>
      <c r="G308" s="77"/>
      <c r="H308" s="66" t="s">
        <v>771</v>
      </c>
      <c r="I308" s="66" t="s">
        <v>1171</v>
      </c>
      <c r="J308" s="66" t="s">
        <v>486</v>
      </c>
      <c r="K308" s="66" t="s">
        <v>486</v>
      </c>
      <c r="L308" s="66">
        <v>22.0</v>
      </c>
      <c r="M308" s="66">
        <v>22.0</v>
      </c>
      <c r="N308" s="66" t="s">
        <v>457</v>
      </c>
      <c r="O308" s="66">
        <v>24.0</v>
      </c>
      <c r="P308" s="66" t="s">
        <v>1172</v>
      </c>
      <c r="Q308" s="64" t="s">
        <v>459</v>
      </c>
      <c r="R308" s="64" t="s">
        <v>459</v>
      </c>
      <c r="S308" s="64">
        <v>82.0</v>
      </c>
      <c r="T308" s="64">
        <v>902.0</v>
      </c>
      <c r="U308" s="64">
        <v>82.0</v>
      </c>
      <c r="V308" s="66">
        <v>902.0</v>
      </c>
      <c r="W308" s="66">
        <v>902.0</v>
      </c>
      <c r="X308" s="79" t="s">
        <v>460</v>
      </c>
      <c r="Y308" s="66" t="s">
        <v>461</v>
      </c>
      <c r="Z308" s="66" t="s">
        <v>462</v>
      </c>
      <c r="AA308" s="66" t="s">
        <v>463</v>
      </c>
      <c r="AB308" s="66" t="s">
        <v>464</v>
      </c>
      <c r="AC308" s="66" t="s">
        <v>451</v>
      </c>
      <c r="AD308" s="66" t="s">
        <v>507</v>
      </c>
      <c r="AE308" s="64" t="s">
        <v>508</v>
      </c>
      <c r="AF308" s="64" t="s">
        <v>509</v>
      </c>
      <c r="AG308" s="64" t="s">
        <v>467</v>
      </c>
      <c r="AH308" s="64" t="s">
        <v>467</v>
      </c>
      <c r="AI308" s="64">
        <v>790.0</v>
      </c>
      <c r="AJ308" s="64">
        <v>23.5</v>
      </c>
      <c r="AK308" s="67">
        <v>18565.0</v>
      </c>
      <c r="AL308" s="63"/>
      <c r="AM308" s="63"/>
      <c r="AN308" s="64">
        <v>23.5</v>
      </c>
      <c r="AO308" s="64" t="s">
        <v>468</v>
      </c>
      <c r="AP308" s="63"/>
      <c r="AQ308" s="63"/>
      <c r="AR308" s="63"/>
      <c r="AS308" s="73">
        <v>0.5</v>
      </c>
      <c r="AT308" s="64">
        <v>9282.5</v>
      </c>
      <c r="AU308" s="60" t="s">
        <v>510</v>
      </c>
      <c r="AV308" s="74" t="s">
        <v>511</v>
      </c>
      <c r="AW308" s="58" t="s">
        <v>512</v>
      </c>
      <c r="AX308" s="69">
        <v>9282.5</v>
      </c>
      <c r="AY308" s="70"/>
      <c r="AZ308" s="70"/>
      <c r="BA308" s="69">
        <v>9282.5</v>
      </c>
      <c r="BB308" s="70"/>
      <c r="BC308" s="58" t="s">
        <v>469</v>
      </c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8"/>
      <c r="BR308" s="58"/>
    </row>
    <row r="309">
      <c r="A309" s="59">
        <v>45823.0</v>
      </c>
      <c r="B309" s="60" t="s">
        <v>451</v>
      </c>
      <c r="C309" s="61">
        <v>45823.0</v>
      </c>
      <c r="D309" s="61">
        <v>45823.0</v>
      </c>
      <c r="E309" s="60" t="s">
        <v>452</v>
      </c>
      <c r="F309" s="101" t="s">
        <v>1173</v>
      </c>
      <c r="G309" s="63"/>
      <c r="H309" s="64" t="s">
        <v>504</v>
      </c>
      <c r="I309" s="64" t="s">
        <v>515</v>
      </c>
      <c r="J309" s="64" t="s">
        <v>456</v>
      </c>
      <c r="K309" s="64" t="s">
        <v>456</v>
      </c>
      <c r="L309" s="64">
        <v>22.0</v>
      </c>
      <c r="M309" s="64">
        <v>22.0</v>
      </c>
      <c r="N309" s="64" t="s">
        <v>457</v>
      </c>
      <c r="O309" s="64">
        <v>24.0</v>
      </c>
      <c r="P309" s="64" t="s">
        <v>1174</v>
      </c>
      <c r="Q309" s="66" t="s">
        <v>459</v>
      </c>
      <c r="R309" s="66" t="s">
        <v>459</v>
      </c>
      <c r="S309" s="66">
        <v>201.0</v>
      </c>
      <c r="T309" s="66">
        <v>2211.0</v>
      </c>
      <c r="U309" s="66">
        <v>201.0</v>
      </c>
      <c r="V309" s="64">
        <v>2211.0</v>
      </c>
      <c r="W309" s="64">
        <v>2211.0</v>
      </c>
      <c r="X309" s="76" t="s">
        <v>460</v>
      </c>
      <c r="Y309" s="64" t="s">
        <v>461</v>
      </c>
      <c r="Z309" s="64" t="s">
        <v>462</v>
      </c>
      <c r="AA309" s="64" t="s">
        <v>463</v>
      </c>
      <c r="AB309" s="64" t="s">
        <v>464</v>
      </c>
      <c r="AC309" s="64" t="s">
        <v>451</v>
      </c>
      <c r="AD309" s="64" t="s">
        <v>517</v>
      </c>
      <c r="AE309" s="64" t="s">
        <v>518</v>
      </c>
      <c r="AF309" s="64" t="s">
        <v>518</v>
      </c>
      <c r="AG309" s="64" t="s">
        <v>467</v>
      </c>
      <c r="AH309" s="64" t="s">
        <v>467</v>
      </c>
      <c r="AI309" s="64">
        <v>815.0</v>
      </c>
      <c r="AJ309" s="64">
        <v>21.5</v>
      </c>
      <c r="AK309" s="67">
        <v>17522.5</v>
      </c>
      <c r="AL309" s="63"/>
      <c r="AM309" s="63"/>
      <c r="AN309" s="64">
        <v>21.5</v>
      </c>
      <c r="AO309" s="64" t="s">
        <v>468</v>
      </c>
      <c r="AP309" s="63"/>
      <c r="AQ309" s="63"/>
      <c r="AR309" s="63"/>
      <c r="AS309" s="63"/>
      <c r="AT309" s="63"/>
      <c r="AU309" s="63"/>
      <c r="AV309" s="68"/>
      <c r="AW309" s="58" t="s">
        <v>512</v>
      </c>
      <c r="AX309" s="69">
        <v>17522.5</v>
      </c>
      <c r="AY309" s="70"/>
      <c r="AZ309" s="70"/>
      <c r="BA309" s="70"/>
      <c r="BB309" s="70"/>
      <c r="BC309" s="58" t="s">
        <v>469</v>
      </c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</row>
    <row r="310">
      <c r="A310" s="59">
        <v>45823.0</v>
      </c>
      <c r="B310" s="60" t="s">
        <v>451</v>
      </c>
      <c r="C310" s="61">
        <v>45823.0</v>
      </c>
      <c r="D310" s="61">
        <v>45823.0</v>
      </c>
      <c r="E310" s="60" t="s">
        <v>452</v>
      </c>
      <c r="F310" s="102" t="s">
        <v>1175</v>
      </c>
      <c r="G310" s="77"/>
      <c r="H310" s="66" t="s">
        <v>521</v>
      </c>
      <c r="I310" s="66" t="s">
        <v>555</v>
      </c>
      <c r="J310" s="66" t="s">
        <v>456</v>
      </c>
      <c r="K310" s="66" t="s">
        <v>456</v>
      </c>
      <c r="L310" s="66">
        <v>22.0</v>
      </c>
      <c r="M310" s="66">
        <v>22.0</v>
      </c>
      <c r="N310" s="66" t="s">
        <v>457</v>
      </c>
      <c r="O310" s="66">
        <v>24.0</v>
      </c>
      <c r="P310" s="66" t="s">
        <v>1176</v>
      </c>
      <c r="Q310" s="64" t="s">
        <v>459</v>
      </c>
      <c r="R310" s="64" t="s">
        <v>459</v>
      </c>
      <c r="S310" s="64">
        <v>231.0</v>
      </c>
      <c r="T310" s="64">
        <v>2541.0</v>
      </c>
      <c r="U310" s="64">
        <v>231.0</v>
      </c>
      <c r="V310" s="66">
        <v>2541.0</v>
      </c>
      <c r="W310" s="66">
        <v>2541.0</v>
      </c>
      <c r="X310" s="79" t="s">
        <v>460</v>
      </c>
      <c r="Y310" s="66" t="s">
        <v>461</v>
      </c>
      <c r="Z310" s="66" t="s">
        <v>462</v>
      </c>
      <c r="AA310" s="66" t="s">
        <v>463</v>
      </c>
      <c r="AB310" s="66" t="s">
        <v>464</v>
      </c>
      <c r="AC310" s="66" t="s">
        <v>451</v>
      </c>
      <c r="AD310" s="66" t="s">
        <v>524</v>
      </c>
      <c r="AE310" s="66" t="s">
        <v>483</v>
      </c>
      <c r="AF310" s="66" t="s">
        <v>483</v>
      </c>
      <c r="AG310" s="66" t="s">
        <v>467</v>
      </c>
      <c r="AH310" s="66" t="s">
        <v>467</v>
      </c>
      <c r="AI310" s="66">
        <v>600.0</v>
      </c>
      <c r="AJ310" s="66">
        <v>21.5</v>
      </c>
      <c r="AK310" s="84">
        <v>12900.0</v>
      </c>
      <c r="AL310" s="77"/>
      <c r="AM310" s="77"/>
      <c r="AN310" s="66">
        <v>21.5</v>
      </c>
      <c r="AO310" s="64" t="s">
        <v>468</v>
      </c>
      <c r="AP310" s="63"/>
      <c r="AQ310" s="63"/>
      <c r="AR310" s="63"/>
      <c r="AS310" s="63"/>
      <c r="AT310" s="63"/>
      <c r="AU310" s="63"/>
      <c r="AV310" s="68"/>
      <c r="AW310" s="58" t="s">
        <v>512</v>
      </c>
      <c r="AX310" s="69">
        <v>12900.0</v>
      </c>
      <c r="AY310" s="70"/>
      <c r="AZ310" s="70"/>
      <c r="BA310" s="70"/>
      <c r="BB310" s="70"/>
      <c r="BC310" s="58" t="s">
        <v>469</v>
      </c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</row>
    <row r="311">
      <c r="A311" s="59">
        <v>45823.0</v>
      </c>
      <c r="B311" s="60" t="s">
        <v>451</v>
      </c>
      <c r="C311" s="61">
        <v>45823.0</v>
      </c>
      <c r="D311" s="61">
        <v>45823.0</v>
      </c>
      <c r="E311" s="60" t="s">
        <v>452</v>
      </c>
      <c r="F311" s="101" t="s">
        <v>1177</v>
      </c>
      <c r="G311" s="63"/>
      <c r="H311" s="64" t="s">
        <v>492</v>
      </c>
      <c r="I311" s="64" t="s">
        <v>527</v>
      </c>
      <c r="J311" s="64" t="s">
        <v>456</v>
      </c>
      <c r="K311" s="64" t="s">
        <v>456</v>
      </c>
      <c r="L311" s="64">
        <v>22.0</v>
      </c>
      <c r="M311" s="64">
        <v>22.0</v>
      </c>
      <c r="N311" s="64" t="s">
        <v>457</v>
      </c>
      <c r="O311" s="64">
        <v>24.0</v>
      </c>
      <c r="P311" s="64" t="s">
        <v>1178</v>
      </c>
      <c r="Q311" s="66" t="s">
        <v>459</v>
      </c>
      <c r="R311" s="66" t="s">
        <v>459</v>
      </c>
      <c r="S311" s="66">
        <v>177.0</v>
      </c>
      <c r="T311" s="66">
        <v>1947.0</v>
      </c>
      <c r="U311" s="66">
        <v>177.0</v>
      </c>
      <c r="V311" s="64">
        <v>1947.0</v>
      </c>
      <c r="W311" s="64">
        <v>1947.0</v>
      </c>
      <c r="X311" s="76" t="s">
        <v>460</v>
      </c>
      <c r="Y311" s="64" t="s">
        <v>461</v>
      </c>
      <c r="Z311" s="64" t="s">
        <v>462</v>
      </c>
      <c r="AA311" s="64" t="s">
        <v>463</v>
      </c>
      <c r="AB311" s="64" t="s">
        <v>464</v>
      </c>
      <c r="AC311" s="64" t="s">
        <v>451</v>
      </c>
      <c r="AD311" s="60" t="s">
        <v>529</v>
      </c>
      <c r="AE311" s="64" t="s">
        <v>530</v>
      </c>
      <c r="AF311" s="64" t="s">
        <v>530</v>
      </c>
      <c r="AG311" s="64" t="s">
        <v>467</v>
      </c>
      <c r="AH311" s="64" t="s">
        <v>467</v>
      </c>
      <c r="AI311" s="64">
        <v>510.0</v>
      </c>
      <c r="AJ311" s="64">
        <v>21.5</v>
      </c>
      <c r="AK311" s="67">
        <v>10965.0</v>
      </c>
      <c r="AL311" s="63"/>
      <c r="AM311" s="63"/>
      <c r="AN311" s="64">
        <v>21.5</v>
      </c>
      <c r="AO311" s="64" t="s">
        <v>468</v>
      </c>
      <c r="AP311" s="63"/>
      <c r="AQ311" s="63"/>
      <c r="AR311" s="63"/>
      <c r="AS311" s="63"/>
      <c r="AT311" s="63"/>
      <c r="AU311" s="63"/>
      <c r="AV311" s="68"/>
      <c r="AW311" s="58" t="s">
        <v>512</v>
      </c>
      <c r="AX311" s="69">
        <v>10965.0</v>
      </c>
      <c r="AY311" s="70"/>
      <c r="AZ311" s="70"/>
      <c r="BA311" s="70"/>
      <c r="BB311" s="70"/>
      <c r="BC311" s="58" t="s">
        <v>469</v>
      </c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</row>
    <row r="312">
      <c r="A312" s="59">
        <v>45823.0</v>
      </c>
      <c r="B312" s="60" t="s">
        <v>451</v>
      </c>
      <c r="C312" s="61">
        <v>45823.0</v>
      </c>
      <c r="D312" s="61">
        <v>45823.0</v>
      </c>
      <c r="E312" s="60" t="s">
        <v>452</v>
      </c>
      <c r="F312" s="103" t="s">
        <v>1179</v>
      </c>
      <c r="G312" s="77"/>
      <c r="H312" s="66" t="s">
        <v>492</v>
      </c>
      <c r="I312" s="66" t="s">
        <v>533</v>
      </c>
      <c r="J312" s="66" t="s">
        <v>486</v>
      </c>
      <c r="K312" s="66" t="s">
        <v>486</v>
      </c>
      <c r="L312" s="66">
        <v>22.0</v>
      </c>
      <c r="M312" s="66">
        <v>22.0</v>
      </c>
      <c r="N312" s="66" t="s">
        <v>457</v>
      </c>
      <c r="O312" s="66">
        <v>24.0</v>
      </c>
      <c r="P312" s="66" t="s">
        <v>1180</v>
      </c>
      <c r="Q312" s="64" t="s">
        <v>459</v>
      </c>
      <c r="R312" s="64" t="s">
        <v>459</v>
      </c>
      <c r="S312" s="64">
        <v>124.0</v>
      </c>
      <c r="T312" s="64">
        <v>1364.0</v>
      </c>
      <c r="U312" s="64">
        <v>124.0</v>
      </c>
      <c r="V312" s="66">
        <v>1364.0</v>
      </c>
      <c r="W312" s="66">
        <v>1364.0</v>
      </c>
      <c r="X312" s="79" t="s">
        <v>460</v>
      </c>
      <c r="Y312" s="66" t="s">
        <v>461</v>
      </c>
      <c r="Z312" s="66" t="s">
        <v>462</v>
      </c>
      <c r="AA312" s="66" t="s">
        <v>463</v>
      </c>
      <c r="AB312" s="66" t="s">
        <v>464</v>
      </c>
      <c r="AC312" s="66" t="s">
        <v>451</v>
      </c>
      <c r="AD312" s="60" t="s">
        <v>529</v>
      </c>
      <c r="AE312" s="64" t="s">
        <v>535</v>
      </c>
      <c r="AF312" s="66" t="s">
        <v>535</v>
      </c>
      <c r="AG312" s="66" t="s">
        <v>467</v>
      </c>
      <c r="AH312" s="66" t="s">
        <v>467</v>
      </c>
      <c r="AI312" s="66">
        <v>510.0</v>
      </c>
      <c r="AJ312" s="66">
        <v>23.5</v>
      </c>
      <c r="AK312" s="84">
        <v>11985.0</v>
      </c>
      <c r="AL312" s="77"/>
      <c r="AM312" s="77"/>
      <c r="AN312" s="66">
        <v>23.5</v>
      </c>
      <c r="AO312" s="64" t="s">
        <v>468</v>
      </c>
      <c r="AP312" s="63"/>
      <c r="AQ312" s="63"/>
      <c r="AR312" s="63"/>
      <c r="AS312" s="63"/>
      <c r="AT312" s="63"/>
      <c r="AU312" s="63"/>
      <c r="AV312" s="68"/>
      <c r="AW312" s="58" t="s">
        <v>512</v>
      </c>
      <c r="AX312" s="69">
        <v>11985.0</v>
      </c>
      <c r="AY312" s="70"/>
      <c r="AZ312" s="70"/>
      <c r="BA312" s="70"/>
      <c r="BB312" s="70"/>
      <c r="BC312" s="58" t="s">
        <v>469</v>
      </c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</row>
    <row r="313">
      <c r="A313" s="59">
        <v>45823.0</v>
      </c>
      <c r="B313" s="60" t="s">
        <v>451</v>
      </c>
      <c r="C313" s="61">
        <v>45823.0</v>
      </c>
      <c r="D313" s="61">
        <v>45823.0</v>
      </c>
      <c r="E313" s="60" t="s">
        <v>452</v>
      </c>
      <c r="F313" s="101" t="s">
        <v>1181</v>
      </c>
      <c r="G313" s="63"/>
      <c r="H313" s="64" t="s">
        <v>538</v>
      </c>
      <c r="I313" s="64" t="s">
        <v>539</v>
      </c>
      <c r="J313" s="64" t="s">
        <v>456</v>
      </c>
      <c r="K313" s="64" t="s">
        <v>456</v>
      </c>
      <c r="L313" s="64">
        <v>32.0</v>
      </c>
      <c r="M313" s="64">
        <v>32.0</v>
      </c>
      <c r="N313" s="64" t="s">
        <v>540</v>
      </c>
      <c r="O313" s="64">
        <v>24.0</v>
      </c>
      <c r="P313" s="64" t="s">
        <v>1182</v>
      </c>
      <c r="Q313" s="66" t="s">
        <v>459</v>
      </c>
      <c r="R313" s="66" t="s">
        <v>459</v>
      </c>
      <c r="S313" s="66">
        <v>208.0</v>
      </c>
      <c r="T313" s="66">
        <v>2288.0</v>
      </c>
      <c r="U313" s="66">
        <v>208.0</v>
      </c>
      <c r="V313" s="64">
        <v>2288.0</v>
      </c>
      <c r="W313" s="64">
        <v>2288.0</v>
      </c>
      <c r="X313" s="76" t="s">
        <v>460</v>
      </c>
      <c r="Y313" s="64" t="s">
        <v>461</v>
      </c>
      <c r="Z313" s="64" t="s">
        <v>462</v>
      </c>
      <c r="AA313" s="64" t="s">
        <v>463</v>
      </c>
      <c r="AB313" s="64" t="s">
        <v>464</v>
      </c>
      <c r="AC313" s="64" t="s">
        <v>451</v>
      </c>
      <c r="AD313" s="64" t="s">
        <v>541</v>
      </c>
      <c r="AE313" s="64" t="s">
        <v>490</v>
      </c>
      <c r="AF313" s="64" t="s">
        <v>490</v>
      </c>
      <c r="AG313" s="64" t="s">
        <v>467</v>
      </c>
      <c r="AH313" s="64" t="s">
        <v>467</v>
      </c>
      <c r="AI313" s="64">
        <v>325.0</v>
      </c>
      <c r="AJ313" s="64">
        <v>28.4</v>
      </c>
      <c r="AK313" s="67">
        <v>9213.75</v>
      </c>
      <c r="AL313" s="63"/>
      <c r="AM313" s="63"/>
      <c r="AN313" s="64">
        <v>28.35</v>
      </c>
      <c r="AO313" s="64" t="s">
        <v>468</v>
      </c>
      <c r="AP313" s="63"/>
      <c r="AQ313" s="63"/>
      <c r="AR313" s="63"/>
      <c r="AS313" s="63"/>
      <c r="AT313" s="63"/>
      <c r="AU313" s="63"/>
      <c r="AV313" s="68"/>
      <c r="AW313" s="58" t="s">
        <v>512</v>
      </c>
      <c r="AX313" s="69">
        <v>9213.75</v>
      </c>
      <c r="AY313" s="70"/>
      <c r="AZ313" s="70"/>
      <c r="BA313" s="70"/>
      <c r="BB313" s="70"/>
      <c r="BC313" s="58" t="s">
        <v>469</v>
      </c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</row>
    <row r="314">
      <c r="A314" s="59">
        <v>45823.0</v>
      </c>
      <c r="B314" s="60" t="s">
        <v>451</v>
      </c>
      <c r="C314" s="61">
        <v>45823.0</v>
      </c>
      <c r="D314" s="61">
        <v>45823.0</v>
      </c>
      <c r="E314" s="60" t="s">
        <v>452</v>
      </c>
      <c r="F314" s="102" t="s">
        <v>1183</v>
      </c>
      <c r="G314" s="77"/>
      <c r="H314" s="66" t="s">
        <v>521</v>
      </c>
      <c r="I314" s="66" t="s">
        <v>769</v>
      </c>
      <c r="J314" s="66" t="s">
        <v>456</v>
      </c>
      <c r="K314" s="66" t="s">
        <v>456</v>
      </c>
      <c r="L314" s="66">
        <v>22.0</v>
      </c>
      <c r="M314" s="66">
        <v>22.0</v>
      </c>
      <c r="N314" s="66" t="s">
        <v>457</v>
      </c>
      <c r="O314" s="66">
        <v>24.0</v>
      </c>
      <c r="P314" s="66" t="s">
        <v>1184</v>
      </c>
      <c r="Q314" s="64" t="s">
        <v>459</v>
      </c>
      <c r="R314" s="64" t="s">
        <v>459</v>
      </c>
      <c r="S314" s="64">
        <v>167.0</v>
      </c>
      <c r="T314" s="64">
        <v>1837.0</v>
      </c>
      <c r="U314" s="64">
        <v>167.0</v>
      </c>
      <c r="V314" s="66">
        <v>1837.0</v>
      </c>
      <c r="W314" s="66">
        <v>1837.0</v>
      </c>
      <c r="X314" s="79" t="s">
        <v>460</v>
      </c>
      <c r="Y314" s="66" t="s">
        <v>461</v>
      </c>
      <c r="Z314" s="66" t="s">
        <v>462</v>
      </c>
      <c r="AA314" s="66" t="s">
        <v>463</v>
      </c>
      <c r="AB314" s="66" t="s">
        <v>464</v>
      </c>
      <c r="AC314" s="66" t="s">
        <v>451</v>
      </c>
      <c r="AD314" s="66" t="s">
        <v>544</v>
      </c>
      <c r="AE314" s="66" t="s">
        <v>545</v>
      </c>
      <c r="AF314" s="66" t="s">
        <v>546</v>
      </c>
      <c r="AG314" s="66" t="s">
        <v>467</v>
      </c>
      <c r="AH314" s="66" t="s">
        <v>467</v>
      </c>
      <c r="AI314" s="66">
        <v>440.0</v>
      </c>
      <c r="AJ314" s="66">
        <v>21.5</v>
      </c>
      <c r="AK314" s="84">
        <v>9460.0</v>
      </c>
      <c r="AL314" s="77"/>
      <c r="AM314" s="77"/>
      <c r="AN314" s="66">
        <v>21.5</v>
      </c>
      <c r="AO314" s="60" t="s">
        <v>468</v>
      </c>
      <c r="AP314" s="63"/>
      <c r="AQ314" s="63"/>
      <c r="AR314" s="63"/>
      <c r="AS314" s="63"/>
      <c r="AT314" s="63"/>
      <c r="AU314" s="63"/>
      <c r="AV314" s="63"/>
      <c r="AW314" s="58" t="s">
        <v>512</v>
      </c>
      <c r="AX314" s="69">
        <v>9460.0</v>
      </c>
      <c r="AY314" s="70"/>
      <c r="AZ314" s="70"/>
      <c r="BA314" s="70"/>
      <c r="BB314" s="70"/>
      <c r="BC314" s="58" t="s">
        <v>469</v>
      </c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</row>
    <row r="315">
      <c r="A315" s="59">
        <v>45823.0</v>
      </c>
      <c r="B315" s="60" t="s">
        <v>451</v>
      </c>
      <c r="C315" s="61">
        <v>45823.0</v>
      </c>
      <c r="D315" s="61">
        <v>45823.0</v>
      </c>
      <c r="E315" s="60" t="s">
        <v>452</v>
      </c>
      <c r="F315" s="101" t="s">
        <v>1185</v>
      </c>
      <c r="G315" s="63"/>
      <c r="H315" s="64" t="s">
        <v>472</v>
      </c>
      <c r="I315" s="64" t="s">
        <v>575</v>
      </c>
      <c r="J315" s="64" t="s">
        <v>456</v>
      </c>
      <c r="K315" s="64" t="s">
        <v>456</v>
      </c>
      <c r="L315" s="64">
        <v>22.0</v>
      </c>
      <c r="M315" s="64">
        <v>22.0</v>
      </c>
      <c r="N315" s="64" t="s">
        <v>457</v>
      </c>
      <c r="O315" s="64">
        <v>24.0</v>
      </c>
      <c r="P315" s="75">
        <v>2.45E8</v>
      </c>
      <c r="Q315" s="66" t="s">
        <v>459</v>
      </c>
      <c r="R315" s="66" t="s">
        <v>459</v>
      </c>
      <c r="S315" s="66">
        <v>150.0</v>
      </c>
      <c r="T315" s="66">
        <v>1650.0</v>
      </c>
      <c r="U315" s="66">
        <v>150.0</v>
      </c>
      <c r="V315" s="64">
        <v>1650.0</v>
      </c>
      <c r="W315" s="64">
        <v>1650.0</v>
      </c>
      <c r="X315" s="76" t="s">
        <v>460</v>
      </c>
      <c r="Y315" s="64" t="s">
        <v>461</v>
      </c>
      <c r="Z315" s="64" t="s">
        <v>462</v>
      </c>
      <c r="AA315" s="64" t="s">
        <v>463</v>
      </c>
      <c r="AB315" s="64" t="s">
        <v>464</v>
      </c>
      <c r="AC315" s="64" t="s">
        <v>451</v>
      </c>
      <c r="AD315" s="64" t="s">
        <v>765</v>
      </c>
      <c r="AE315" s="64" t="s">
        <v>663</v>
      </c>
      <c r="AF315" s="64" t="s">
        <v>663</v>
      </c>
      <c r="AG315" s="64" t="s">
        <v>467</v>
      </c>
      <c r="AH315" s="64" t="s">
        <v>467</v>
      </c>
      <c r="AI315" s="64">
        <v>330.0</v>
      </c>
      <c r="AJ315" s="64">
        <v>21.5</v>
      </c>
      <c r="AK315" s="67">
        <v>7095.0</v>
      </c>
      <c r="AL315" s="63"/>
      <c r="AM315" s="63"/>
      <c r="AN315" s="64">
        <v>21.5</v>
      </c>
      <c r="AO315" s="64" t="s">
        <v>468</v>
      </c>
      <c r="AP315" s="63"/>
      <c r="AQ315" s="63"/>
      <c r="AR315" s="63"/>
      <c r="AS315" s="63"/>
      <c r="AT315" s="63"/>
      <c r="AU315" s="63"/>
      <c r="AV315" s="63"/>
      <c r="AW315" s="58" t="s">
        <v>512</v>
      </c>
      <c r="AX315" s="69">
        <v>7095.0</v>
      </c>
      <c r="AY315" s="70"/>
      <c r="AZ315" s="70"/>
      <c r="BA315" s="70"/>
      <c r="BB315" s="70"/>
      <c r="BC315" s="58" t="s">
        <v>469</v>
      </c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</row>
    <row r="316">
      <c r="A316" s="59">
        <v>45823.0</v>
      </c>
      <c r="B316" s="60" t="s">
        <v>451</v>
      </c>
      <c r="C316" s="61">
        <v>45823.0</v>
      </c>
      <c r="D316" s="61">
        <v>45823.0</v>
      </c>
      <c r="E316" s="60" t="s">
        <v>452</v>
      </c>
      <c r="F316" s="102" t="s">
        <v>1186</v>
      </c>
      <c r="G316" s="77"/>
      <c r="H316" s="66" t="s">
        <v>521</v>
      </c>
      <c r="I316" s="66" t="s">
        <v>1187</v>
      </c>
      <c r="J316" s="66" t="s">
        <v>486</v>
      </c>
      <c r="K316" s="66" t="s">
        <v>486</v>
      </c>
      <c r="L316" s="66">
        <v>22.0</v>
      </c>
      <c r="M316" s="66">
        <v>22.0</v>
      </c>
      <c r="N316" s="66" t="s">
        <v>457</v>
      </c>
      <c r="O316" s="66">
        <v>24.0</v>
      </c>
      <c r="P316" s="80">
        <v>2.45E8</v>
      </c>
      <c r="Q316" s="64" t="s">
        <v>459</v>
      </c>
      <c r="R316" s="64" t="s">
        <v>459</v>
      </c>
      <c r="S316" s="64">
        <v>52.0</v>
      </c>
      <c r="T316" s="64">
        <v>572.0</v>
      </c>
      <c r="U316" s="64">
        <v>52.0</v>
      </c>
      <c r="V316" s="66">
        <v>572.0</v>
      </c>
      <c r="W316" s="66">
        <v>572.0</v>
      </c>
      <c r="X316" s="79" t="s">
        <v>460</v>
      </c>
      <c r="Y316" s="66" t="s">
        <v>461</v>
      </c>
      <c r="Z316" s="66" t="s">
        <v>462</v>
      </c>
      <c r="AA316" s="66" t="s">
        <v>463</v>
      </c>
      <c r="AB316" s="66" t="s">
        <v>464</v>
      </c>
      <c r="AC316" s="66" t="s">
        <v>451</v>
      </c>
      <c r="AD316" s="66" t="s">
        <v>765</v>
      </c>
      <c r="AE316" s="66" t="s">
        <v>663</v>
      </c>
      <c r="AF316" s="66" t="s">
        <v>663</v>
      </c>
      <c r="AG316" s="66" t="s">
        <v>467</v>
      </c>
      <c r="AH316" s="66" t="s">
        <v>467</v>
      </c>
      <c r="AI316" s="66">
        <v>330.0</v>
      </c>
      <c r="AJ316" s="66">
        <v>23.5</v>
      </c>
      <c r="AK316" s="84">
        <v>7755.0</v>
      </c>
      <c r="AL316" s="77"/>
      <c r="AM316" s="77"/>
      <c r="AN316" s="66">
        <v>23.5</v>
      </c>
      <c r="AO316" s="64" t="s">
        <v>468</v>
      </c>
      <c r="AP316" s="63"/>
      <c r="AQ316" s="63"/>
      <c r="AR316" s="63"/>
      <c r="AS316" s="63"/>
      <c r="AT316" s="63"/>
      <c r="AU316" s="63"/>
      <c r="AV316" s="63"/>
      <c r="AW316" s="58" t="s">
        <v>512</v>
      </c>
      <c r="AX316" s="69">
        <v>7755.0</v>
      </c>
      <c r="AY316" s="70"/>
      <c r="AZ316" s="70"/>
      <c r="BA316" s="70"/>
      <c r="BB316" s="70"/>
      <c r="BC316" s="58" t="s">
        <v>469</v>
      </c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</row>
    <row r="317">
      <c r="A317" s="59">
        <v>45823.0</v>
      </c>
      <c r="B317" s="60" t="s">
        <v>451</v>
      </c>
      <c r="C317" s="61">
        <v>45823.0</v>
      </c>
      <c r="D317" s="61">
        <v>45823.0</v>
      </c>
      <c r="E317" s="60" t="s">
        <v>452</v>
      </c>
      <c r="F317" s="101" t="s">
        <v>1188</v>
      </c>
      <c r="G317" s="63"/>
      <c r="H317" s="64" t="s">
        <v>521</v>
      </c>
      <c r="I317" s="64" t="s">
        <v>619</v>
      </c>
      <c r="J317" s="64" t="s">
        <v>486</v>
      </c>
      <c r="K317" s="64" t="s">
        <v>486</v>
      </c>
      <c r="L317" s="66">
        <v>22.0</v>
      </c>
      <c r="M317" s="66">
        <v>22.0</v>
      </c>
      <c r="N317" s="66" t="s">
        <v>457</v>
      </c>
      <c r="O317" s="66">
        <v>24.0</v>
      </c>
      <c r="P317" s="64" t="s">
        <v>1189</v>
      </c>
      <c r="Q317" s="64" t="s">
        <v>459</v>
      </c>
      <c r="R317" s="64" t="s">
        <v>459</v>
      </c>
      <c r="S317" s="64">
        <v>106.0</v>
      </c>
      <c r="T317" s="64">
        <v>1166.0</v>
      </c>
      <c r="U317" s="64">
        <v>106.0</v>
      </c>
      <c r="V317" s="64">
        <v>1166.0</v>
      </c>
      <c r="W317" s="64">
        <v>1166.0</v>
      </c>
      <c r="X317" s="76" t="s">
        <v>460</v>
      </c>
      <c r="Y317" s="64" t="s">
        <v>461</v>
      </c>
      <c r="Z317" s="64" t="s">
        <v>462</v>
      </c>
      <c r="AA317" s="64" t="s">
        <v>463</v>
      </c>
      <c r="AB317" s="64" t="s">
        <v>464</v>
      </c>
      <c r="AC317" s="64" t="s">
        <v>451</v>
      </c>
      <c r="AD317" s="66" t="s">
        <v>678</v>
      </c>
      <c r="AE317" s="66" t="s">
        <v>643</v>
      </c>
      <c r="AF317" s="66" t="s">
        <v>643</v>
      </c>
      <c r="AG317" s="64" t="s">
        <v>467</v>
      </c>
      <c r="AH317" s="64" t="s">
        <v>467</v>
      </c>
      <c r="AI317" s="64">
        <v>805.0</v>
      </c>
      <c r="AJ317" s="64">
        <v>23.5</v>
      </c>
      <c r="AK317" s="67">
        <v>18917.5</v>
      </c>
      <c r="AL317" s="63"/>
      <c r="AM317" s="63"/>
      <c r="AN317" s="64">
        <v>23.5</v>
      </c>
      <c r="AO317" s="66" t="s">
        <v>468</v>
      </c>
      <c r="AP317" s="63"/>
      <c r="AQ317" s="63"/>
      <c r="AR317" s="63"/>
      <c r="AS317" s="63"/>
      <c r="AT317" s="63"/>
      <c r="AU317" s="63"/>
      <c r="AV317" s="68"/>
      <c r="AW317" s="58" t="s">
        <v>512</v>
      </c>
      <c r="AX317" s="69">
        <v>18917.5</v>
      </c>
      <c r="AY317" s="70"/>
      <c r="AZ317" s="70"/>
      <c r="BA317" s="70"/>
      <c r="BB317" s="70"/>
      <c r="BC317" s="58" t="s">
        <v>469</v>
      </c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</row>
    <row r="318">
      <c r="A318" s="59">
        <v>45823.0</v>
      </c>
      <c r="B318" s="60" t="s">
        <v>451</v>
      </c>
      <c r="C318" s="61">
        <v>45823.0</v>
      </c>
      <c r="D318" s="61">
        <v>45823.0</v>
      </c>
      <c r="E318" s="60" t="s">
        <v>452</v>
      </c>
      <c r="F318" s="102" t="s">
        <v>1190</v>
      </c>
      <c r="G318" s="77"/>
      <c r="H318" s="66" t="s">
        <v>521</v>
      </c>
      <c r="I318" s="66" t="s">
        <v>713</v>
      </c>
      <c r="J318" s="64" t="s">
        <v>456</v>
      </c>
      <c r="K318" s="64" t="s">
        <v>456</v>
      </c>
      <c r="L318" s="66">
        <v>22.0</v>
      </c>
      <c r="M318" s="66">
        <v>22.0</v>
      </c>
      <c r="N318" s="66" t="s">
        <v>457</v>
      </c>
      <c r="O318" s="66">
        <v>24.0</v>
      </c>
      <c r="P318" s="64" t="s">
        <v>1191</v>
      </c>
      <c r="Q318" s="64" t="s">
        <v>459</v>
      </c>
      <c r="R318" s="64" t="s">
        <v>459</v>
      </c>
      <c r="S318" s="64">
        <v>197.0</v>
      </c>
      <c r="T318" s="64">
        <v>2167.0</v>
      </c>
      <c r="U318" s="64">
        <v>197.0</v>
      </c>
      <c r="V318" s="64">
        <v>2167.0</v>
      </c>
      <c r="W318" s="64">
        <v>2167.0</v>
      </c>
      <c r="X318" s="76" t="s">
        <v>460</v>
      </c>
      <c r="Y318" s="64" t="s">
        <v>461</v>
      </c>
      <c r="Z318" s="64" t="s">
        <v>462</v>
      </c>
      <c r="AA318" s="64" t="s">
        <v>463</v>
      </c>
      <c r="AB318" s="66" t="s">
        <v>464</v>
      </c>
      <c r="AC318" s="66" t="s">
        <v>451</v>
      </c>
      <c r="AD318" s="66" t="s">
        <v>557</v>
      </c>
      <c r="AE318" s="64" t="s">
        <v>525</v>
      </c>
      <c r="AF318" s="64" t="s">
        <v>525</v>
      </c>
      <c r="AG318" s="64" t="s">
        <v>467</v>
      </c>
      <c r="AH318" s="64" t="s">
        <v>467</v>
      </c>
      <c r="AI318" s="66">
        <v>800.0</v>
      </c>
      <c r="AJ318" s="64">
        <v>21.5</v>
      </c>
      <c r="AK318" s="67">
        <v>17200.0</v>
      </c>
      <c r="AL318" s="63"/>
      <c r="AM318" s="63"/>
      <c r="AN318" s="64">
        <v>21.5</v>
      </c>
      <c r="AO318" s="66" t="s">
        <v>468</v>
      </c>
      <c r="AP318" s="63"/>
      <c r="AQ318" s="63"/>
      <c r="AR318" s="63"/>
      <c r="AS318" s="63"/>
      <c r="AT318" s="63"/>
      <c r="AU318" s="63"/>
      <c r="AV318" s="68"/>
      <c r="AW318" s="58" t="s">
        <v>512</v>
      </c>
      <c r="AX318" s="69">
        <v>17200.0</v>
      </c>
      <c r="AY318" s="70"/>
      <c r="AZ318" s="70"/>
      <c r="BA318" s="70"/>
      <c r="BB318" s="70"/>
      <c r="BC318" s="58" t="s">
        <v>469</v>
      </c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</row>
    <row r="319">
      <c r="A319" s="59">
        <v>45823.0</v>
      </c>
      <c r="B319" s="60" t="s">
        <v>451</v>
      </c>
      <c r="C319" s="61">
        <v>45823.0</v>
      </c>
      <c r="D319" s="61">
        <v>45823.0</v>
      </c>
      <c r="E319" s="60" t="s">
        <v>452</v>
      </c>
      <c r="F319" s="101" t="s">
        <v>1192</v>
      </c>
      <c r="G319" s="63"/>
      <c r="H319" s="64" t="s">
        <v>771</v>
      </c>
      <c r="I319" s="64" t="s">
        <v>772</v>
      </c>
      <c r="J319" s="64" t="s">
        <v>456</v>
      </c>
      <c r="K319" s="64" t="s">
        <v>456</v>
      </c>
      <c r="L319" s="64">
        <v>22.0</v>
      </c>
      <c r="M319" s="64">
        <v>22.0</v>
      </c>
      <c r="N319" s="64" t="s">
        <v>457</v>
      </c>
      <c r="O319" s="64">
        <v>24.0</v>
      </c>
      <c r="P319" s="64" t="s">
        <v>1193</v>
      </c>
      <c r="Q319" s="66" t="s">
        <v>459</v>
      </c>
      <c r="R319" s="66" t="s">
        <v>459</v>
      </c>
      <c r="S319" s="66">
        <v>215.0</v>
      </c>
      <c r="T319" s="66">
        <v>2365.0</v>
      </c>
      <c r="U319" s="66">
        <v>215.0</v>
      </c>
      <c r="V319" s="64">
        <v>2365.0</v>
      </c>
      <c r="W319" s="64">
        <v>2365.0</v>
      </c>
      <c r="X319" s="76" t="s">
        <v>460</v>
      </c>
      <c r="Y319" s="64" t="s">
        <v>461</v>
      </c>
      <c r="Z319" s="64" t="s">
        <v>462</v>
      </c>
      <c r="AA319" s="64" t="s">
        <v>463</v>
      </c>
      <c r="AB319" s="64" t="s">
        <v>464</v>
      </c>
      <c r="AC319" s="64" t="s">
        <v>451</v>
      </c>
      <c r="AD319" s="64" t="s">
        <v>561</v>
      </c>
      <c r="AE319" s="64" t="s">
        <v>562</v>
      </c>
      <c r="AF319" s="64" t="s">
        <v>562</v>
      </c>
      <c r="AG319" s="64" t="s">
        <v>467</v>
      </c>
      <c r="AH319" s="64" t="s">
        <v>467</v>
      </c>
      <c r="AI319" s="64">
        <v>325.0</v>
      </c>
      <c r="AJ319" s="64">
        <v>21.5</v>
      </c>
      <c r="AK319" s="67">
        <v>6987.5</v>
      </c>
      <c r="AL319" s="63"/>
      <c r="AM319" s="63"/>
      <c r="AN319" s="64">
        <v>21.5</v>
      </c>
      <c r="AO319" s="64" t="s">
        <v>468</v>
      </c>
      <c r="AP319" s="63"/>
      <c r="AQ319" s="63"/>
      <c r="AR319" s="63"/>
      <c r="AS319" s="63"/>
      <c r="AT319" s="63"/>
      <c r="AU319" s="63"/>
      <c r="AV319" s="63"/>
      <c r="AW319" s="58" t="s">
        <v>512</v>
      </c>
      <c r="AX319" s="69">
        <v>6987.5</v>
      </c>
      <c r="AY319" s="70"/>
      <c r="AZ319" s="70"/>
      <c r="BA319" s="70"/>
      <c r="BB319" s="70"/>
      <c r="BC319" s="58" t="s">
        <v>469</v>
      </c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</row>
    <row r="320">
      <c r="A320" s="59">
        <v>45823.0</v>
      </c>
      <c r="B320" s="60" t="s">
        <v>451</v>
      </c>
      <c r="C320" s="61">
        <v>45823.0</v>
      </c>
      <c r="D320" s="61">
        <v>45823.0</v>
      </c>
      <c r="E320" s="60" t="s">
        <v>452</v>
      </c>
      <c r="F320" s="102" t="s">
        <v>1194</v>
      </c>
      <c r="G320" s="77"/>
      <c r="H320" s="66" t="s">
        <v>771</v>
      </c>
      <c r="I320" s="66" t="s">
        <v>775</v>
      </c>
      <c r="J320" s="66" t="s">
        <v>456</v>
      </c>
      <c r="K320" s="66" t="s">
        <v>456</v>
      </c>
      <c r="L320" s="66">
        <v>22.0</v>
      </c>
      <c r="M320" s="66">
        <v>22.0</v>
      </c>
      <c r="N320" s="66" t="s">
        <v>457</v>
      </c>
      <c r="O320" s="66">
        <v>24.0</v>
      </c>
      <c r="P320" s="66" t="s">
        <v>1195</v>
      </c>
      <c r="Q320" s="64" t="s">
        <v>459</v>
      </c>
      <c r="R320" s="64" t="s">
        <v>459</v>
      </c>
      <c r="S320" s="64">
        <v>210.0</v>
      </c>
      <c r="T320" s="64">
        <v>2310.0</v>
      </c>
      <c r="U320" s="64">
        <v>210.0</v>
      </c>
      <c r="V320" s="66">
        <v>2310.0</v>
      </c>
      <c r="W320" s="66">
        <v>2310.0</v>
      </c>
      <c r="X320" s="79" t="s">
        <v>460</v>
      </c>
      <c r="Y320" s="66" t="s">
        <v>461</v>
      </c>
      <c r="Z320" s="66" t="s">
        <v>462</v>
      </c>
      <c r="AA320" s="66" t="s">
        <v>463</v>
      </c>
      <c r="AB320" s="66" t="s">
        <v>464</v>
      </c>
      <c r="AC320" s="66" t="s">
        <v>451</v>
      </c>
      <c r="AD320" s="66" t="s">
        <v>566</v>
      </c>
      <c r="AE320" s="66" t="s">
        <v>567</v>
      </c>
      <c r="AF320" s="66" t="s">
        <v>567</v>
      </c>
      <c r="AG320" s="66" t="s">
        <v>467</v>
      </c>
      <c r="AH320" s="66" t="s">
        <v>467</v>
      </c>
      <c r="AI320" s="66">
        <v>475.0</v>
      </c>
      <c r="AJ320" s="66">
        <v>21.5</v>
      </c>
      <c r="AK320" s="84">
        <v>10212.5</v>
      </c>
      <c r="AL320" s="77"/>
      <c r="AM320" s="77"/>
      <c r="AN320" s="66">
        <v>21.5</v>
      </c>
      <c r="AO320" s="64" t="s">
        <v>468</v>
      </c>
      <c r="AP320" s="63"/>
      <c r="AQ320" s="63"/>
      <c r="AR320" s="63"/>
      <c r="AS320" s="63"/>
      <c r="AT320" s="63"/>
      <c r="AU320" s="63"/>
      <c r="AV320" s="63"/>
      <c r="AW320" s="58" t="s">
        <v>512</v>
      </c>
      <c r="AX320" s="69">
        <v>10212.5</v>
      </c>
      <c r="AY320" s="70"/>
      <c r="AZ320" s="70"/>
      <c r="BA320" s="70"/>
      <c r="BB320" s="70"/>
      <c r="BC320" s="58" t="s">
        <v>469</v>
      </c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</row>
    <row r="321">
      <c r="A321" s="59">
        <v>45823.0</v>
      </c>
      <c r="B321" s="60" t="s">
        <v>451</v>
      </c>
      <c r="C321" s="61">
        <v>45823.0</v>
      </c>
      <c r="D321" s="61">
        <v>45823.0</v>
      </c>
      <c r="E321" s="60" t="s">
        <v>452</v>
      </c>
      <c r="F321" s="101" t="s">
        <v>1196</v>
      </c>
      <c r="G321" s="63"/>
      <c r="H321" s="64" t="s">
        <v>492</v>
      </c>
      <c r="I321" s="64" t="s">
        <v>569</v>
      </c>
      <c r="J321" s="64" t="s">
        <v>456</v>
      </c>
      <c r="K321" s="64" t="s">
        <v>456</v>
      </c>
      <c r="L321" s="64">
        <v>22.0</v>
      </c>
      <c r="M321" s="64">
        <v>22.0</v>
      </c>
      <c r="N321" s="64" t="s">
        <v>457</v>
      </c>
      <c r="O321" s="64">
        <v>24.0</v>
      </c>
      <c r="P321" s="64" t="s">
        <v>1197</v>
      </c>
      <c r="Q321" s="66" t="s">
        <v>459</v>
      </c>
      <c r="R321" s="66" t="s">
        <v>459</v>
      </c>
      <c r="S321" s="66">
        <v>262.0</v>
      </c>
      <c r="T321" s="66">
        <v>2882.0</v>
      </c>
      <c r="U321" s="66">
        <v>262.0</v>
      </c>
      <c r="V321" s="64">
        <v>2882.0</v>
      </c>
      <c r="W321" s="64">
        <v>2882.0</v>
      </c>
      <c r="X321" s="76" t="s">
        <v>460</v>
      </c>
      <c r="Y321" s="64" t="s">
        <v>461</v>
      </c>
      <c r="Z321" s="64" t="s">
        <v>462</v>
      </c>
      <c r="AA321" s="64" t="s">
        <v>463</v>
      </c>
      <c r="AB321" s="64" t="s">
        <v>464</v>
      </c>
      <c r="AC321" s="64" t="s">
        <v>451</v>
      </c>
      <c r="AD321" s="64" t="s">
        <v>571</v>
      </c>
      <c r="AE321" s="64" t="s">
        <v>572</v>
      </c>
      <c r="AF321" s="64" t="s">
        <v>572</v>
      </c>
      <c r="AG321" s="64" t="s">
        <v>467</v>
      </c>
      <c r="AH321" s="64" t="s">
        <v>467</v>
      </c>
      <c r="AI321" s="64">
        <v>655.0</v>
      </c>
      <c r="AJ321" s="64">
        <v>21.5</v>
      </c>
      <c r="AK321" s="67">
        <v>14082.5</v>
      </c>
      <c r="AL321" s="63"/>
      <c r="AM321" s="63"/>
      <c r="AN321" s="64">
        <v>21.5</v>
      </c>
      <c r="AO321" s="60" t="s">
        <v>468</v>
      </c>
      <c r="AP321" s="63"/>
      <c r="AQ321" s="63"/>
      <c r="AR321" s="63"/>
      <c r="AS321" s="63"/>
      <c r="AT321" s="63"/>
      <c r="AU321" s="63"/>
      <c r="AV321" s="68"/>
      <c r="AW321" s="58" t="s">
        <v>512</v>
      </c>
      <c r="AX321" s="69">
        <v>14082.5</v>
      </c>
      <c r="AY321" s="70"/>
      <c r="AZ321" s="70"/>
      <c r="BA321" s="70"/>
      <c r="BB321" s="70"/>
      <c r="BC321" s="58" t="s">
        <v>469</v>
      </c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</row>
    <row r="322">
      <c r="A322" s="59">
        <v>45823.0</v>
      </c>
      <c r="B322" s="60" t="s">
        <v>451</v>
      </c>
      <c r="C322" s="61">
        <v>45823.0</v>
      </c>
      <c r="D322" s="61">
        <v>45823.0</v>
      </c>
      <c r="E322" s="60" t="s">
        <v>452</v>
      </c>
      <c r="F322" s="102" t="s">
        <v>1198</v>
      </c>
      <c r="G322" s="77"/>
      <c r="H322" s="66" t="s">
        <v>521</v>
      </c>
      <c r="I322" s="66" t="s">
        <v>522</v>
      </c>
      <c r="J322" s="64" t="s">
        <v>486</v>
      </c>
      <c r="K322" s="64" t="s">
        <v>486</v>
      </c>
      <c r="L322" s="66">
        <v>22.0</v>
      </c>
      <c r="M322" s="66">
        <v>22.0</v>
      </c>
      <c r="N322" s="66" t="s">
        <v>457</v>
      </c>
      <c r="O322" s="66">
        <v>24.0</v>
      </c>
      <c r="P322" s="64" t="s">
        <v>1199</v>
      </c>
      <c r="Q322" s="64" t="s">
        <v>459</v>
      </c>
      <c r="R322" s="64" t="s">
        <v>459</v>
      </c>
      <c r="S322" s="64">
        <v>173.0</v>
      </c>
      <c r="T322" s="64">
        <v>1903.0</v>
      </c>
      <c r="U322" s="64">
        <v>173.0</v>
      </c>
      <c r="V322" s="64">
        <v>1903.0</v>
      </c>
      <c r="W322" s="64">
        <v>1903.0</v>
      </c>
      <c r="X322" s="76" t="s">
        <v>460</v>
      </c>
      <c r="Y322" s="64" t="s">
        <v>461</v>
      </c>
      <c r="Z322" s="64" t="s">
        <v>462</v>
      </c>
      <c r="AA322" s="64" t="s">
        <v>463</v>
      </c>
      <c r="AB322" s="66" t="s">
        <v>464</v>
      </c>
      <c r="AC322" s="64" t="s">
        <v>451</v>
      </c>
      <c r="AD322" s="66" t="s">
        <v>678</v>
      </c>
      <c r="AE322" s="66" t="s">
        <v>643</v>
      </c>
      <c r="AF322" s="66" t="s">
        <v>643</v>
      </c>
      <c r="AG322" s="64" t="s">
        <v>467</v>
      </c>
      <c r="AH322" s="64" t="s">
        <v>467</v>
      </c>
      <c r="AI322" s="64">
        <v>805.0</v>
      </c>
      <c r="AJ322" s="64">
        <v>23.5</v>
      </c>
      <c r="AK322" s="67">
        <v>18917.5</v>
      </c>
      <c r="AL322" s="63"/>
      <c r="AM322" s="63"/>
      <c r="AN322" s="64">
        <v>23.5</v>
      </c>
      <c r="AO322" s="66" t="s">
        <v>468</v>
      </c>
      <c r="AP322" s="63"/>
      <c r="AQ322" s="63"/>
      <c r="AR322" s="63"/>
      <c r="AS322" s="63"/>
      <c r="AT322" s="63"/>
      <c r="AU322" s="63"/>
      <c r="AV322" s="68"/>
      <c r="AW322" s="58" t="s">
        <v>512</v>
      </c>
      <c r="AX322" s="69">
        <v>18917.5</v>
      </c>
      <c r="AY322" s="70"/>
      <c r="AZ322" s="70"/>
      <c r="BA322" s="70"/>
      <c r="BB322" s="70"/>
      <c r="BC322" s="58" t="s">
        <v>469</v>
      </c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</row>
    <row r="323">
      <c r="A323" s="59">
        <v>45823.0</v>
      </c>
      <c r="B323" s="60" t="s">
        <v>451</v>
      </c>
      <c r="C323" s="61">
        <v>45823.0</v>
      </c>
      <c r="D323" s="61">
        <v>45823.0</v>
      </c>
      <c r="E323" s="60" t="s">
        <v>452</v>
      </c>
      <c r="F323" s="101" t="s">
        <v>1200</v>
      </c>
      <c r="G323" s="63"/>
      <c r="H323" s="64" t="s">
        <v>472</v>
      </c>
      <c r="I323" s="64" t="s">
        <v>632</v>
      </c>
      <c r="J323" s="64" t="s">
        <v>486</v>
      </c>
      <c r="K323" s="64" t="s">
        <v>486</v>
      </c>
      <c r="L323" s="64">
        <v>22.0</v>
      </c>
      <c r="M323" s="64">
        <v>22.0</v>
      </c>
      <c r="N323" s="64" t="s">
        <v>457</v>
      </c>
      <c r="O323" s="64">
        <v>24.0</v>
      </c>
      <c r="P323" s="64" t="s">
        <v>1201</v>
      </c>
      <c r="Q323" s="66" t="s">
        <v>459</v>
      </c>
      <c r="R323" s="66" t="s">
        <v>459</v>
      </c>
      <c r="S323" s="66">
        <v>116.0</v>
      </c>
      <c r="T323" s="66">
        <v>1276.0</v>
      </c>
      <c r="U323" s="66">
        <v>116.0</v>
      </c>
      <c r="V323" s="64">
        <v>1276.0</v>
      </c>
      <c r="W323" s="64">
        <v>1276.0</v>
      </c>
      <c r="X323" s="76" t="s">
        <v>460</v>
      </c>
      <c r="Y323" s="64" t="s">
        <v>461</v>
      </c>
      <c r="Z323" s="64" t="s">
        <v>462</v>
      </c>
      <c r="AA323" s="64" t="s">
        <v>463</v>
      </c>
      <c r="AB323" s="64" t="s">
        <v>464</v>
      </c>
      <c r="AC323" s="64" t="s">
        <v>451</v>
      </c>
      <c r="AD323" s="66" t="s">
        <v>577</v>
      </c>
      <c r="AE323" s="64" t="s">
        <v>578</v>
      </c>
      <c r="AF323" s="66" t="s">
        <v>578</v>
      </c>
      <c r="AG323" s="66" t="s">
        <v>467</v>
      </c>
      <c r="AH323" s="66" t="s">
        <v>467</v>
      </c>
      <c r="AI323" s="66">
        <v>396.0</v>
      </c>
      <c r="AJ323" s="66">
        <v>23.5</v>
      </c>
      <c r="AK323" s="84">
        <v>9306.0</v>
      </c>
      <c r="AL323" s="77"/>
      <c r="AM323" s="63"/>
      <c r="AN323" s="64">
        <v>23.5</v>
      </c>
      <c r="AO323" s="64" t="s">
        <v>468</v>
      </c>
      <c r="AP323" s="63"/>
      <c r="AQ323" s="63"/>
      <c r="AR323" s="63"/>
      <c r="AS323" s="63"/>
      <c r="AT323" s="63"/>
      <c r="AU323" s="63"/>
      <c r="AV323" s="63"/>
      <c r="AW323" s="58" t="s">
        <v>512</v>
      </c>
      <c r="AX323" s="69">
        <v>9306.0</v>
      </c>
      <c r="AY323" s="70"/>
      <c r="AZ323" s="70"/>
      <c r="BA323" s="70"/>
      <c r="BB323" s="70"/>
      <c r="BC323" s="58" t="s">
        <v>469</v>
      </c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</row>
    <row r="324">
      <c r="A324" s="59">
        <v>45823.0</v>
      </c>
      <c r="B324" s="60" t="s">
        <v>451</v>
      </c>
      <c r="C324" s="61">
        <v>45823.0</v>
      </c>
      <c r="D324" s="61">
        <v>45823.0</v>
      </c>
      <c r="E324" s="60" t="s">
        <v>452</v>
      </c>
      <c r="F324" s="102" t="s">
        <v>1202</v>
      </c>
      <c r="G324" s="77"/>
      <c r="H324" s="66" t="s">
        <v>472</v>
      </c>
      <c r="I324" s="66" t="s">
        <v>629</v>
      </c>
      <c r="J324" s="66" t="s">
        <v>456</v>
      </c>
      <c r="K324" s="66" t="s">
        <v>456</v>
      </c>
      <c r="L324" s="66">
        <v>22.0</v>
      </c>
      <c r="M324" s="66">
        <v>22.0</v>
      </c>
      <c r="N324" s="66" t="s">
        <v>457</v>
      </c>
      <c r="O324" s="66">
        <v>24.0</v>
      </c>
      <c r="P324" s="66" t="s">
        <v>1203</v>
      </c>
      <c r="Q324" s="64" t="s">
        <v>459</v>
      </c>
      <c r="R324" s="64" t="s">
        <v>459</v>
      </c>
      <c r="S324" s="64">
        <v>102.0</v>
      </c>
      <c r="T324" s="64">
        <v>1122.0</v>
      </c>
      <c r="U324" s="64">
        <v>102.0</v>
      </c>
      <c r="V324" s="66">
        <v>1122.0</v>
      </c>
      <c r="W324" s="66">
        <v>1122.0</v>
      </c>
      <c r="X324" s="79" t="s">
        <v>460</v>
      </c>
      <c r="Y324" s="66" t="s">
        <v>461</v>
      </c>
      <c r="Z324" s="66" t="s">
        <v>462</v>
      </c>
      <c r="AA324" s="66" t="s">
        <v>463</v>
      </c>
      <c r="AB324" s="66" t="s">
        <v>464</v>
      </c>
      <c r="AC324" s="66" t="s">
        <v>451</v>
      </c>
      <c r="AD324" s="66" t="s">
        <v>577</v>
      </c>
      <c r="AE324" s="66" t="s">
        <v>578</v>
      </c>
      <c r="AF324" s="64" t="s">
        <v>578</v>
      </c>
      <c r="AG324" s="64" t="s">
        <v>467</v>
      </c>
      <c r="AH324" s="64" t="s">
        <v>467</v>
      </c>
      <c r="AI324" s="64">
        <v>396.0</v>
      </c>
      <c r="AJ324" s="64">
        <v>21.5</v>
      </c>
      <c r="AK324" s="67">
        <v>8514.0</v>
      </c>
      <c r="AL324" s="63"/>
      <c r="AM324" s="63"/>
      <c r="AN324" s="64">
        <v>21.5</v>
      </c>
      <c r="AO324" s="64" t="s">
        <v>468</v>
      </c>
      <c r="AP324" s="63"/>
      <c r="AQ324" s="63"/>
      <c r="AR324" s="63"/>
      <c r="AS324" s="63"/>
      <c r="AT324" s="63"/>
      <c r="AU324" s="63"/>
      <c r="AV324" s="63"/>
      <c r="AW324" s="58" t="s">
        <v>512</v>
      </c>
      <c r="AX324" s="69">
        <v>8514.0</v>
      </c>
      <c r="AY324" s="70"/>
      <c r="AZ324" s="70"/>
      <c r="BA324" s="70"/>
      <c r="BB324" s="70"/>
      <c r="BC324" s="58" t="s">
        <v>469</v>
      </c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8"/>
      <c r="BR324" s="58"/>
    </row>
    <row r="325">
      <c r="A325" s="59">
        <v>45823.0</v>
      </c>
      <c r="B325" s="60" t="s">
        <v>451</v>
      </c>
      <c r="C325" s="61">
        <v>45823.0</v>
      </c>
      <c r="D325" s="61">
        <v>45823.0</v>
      </c>
      <c r="E325" s="60" t="s">
        <v>452</v>
      </c>
      <c r="F325" s="101" t="s">
        <v>1204</v>
      </c>
      <c r="G325" s="63"/>
      <c r="H325" s="64" t="s">
        <v>472</v>
      </c>
      <c r="I325" s="64" t="s">
        <v>581</v>
      </c>
      <c r="J325" s="64" t="s">
        <v>456</v>
      </c>
      <c r="K325" s="64" t="s">
        <v>456</v>
      </c>
      <c r="L325" s="64">
        <v>22.0</v>
      </c>
      <c r="M325" s="64">
        <v>22.0</v>
      </c>
      <c r="N325" s="64" t="s">
        <v>457</v>
      </c>
      <c r="O325" s="64">
        <v>24.0</v>
      </c>
      <c r="P325" s="64" t="s">
        <v>1205</v>
      </c>
      <c r="Q325" s="66" t="s">
        <v>459</v>
      </c>
      <c r="R325" s="66" t="s">
        <v>459</v>
      </c>
      <c r="S325" s="66">
        <v>119.0</v>
      </c>
      <c r="T325" s="66">
        <v>1309.0</v>
      </c>
      <c r="U325" s="66">
        <v>119.0</v>
      </c>
      <c r="V325" s="64">
        <v>1309.0</v>
      </c>
      <c r="W325" s="64">
        <v>1309.0</v>
      </c>
      <c r="X325" s="76" t="s">
        <v>460</v>
      </c>
      <c r="Y325" s="64" t="s">
        <v>461</v>
      </c>
      <c r="Z325" s="64" t="s">
        <v>462</v>
      </c>
      <c r="AA325" s="64" t="s">
        <v>463</v>
      </c>
      <c r="AB325" s="64" t="s">
        <v>464</v>
      </c>
      <c r="AC325" s="64" t="s">
        <v>451</v>
      </c>
      <c r="AD325" s="64" t="s">
        <v>638</v>
      </c>
      <c r="AE325" s="64" t="s">
        <v>531</v>
      </c>
      <c r="AF325" s="66" t="s">
        <v>531</v>
      </c>
      <c r="AG325" s="66" t="s">
        <v>467</v>
      </c>
      <c r="AH325" s="66" t="s">
        <v>467</v>
      </c>
      <c r="AI325" s="66">
        <v>510.0</v>
      </c>
      <c r="AJ325" s="66">
        <v>21.5</v>
      </c>
      <c r="AK325" s="84">
        <v>10965.0</v>
      </c>
      <c r="AL325" s="77"/>
      <c r="AM325" s="63"/>
      <c r="AN325" s="64">
        <v>21.5</v>
      </c>
      <c r="AO325" s="64" t="s">
        <v>468</v>
      </c>
      <c r="AP325" s="63"/>
      <c r="AQ325" s="63"/>
      <c r="AR325" s="63"/>
      <c r="AS325" s="63"/>
      <c r="AT325" s="63"/>
      <c r="AU325" s="63"/>
      <c r="AV325" s="68"/>
      <c r="AW325" s="58" t="s">
        <v>512</v>
      </c>
      <c r="AX325" s="69">
        <v>10965.0</v>
      </c>
      <c r="AY325" s="70"/>
      <c r="AZ325" s="70"/>
      <c r="BA325" s="70"/>
      <c r="BB325" s="70"/>
      <c r="BC325" s="58" t="s">
        <v>469</v>
      </c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8"/>
      <c r="BR325" s="58"/>
    </row>
    <row r="326">
      <c r="A326" s="59">
        <v>45823.0</v>
      </c>
      <c r="B326" s="60" t="s">
        <v>451</v>
      </c>
      <c r="C326" s="61">
        <v>45823.0</v>
      </c>
      <c r="D326" s="61">
        <v>45823.0</v>
      </c>
      <c r="E326" s="60" t="s">
        <v>452</v>
      </c>
      <c r="F326" s="102" t="s">
        <v>1206</v>
      </c>
      <c r="G326" s="77"/>
      <c r="H326" s="66" t="s">
        <v>472</v>
      </c>
      <c r="I326" s="66" t="s">
        <v>891</v>
      </c>
      <c r="J326" s="66" t="s">
        <v>456</v>
      </c>
      <c r="K326" s="66" t="s">
        <v>456</v>
      </c>
      <c r="L326" s="66">
        <v>22.0</v>
      </c>
      <c r="M326" s="66">
        <v>22.0</v>
      </c>
      <c r="N326" s="66" t="s">
        <v>457</v>
      </c>
      <c r="O326" s="66">
        <v>24.0</v>
      </c>
      <c r="P326" s="80">
        <v>2.45E8</v>
      </c>
      <c r="Q326" s="64" t="s">
        <v>459</v>
      </c>
      <c r="R326" s="64" t="s">
        <v>459</v>
      </c>
      <c r="S326" s="64">
        <v>74.0</v>
      </c>
      <c r="T326" s="64">
        <v>814.0</v>
      </c>
      <c r="U326" s="64">
        <v>74.0</v>
      </c>
      <c r="V326" s="66">
        <v>814.0</v>
      </c>
      <c r="W326" s="66">
        <v>814.0</v>
      </c>
      <c r="X326" s="79" t="s">
        <v>460</v>
      </c>
      <c r="Y326" s="66" t="s">
        <v>461</v>
      </c>
      <c r="Z326" s="66" t="s">
        <v>462</v>
      </c>
      <c r="AA326" s="66" t="s">
        <v>463</v>
      </c>
      <c r="AB326" s="66" t="s">
        <v>464</v>
      </c>
      <c r="AC326" s="66" t="s">
        <v>451</v>
      </c>
      <c r="AD326" s="66" t="s">
        <v>634</v>
      </c>
      <c r="AE326" s="66" t="s">
        <v>617</v>
      </c>
      <c r="AF326" s="64" t="s">
        <v>617</v>
      </c>
      <c r="AG326" s="64" t="s">
        <v>467</v>
      </c>
      <c r="AH326" s="64" t="s">
        <v>467</v>
      </c>
      <c r="AI326" s="64">
        <v>330.0</v>
      </c>
      <c r="AJ326" s="64">
        <v>21.5</v>
      </c>
      <c r="AK326" s="67">
        <v>7095.0</v>
      </c>
      <c r="AL326" s="63"/>
      <c r="AM326" s="63"/>
      <c r="AN326" s="64">
        <v>21.5</v>
      </c>
      <c r="AO326" s="64" t="s">
        <v>468</v>
      </c>
      <c r="AP326" s="63"/>
      <c r="AQ326" s="63"/>
      <c r="AR326" s="63"/>
      <c r="AS326" s="63"/>
      <c r="AT326" s="63"/>
      <c r="AU326" s="63"/>
      <c r="AV326" s="63"/>
      <c r="AW326" s="58" t="s">
        <v>512</v>
      </c>
      <c r="AX326" s="69">
        <v>7095.0</v>
      </c>
      <c r="AY326" s="70"/>
      <c r="AZ326" s="70"/>
      <c r="BA326" s="70"/>
      <c r="BB326" s="70"/>
      <c r="BC326" s="58" t="s">
        <v>469</v>
      </c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  <c r="BN326" s="58"/>
      <c r="BO326" s="58"/>
      <c r="BP326" s="58"/>
      <c r="BQ326" s="58"/>
      <c r="BR326" s="58"/>
    </row>
    <row r="327">
      <c r="A327" s="59">
        <v>45823.0</v>
      </c>
      <c r="B327" s="60" t="s">
        <v>451</v>
      </c>
      <c r="C327" s="61">
        <v>45824.0</v>
      </c>
      <c r="D327" s="61">
        <v>45824.0</v>
      </c>
      <c r="E327" s="60" t="s">
        <v>452</v>
      </c>
      <c r="F327" s="104" t="s">
        <v>1207</v>
      </c>
      <c r="G327" s="63"/>
      <c r="H327" s="64" t="s">
        <v>454</v>
      </c>
      <c r="I327" s="64" t="s">
        <v>706</v>
      </c>
      <c r="J327" s="64" t="s">
        <v>456</v>
      </c>
      <c r="K327" s="64" t="s">
        <v>456</v>
      </c>
      <c r="L327" s="64">
        <v>22.0</v>
      </c>
      <c r="M327" s="64">
        <v>22.0</v>
      </c>
      <c r="N327" s="64" t="s">
        <v>457</v>
      </c>
      <c r="O327" s="64">
        <v>24.0</v>
      </c>
      <c r="P327" s="64" t="s">
        <v>1208</v>
      </c>
      <c r="Q327" s="66" t="s">
        <v>459</v>
      </c>
      <c r="R327" s="66" t="s">
        <v>459</v>
      </c>
      <c r="S327" s="66">
        <v>296.0</v>
      </c>
      <c r="T327" s="66">
        <v>3256.0</v>
      </c>
      <c r="U327" s="66">
        <v>296.0</v>
      </c>
      <c r="V327" s="64">
        <v>3256.0</v>
      </c>
      <c r="W327" s="64">
        <v>3256.0</v>
      </c>
      <c r="X327" s="76" t="s">
        <v>460</v>
      </c>
      <c r="Y327" s="64" t="s">
        <v>461</v>
      </c>
      <c r="Z327" s="64" t="s">
        <v>462</v>
      </c>
      <c r="AA327" s="64" t="s">
        <v>463</v>
      </c>
      <c r="AB327" s="64" t="s">
        <v>464</v>
      </c>
      <c r="AC327" s="64" t="s">
        <v>451</v>
      </c>
      <c r="AD327" s="64" t="s">
        <v>465</v>
      </c>
      <c r="AE327" s="64" t="s">
        <v>466</v>
      </c>
      <c r="AF327" s="66" t="s">
        <v>466</v>
      </c>
      <c r="AG327" s="66" t="s">
        <v>467</v>
      </c>
      <c r="AH327" s="66" t="s">
        <v>467</v>
      </c>
      <c r="AI327" s="66">
        <v>735.0</v>
      </c>
      <c r="AJ327" s="66">
        <v>21.5</v>
      </c>
      <c r="AK327" s="84">
        <v>15802.5</v>
      </c>
      <c r="AL327" s="77"/>
      <c r="AM327" s="63"/>
      <c r="AN327" s="64">
        <v>21.5</v>
      </c>
      <c r="AO327" s="60" t="s">
        <v>468</v>
      </c>
      <c r="AP327" s="63"/>
      <c r="AQ327" s="63"/>
      <c r="AR327" s="63"/>
      <c r="AS327" s="63"/>
      <c r="AT327" s="63"/>
      <c r="AU327" s="63"/>
      <c r="AV327" s="68"/>
      <c r="AW327" s="58" t="s">
        <v>512</v>
      </c>
      <c r="AX327" s="69">
        <v>15802.5</v>
      </c>
      <c r="AY327" s="70"/>
      <c r="AZ327" s="70"/>
      <c r="BA327" s="70"/>
      <c r="BB327" s="70"/>
      <c r="BC327" s="58" t="s">
        <v>469</v>
      </c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  <c r="BQ327" s="58"/>
      <c r="BR327" s="58"/>
    </row>
    <row r="328">
      <c r="A328" s="105">
        <v>45824.0</v>
      </c>
      <c r="B328" s="66" t="s">
        <v>451</v>
      </c>
      <c r="C328" s="61">
        <v>45824.0</v>
      </c>
      <c r="D328" s="61">
        <v>45824.0</v>
      </c>
      <c r="E328" s="64" t="s">
        <v>452</v>
      </c>
      <c r="F328" s="104" t="s">
        <v>1209</v>
      </c>
      <c r="G328" s="63"/>
      <c r="H328" s="64" t="s">
        <v>472</v>
      </c>
      <c r="I328" s="64" t="s">
        <v>588</v>
      </c>
      <c r="J328" s="64" t="s">
        <v>456</v>
      </c>
      <c r="K328" s="64" t="s">
        <v>456</v>
      </c>
      <c r="L328" s="64">
        <v>22.0</v>
      </c>
      <c r="M328" s="64">
        <v>22.0</v>
      </c>
      <c r="N328" s="64" t="s">
        <v>457</v>
      </c>
      <c r="O328" s="64">
        <v>24.0</v>
      </c>
      <c r="P328" s="64" t="s">
        <v>1210</v>
      </c>
      <c r="Q328" s="64" t="s">
        <v>459</v>
      </c>
      <c r="R328" s="64" t="s">
        <v>459</v>
      </c>
      <c r="S328" s="64">
        <v>204.0</v>
      </c>
      <c r="T328" s="64">
        <v>2244.0</v>
      </c>
      <c r="U328" s="64">
        <v>204.0</v>
      </c>
      <c r="V328" s="64">
        <v>2244.0</v>
      </c>
      <c r="W328" s="64">
        <v>2244.0</v>
      </c>
      <c r="X328" s="65" t="s">
        <v>460</v>
      </c>
      <c r="Y328" s="64" t="s">
        <v>461</v>
      </c>
      <c r="Z328" s="64" t="s">
        <v>462</v>
      </c>
      <c r="AA328" s="64" t="s">
        <v>463</v>
      </c>
      <c r="AB328" s="64" t="s">
        <v>464</v>
      </c>
      <c r="AC328" s="64" t="s">
        <v>451</v>
      </c>
      <c r="AD328" s="66" t="s">
        <v>475</v>
      </c>
      <c r="AE328" s="66" t="s">
        <v>476</v>
      </c>
      <c r="AF328" s="66" t="s">
        <v>476</v>
      </c>
      <c r="AG328" s="64" t="s">
        <v>467</v>
      </c>
      <c r="AH328" s="64" t="s">
        <v>467</v>
      </c>
      <c r="AI328" s="64">
        <v>650.0</v>
      </c>
      <c r="AJ328" s="66">
        <v>21.5</v>
      </c>
      <c r="AK328" s="67">
        <v>13975.0</v>
      </c>
      <c r="AL328" s="63"/>
      <c r="AM328" s="63"/>
      <c r="AN328" s="64">
        <v>21.5</v>
      </c>
      <c r="AO328" s="64" t="s">
        <v>468</v>
      </c>
      <c r="AP328" s="63"/>
      <c r="AQ328" s="63"/>
      <c r="AR328" s="63"/>
      <c r="AS328" s="63"/>
      <c r="AT328" s="63"/>
      <c r="AU328" s="63"/>
      <c r="AV328" s="63"/>
      <c r="AW328" s="58" t="s">
        <v>512</v>
      </c>
      <c r="AX328" s="69">
        <v>13975.0</v>
      </c>
      <c r="AY328" s="70"/>
      <c r="AZ328" s="70"/>
      <c r="BA328" s="70"/>
      <c r="BB328" s="70"/>
      <c r="BC328" s="58" t="s">
        <v>469</v>
      </c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  <c r="BQ328" s="58"/>
      <c r="BR328" s="58"/>
    </row>
    <row r="329">
      <c r="A329" s="106">
        <v>45824.0</v>
      </c>
      <c r="B329" s="64" t="s">
        <v>451</v>
      </c>
      <c r="C329" s="107">
        <v>45824.0</v>
      </c>
      <c r="D329" s="107">
        <v>45824.0</v>
      </c>
      <c r="E329" s="66" t="s">
        <v>452</v>
      </c>
      <c r="F329" s="108" t="s">
        <v>1211</v>
      </c>
      <c r="G329" s="77"/>
      <c r="H329" s="66" t="s">
        <v>472</v>
      </c>
      <c r="I329" s="66" t="s">
        <v>779</v>
      </c>
      <c r="J329" s="66" t="s">
        <v>456</v>
      </c>
      <c r="K329" s="66" t="s">
        <v>456</v>
      </c>
      <c r="L329" s="66">
        <v>22.0</v>
      </c>
      <c r="M329" s="66">
        <v>22.0</v>
      </c>
      <c r="N329" s="66" t="s">
        <v>457</v>
      </c>
      <c r="O329" s="66">
        <v>24.0</v>
      </c>
      <c r="P329" s="66" t="s">
        <v>1212</v>
      </c>
      <c r="Q329" s="64" t="s">
        <v>459</v>
      </c>
      <c r="R329" s="64" t="s">
        <v>459</v>
      </c>
      <c r="S329" s="64">
        <v>232.0</v>
      </c>
      <c r="T329" s="64">
        <v>2552.0</v>
      </c>
      <c r="U329" s="66">
        <v>232.0</v>
      </c>
      <c r="V329" s="66">
        <v>2552.0</v>
      </c>
      <c r="W329" s="66">
        <v>2552.0</v>
      </c>
      <c r="X329" s="65" t="s">
        <v>460</v>
      </c>
      <c r="Y329" s="66" t="s">
        <v>461</v>
      </c>
      <c r="Z329" s="66" t="s">
        <v>462</v>
      </c>
      <c r="AA329" s="66" t="s">
        <v>463</v>
      </c>
      <c r="AB329" s="66" t="s">
        <v>464</v>
      </c>
      <c r="AC329" s="66" t="s">
        <v>451</v>
      </c>
      <c r="AD329" s="64" t="s">
        <v>481</v>
      </c>
      <c r="AE329" s="64" t="s">
        <v>482</v>
      </c>
      <c r="AF329" s="64" t="s">
        <v>482</v>
      </c>
      <c r="AG329" s="64" t="s">
        <v>467</v>
      </c>
      <c r="AH329" s="64" t="s">
        <v>467</v>
      </c>
      <c r="AI329" s="64">
        <v>655.0</v>
      </c>
      <c r="AJ329" s="64">
        <v>21.5</v>
      </c>
      <c r="AK329" s="67">
        <v>14082.5</v>
      </c>
      <c r="AL329" s="63"/>
      <c r="AM329" s="63"/>
      <c r="AN329" s="64">
        <v>21.5</v>
      </c>
      <c r="AO329" s="64" t="s">
        <v>468</v>
      </c>
      <c r="AP329" s="63"/>
      <c r="AQ329" s="63"/>
      <c r="AR329" s="63"/>
      <c r="AS329" s="63"/>
      <c r="AT329" s="63"/>
      <c r="AU329" s="63"/>
      <c r="AV329" s="68"/>
      <c r="AW329" s="58" t="s">
        <v>512</v>
      </c>
      <c r="AX329" s="69">
        <v>14082.5</v>
      </c>
      <c r="AY329" s="70"/>
      <c r="AZ329" s="70"/>
      <c r="BA329" s="70"/>
      <c r="BB329" s="70"/>
      <c r="BC329" s="58" t="s">
        <v>469</v>
      </c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</row>
    <row r="330">
      <c r="A330" s="105">
        <v>45824.0</v>
      </c>
      <c r="B330" s="66" t="s">
        <v>451</v>
      </c>
      <c r="C330" s="61">
        <v>45824.0</v>
      </c>
      <c r="D330" s="61">
        <v>45824.0</v>
      </c>
      <c r="E330" s="64" t="s">
        <v>452</v>
      </c>
      <c r="F330" s="104" t="s">
        <v>1213</v>
      </c>
      <c r="G330" s="63"/>
      <c r="H330" s="64" t="s">
        <v>472</v>
      </c>
      <c r="I330" s="64" t="s">
        <v>629</v>
      </c>
      <c r="J330" s="64" t="s">
        <v>486</v>
      </c>
      <c r="K330" s="64" t="s">
        <v>486</v>
      </c>
      <c r="L330" s="64">
        <v>22.0</v>
      </c>
      <c r="M330" s="64">
        <v>22.0</v>
      </c>
      <c r="N330" s="64" t="s">
        <v>457</v>
      </c>
      <c r="O330" s="64">
        <v>24.0</v>
      </c>
      <c r="P330" s="64" t="s">
        <v>1214</v>
      </c>
      <c r="Q330" s="64" t="s">
        <v>459</v>
      </c>
      <c r="R330" s="64" t="s">
        <v>459</v>
      </c>
      <c r="S330" s="64">
        <v>101.0</v>
      </c>
      <c r="T330" s="64">
        <v>1111.0</v>
      </c>
      <c r="U330" s="64">
        <v>101.0</v>
      </c>
      <c r="V330" s="64">
        <v>1111.0</v>
      </c>
      <c r="W330" s="64">
        <v>1111.0</v>
      </c>
      <c r="X330" s="65" t="s">
        <v>460</v>
      </c>
      <c r="Y330" s="64" t="s">
        <v>461</v>
      </c>
      <c r="Z330" s="64" t="s">
        <v>462</v>
      </c>
      <c r="AA330" s="64" t="s">
        <v>463</v>
      </c>
      <c r="AB330" s="64" t="s">
        <v>464</v>
      </c>
      <c r="AC330" s="64" t="s">
        <v>451</v>
      </c>
      <c r="AD330" s="66" t="s">
        <v>488</v>
      </c>
      <c r="AE330" s="66" t="s">
        <v>489</v>
      </c>
      <c r="AF330" s="66" t="s">
        <v>489</v>
      </c>
      <c r="AG330" s="64" t="s">
        <v>467</v>
      </c>
      <c r="AH330" s="64" t="s">
        <v>467</v>
      </c>
      <c r="AI330" s="64">
        <v>760.0</v>
      </c>
      <c r="AJ330" s="64">
        <v>23.5</v>
      </c>
      <c r="AK330" s="67">
        <v>17860.0</v>
      </c>
      <c r="AL330" s="63"/>
      <c r="AM330" s="63"/>
      <c r="AN330" s="64">
        <v>23.5</v>
      </c>
      <c r="AO330" s="60" t="s">
        <v>468</v>
      </c>
      <c r="AP330" s="63"/>
      <c r="AQ330" s="63"/>
      <c r="AR330" s="63"/>
      <c r="AS330" s="63"/>
      <c r="AT330" s="63"/>
      <c r="AU330" s="63"/>
      <c r="AV330" s="63"/>
      <c r="AW330" s="58" t="s">
        <v>512</v>
      </c>
      <c r="AX330" s="69">
        <v>17860.0</v>
      </c>
      <c r="AY330" s="70"/>
      <c r="AZ330" s="70"/>
      <c r="BA330" s="70"/>
      <c r="BB330" s="70"/>
      <c r="BC330" s="58" t="s">
        <v>469</v>
      </c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</row>
    <row r="331">
      <c r="A331" s="106">
        <v>45824.0</v>
      </c>
      <c r="B331" s="64" t="s">
        <v>451</v>
      </c>
      <c r="C331" s="107">
        <v>45824.0</v>
      </c>
      <c r="D331" s="107">
        <v>45824.0</v>
      </c>
      <c r="E331" s="66" t="s">
        <v>452</v>
      </c>
      <c r="F331" s="108" t="s">
        <v>1215</v>
      </c>
      <c r="G331" s="77"/>
      <c r="H331" s="66" t="s">
        <v>492</v>
      </c>
      <c r="I331" s="66" t="s">
        <v>593</v>
      </c>
      <c r="J331" s="66" t="s">
        <v>456</v>
      </c>
      <c r="K331" s="66" t="s">
        <v>456</v>
      </c>
      <c r="L331" s="66">
        <v>28.0</v>
      </c>
      <c r="M331" s="66">
        <v>28.0</v>
      </c>
      <c r="N331" s="66" t="s">
        <v>457</v>
      </c>
      <c r="O331" s="66">
        <v>24.0</v>
      </c>
      <c r="P331" s="66" t="s">
        <v>1216</v>
      </c>
      <c r="Q331" s="64" t="s">
        <v>459</v>
      </c>
      <c r="R331" s="64" t="s">
        <v>459</v>
      </c>
      <c r="S331" s="64">
        <v>534.0</v>
      </c>
      <c r="T331" s="64">
        <v>5874.0</v>
      </c>
      <c r="U331" s="66">
        <v>534.0</v>
      </c>
      <c r="V331" s="66">
        <v>5874.0</v>
      </c>
      <c r="W331" s="66">
        <v>5874.0</v>
      </c>
      <c r="X331" s="65" t="s">
        <v>460</v>
      </c>
      <c r="Y331" s="66" t="s">
        <v>461</v>
      </c>
      <c r="Z331" s="66" t="s">
        <v>462</v>
      </c>
      <c r="AA331" s="66" t="s">
        <v>463</v>
      </c>
      <c r="AB331" s="66" t="s">
        <v>464</v>
      </c>
      <c r="AC331" s="66" t="s">
        <v>451</v>
      </c>
      <c r="AD331" s="64" t="s">
        <v>495</v>
      </c>
      <c r="AE331" s="64" t="s">
        <v>496</v>
      </c>
      <c r="AF331" s="64" t="s">
        <v>496</v>
      </c>
      <c r="AG331" s="64" t="s">
        <v>467</v>
      </c>
      <c r="AH331" s="64" t="s">
        <v>467</v>
      </c>
      <c r="AI331" s="64">
        <v>570.0</v>
      </c>
      <c r="AJ331" s="60">
        <v>23.5</v>
      </c>
      <c r="AK331" s="67">
        <v>13395.0</v>
      </c>
      <c r="AL331" s="63"/>
      <c r="AM331" s="63"/>
      <c r="AN331" s="64">
        <v>23.5</v>
      </c>
      <c r="AO331" s="64" t="s">
        <v>468</v>
      </c>
      <c r="AP331" s="63"/>
      <c r="AQ331" s="63"/>
      <c r="AR331" s="63"/>
      <c r="AS331" s="63"/>
      <c r="AT331" s="63"/>
      <c r="AU331" s="63"/>
      <c r="AV331" s="63"/>
      <c r="AW331" s="58" t="s">
        <v>512</v>
      </c>
      <c r="AX331" s="69">
        <v>13395.0</v>
      </c>
      <c r="AY331" s="70"/>
      <c r="AZ331" s="70"/>
      <c r="BA331" s="70"/>
      <c r="BB331" s="70"/>
      <c r="BC331" s="58" t="s">
        <v>469</v>
      </c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8"/>
      <c r="BR331" s="58"/>
    </row>
    <row r="332">
      <c r="A332" s="105">
        <v>45824.0</v>
      </c>
      <c r="B332" s="66" t="s">
        <v>451</v>
      </c>
      <c r="C332" s="61">
        <v>45824.0</v>
      </c>
      <c r="D332" s="61">
        <v>45824.0</v>
      </c>
      <c r="E332" s="64" t="s">
        <v>452</v>
      </c>
      <c r="F332" s="104" t="s">
        <v>1217</v>
      </c>
      <c r="G332" s="63"/>
      <c r="H332" s="64" t="s">
        <v>1218</v>
      </c>
      <c r="I332" s="64" t="s">
        <v>1219</v>
      </c>
      <c r="J332" s="64" t="s">
        <v>486</v>
      </c>
      <c r="K332" s="64" t="s">
        <v>486</v>
      </c>
      <c r="L332" s="64">
        <v>22.0</v>
      </c>
      <c r="M332" s="64">
        <v>22.0</v>
      </c>
      <c r="N332" s="64" t="s">
        <v>457</v>
      </c>
      <c r="O332" s="64">
        <v>24.0</v>
      </c>
      <c r="P332" s="64" t="s">
        <v>1220</v>
      </c>
      <c r="Q332" s="64" t="s">
        <v>459</v>
      </c>
      <c r="R332" s="64" t="s">
        <v>459</v>
      </c>
      <c r="S332" s="64">
        <v>157.0</v>
      </c>
      <c r="T332" s="64">
        <v>1727.0</v>
      </c>
      <c r="U332" s="64">
        <v>157.0</v>
      </c>
      <c r="V332" s="64">
        <v>1727.0</v>
      </c>
      <c r="W332" s="64">
        <v>1727.0</v>
      </c>
      <c r="X332" s="65" t="s">
        <v>460</v>
      </c>
      <c r="Y332" s="64" t="s">
        <v>461</v>
      </c>
      <c r="Z332" s="64" t="s">
        <v>462</v>
      </c>
      <c r="AA332" s="64" t="s">
        <v>463</v>
      </c>
      <c r="AB332" s="64" t="s">
        <v>464</v>
      </c>
      <c r="AC332" s="64" t="s">
        <v>451</v>
      </c>
      <c r="AD332" s="66" t="s">
        <v>501</v>
      </c>
      <c r="AE332" s="66" t="s">
        <v>470</v>
      </c>
      <c r="AF332" s="66" t="s">
        <v>470</v>
      </c>
      <c r="AG332" s="64" t="s">
        <v>467</v>
      </c>
      <c r="AH332" s="64" t="s">
        <v>467</v>
      </c>
      <c r="AI332" s="64">
        <v>380.0</v>
      </c>
      <c r="AJ332" s="64">
        <v>23.5</v>
      </c>
      <c r="AK332" s="67">
        <v>8930.0</v>
      </c>
      <c r="AL332" s="63"/>
      <c r="AM332" s="63"/>
      <c r="AN332" s="64">
        <v>23.5</v>
      </c>
      <c r="AO332" s="64" t="s">
        <v>468</v>
      </c>
      <c r="AP332" s="63"/>
      <c r="AQ332" s="63"/>
      <c r="AR332" s="63"/>
      <c r="AS332" s="63"/>
      <c r="AT332" s="63"/>
      <c r="AU332" s="63"/>
      <c r="AV332" s="68"/>
      <c r="AW332" s="58" t="s">
        <v>512</v>
      </c>
      <c r="AX332" s="69">
        <v>8930.0</v>
      </c>
      <c r="AY332" s="70"/>
      <c r="AZ332" s="70"/>
      <c r="BA332" s="70"/>
      <c r="BB332" s="70"/>
      <c r="BC332" s="58" t="s">
        <v>469</v>
      </c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  <c r="BN332" s="58"/>
      <c r="BO332" s="58"/>
      <c r="BP332" s="58"/>
      <c r="BQ332" s="58"/>
      <c r="BR332" s="58"/>
    </row>
    <row r="333">
      <c r="A333" s="106">
        <v>45824.0</v>
      </c>
      <c r="B333" s="64" t="s">
        <v>451</v>
      </c>
      <c r="C333" s="107">
        <v>45824.0</v>
      </c>
      <c r="D333" s="107">
        <v>45824.0</v>
      </c>
      <c r="E333" s="66" t="s">
        <v>452</v>
      </c>
      <c r="F333" s="108" t="s">
        <v>1221</v>
      </c>
      <c r="G333" s="77"/>
      <c r="H333" s="66" t="s">
        <v>492</v>
      </c>
      <c r="I333" s="66" t="s">
        <v>600</v>
      </c>
      <c r="J333" s="66" t="s">
        <v>456</v>
      </c>
      <c r="K333" s="66" t="s">
        <v>456</v>
      </c>
      <c r="L333" s="66">
        <v>22.0</v>
      </c>
      <c r="M333" s="66">
        <v>22.0</v>
      </c>
      <c r="N333" s="66" t="s">
        <v>457</v>
      </c>
      <c r="O333" s="66">
        <v>24.0</v>
      </c>
      <c r="P333" s="66" t="s">
        <v>1222</v>
      </c>
      <c r="Q333" s="64" t="s">
        <v>459</v>
      </c>
      <c r="R333" s="64" t="s">
        <v>459</v>
      </c>
      <c r="S333" s="64">
        <v>147.0</v>
      </c>
      <c r="T333" s="64">
        <v>1617.0</v>
      </c>
      <c r="U333" s="66">
        <v>147.0</v>
      </c>
      <c r="V333" s="66">
        <v>1617.0</v>
      </c>
      <c r="W333" s="66">
        <v>1617.0</v>
      </c>
      <c r="X333" s="65" t="s">
        <v>460</v>
      </c>
      <c r="Y333" s="66" t="s">
        <v>461</v>
      </c>
      <c r="Z333" s="66" t="s">
        <v>462</v>
      </c>
      <c r="AA333" s="66" t="s">
        <v>463</v>
      </c>
      <c r="AB333" s="66" t="s">
        <v>464</v>
      </c>
      <c r="AC333" s="66" t="s">
        <v>451</v>
      </c>
      <c r="AD333" s="64" t="s">
        <v>601</v>
      </c>
      <c r="AE333" s="64" t="s">
        <v>547</v>
      </c>
      <c r="AF333" s="64" t="s">
        <v>547</v>
      </c>
      <c r="AG333" s="64" t="s">
        <v>467</v>
      </c>
      <c r="AH333" s="64" t="s">
        <v>467</v>
      </c>
      <c r="AI333" s="64">
        <v>770.0</v>
      </c>
      <c r="AJ333" s="64">
        <v>21.5</v>
      </c>
      <c r="AK333" s="67">
        <v>16555.0</v>
      </c>
      <c r="AL333" s="63"/>
      <c r="AM333" s="63"/>
      <c r="AN333" s="64">
        <v>21.5</v>
      </c>
      <c r="AO333" s="64" t="s">
        <v>468</v>
      </c>
      <c r="AP333" s="63"/>
      <c r="AQ333" s="63"/>
      <c r="AR333" s="63"/>
      <c r="AS333" s="63"/>
      <c r="AT333" s="63"/>
      <c r="AU333" s="63"/>
      <c r="AV333" s="63"/>
      <c r="AW333" s="58" t="s">
        <v>512</v>
      </c>
      <c r="AX333" s="69">
        <v>16555.0</v>
      </c>
      <c r="AY333" s="70"/>
      <c r="AZ333" s="70"/>
      <c r="BA333" s="70"/>
      <c r="BB333" s="70"/>
      <c r="BC333" s="58" t="s">
        <v>469</v>
      </c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8"/>
      <c r="BR333" s="58"/>
    </row>
    <row r="334">
      <c r="A334" s="105">
        <v>45824.0</v>
      </c>
      <c r="B334" s="66" t="s">
        <v>451</v>
      </c>
      <c r="C334" s="61">
        <v>45824.0</v>
      </c>
      <c r="D334" s="61">
        <v>45824.0</v>
      </c>
      <c r="E334" s="64" t="s">
        <v>452</v>
      </c>
      <c r="F334" s="104" t="s">
        <v>1223</v>
      </c>
      <c r="G334" s="63"/>
      <c r="H334" s="64" t="s">
        <v>492</v>
      </c>
      <c r="I334" s="64" t="s">
        <v>1119</v>
      </c>
      <c r="J334" s="64" t="s">
        <v>486</v>
      </c>
      <c r="K334" s="64" t="s">
        <v>486</v>
      </c>
      <c r="L334" s="64">
        <v>22.0</v>
      </c>
      <c r="M334" s="64">
        <v>32.0</v>
      </c>
      <c r="N334" s="64" t="s">
        <v>540</v>
      </c>
      <c r="O334" s="64">
        <v>24.0</v>
      </c>
      <c r="P334" s="64" t="s">
        <v>1224</v>
      </c>
      <c r="Q334" s="64" t="s">
        <v>459</v>
      </c>
      <c r="R334" s="64" t="s">
        <v>459</v>
      </c>
      <c r="S334" s="64">
        <v>206.0</v>
      </c>
      <c r="T334" s="64">
        <v>2266.0</v>
      </c>
      <c r="U334" s="64">
        <v>206.0</v>
      </c>
      <c r="V334" s="64">
        <v>2266.0</v>
      </c>
      <c r="W334" s="64">
        <v>2266.0</v>
      </c>
      <c r="X334" s="65" t="s">
        <v>460</v>
      </c>
      <c r="Y334" s="64" t="s">
        <v>461</v>
      </c>
      <c r="Z334" s="64" t="s">
        <v>462</v>
      </c>
      <c r="AA334" s="64" t="s">
        <v>463</v>
      </c>
      <c r="AB334" s="64" t="s">
        <v>464</v>
      </c>
      <c r="AC334" s="64" t="s">
        <v>451</v>
      </c>
      <c r="AD334" s="66" t="s">
        <v>715</v>
      </c>
      <c r="AE334" s="66" t="s">
        <v>519</v>
      </c>
      <c r="AF334" s="66" t="s">
        <v>513</v>
      </c>
      <c r="AG334" s="64" t="s">
        <v>467</v>
      </c>
      <c r="AH334" s="64" t="s">
        <v>467</v>
      </c>
      <c r="AI334" s="64">
        <v>780.0</v>
      </c>
      <c r="AJ334" s="64">
        <v>23.5</v>
      </c>
      <c r="AK334" s="67">
        <v>18330.0</v>
      </c>
      <c r="AL334" s="63"/>
      <c r="AM334" s="63"/>
      <c r="AN334" s="64">
        <v>23.5</v>
      </c>
      <c r="AO334" s="64" t="s">
        <v>468</v>
      </c>
      <c r="AP334" s="63"/>
      <c r="AQ334" s="63"/>
      <c r="AR334" s="63"/>
      <c r="AS334" s="63"/>
      <c r="AT334" s="63"/>
      <c r="AU334" s="63"/>
      <c r="AV334" s="63"/>
      <c r="AW334" s="58" t="s">
        <v>512</v>
      </c>
      <c r="AX334" s="69">
        <v>18330.0</v>
      </c>
      <c r="AY334" s="70"/>
      <c r="AZ334" s="70"/>
      <c r="BA334" s="70"/>
      <c r="BB334" s="70"/>
      <c r="BC334" s="58" t="s">
        <v>469</v>
      </c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  <c r="BN334" s="58"/>
      <c r="BO334" s="58"/>
      <c r="BP334" s="58"/>
      <c r="BQ334" s="58"/>
      <c r="BR334" s="58"/>
    </row>
    <row r="335">
      <c r="A335" s="106">
        <v>45824.0</v>
      </c>
      <c r="B335" s="64" t="s">
        <v>451</v>
      </c>
      <c r="C335" s="107">
        <v>45824.0</v>
      </c>
      <c r="D335" s="107">
        <v>45824.0</v>
      </c>
      <c r="E335" s="66" t="s">
        <v>452</v>
      </c>
      <c r="F335" s="108" t="s">
        <v>1225</v>
      </c>
      <c r="G335" s="77"/>
      <c r="H335" s="66" t="s">
        <v>504</v>
      </c>
      <c r="I335" s="66" t="s">
        <v>603</v>
      </c>
      <c r="J335" s="66" t="s">
        <v>456</v>
      </c>
      <c r="K335" s="66" t="s">
        <v>456</v>
      </c>
      <c r="L335" s="66">
        <v>22.0</v>
      </c>
      <c r="M335" s="66">
        <v>22.0</v>
      </c>
      <c r="N335" s="66" t="s">
        <v>457</v>
      </c>
      <c r="O335" s="66">
        <v>24.0</v>
      </c>
      <c r="P335" s="66" t="s">
        <v>1226</v>
      </c>
      <c r="Q335" s="64" t="s">
        <v>459</v>
      </c>
      <c r="R335" s="64" t="s">
        <v>459</v>
      </c>
      <c r="S335" s="64">
        <v>208.0</v>
      </c>
      <c r="T335" s="64">
        <v>2288.0</v>
      </c>
      <c r="U335" s="66">
        <v>208.0</v>
      </c>
      <c r="V335" s="66">
        <v>2288.0</v>
      </c>
      <c r="W335" s="66">
        <v>2288.0</v>
      </c>
      <c r="X335" s="65" t="s">
        <v>460</v>
      </c>
      <c r="Y335" s="66" t="s">
        <v>461</v>
      </c>
      <c r="Z335" s="66" t="s">
        <v>462</v>
      </c>
      <c r="AA335" s="66" t="s">
        <v>463</v>
      </c>
      <c r="AB335" s="66" t="s">
        <v>464</v>
      </c>
      <c r="AC335" s="66" t="s">
        <v>451</v>
      </c>
      <c r="AD335" s="64" t="s">
        <v>507</v>
      </c>
      <c r="AE335" s="64" t="s">
        <v>508</v>
      </c>
      <c r="AF335" s="64" t="s">
        <v>509</v>
      </c>
      <c r="AG335" s="64" t="s">
        <v>467</v>
      </c>
      <c r="AH335" s="64" t="s">
        <v>467</v>
      </c>
      <c r="AI335" s="66">
        <v>790.0</v>
      </c>
      <c r="AJ335" s="66">
        <v>21.5</v>
      </c>
      <c r="AK335" s="67">
        <v>16985.0</v>
      </c>
      <c r="AL335" s="63"/>
      <c r="AM335" s="63"/>
      <c r="AN335" s="64">
        <v>21.5</v>
      </c>
      <c r="AO335" s="64" t="s">
        <v>468</v>
      </c>
      <c r="AP335" s="63"/>
      <c r="AQ335" s="63"/>
      <c r="AR335" s="63"/>
      <c r="AS335" s="73">
        <v>0.5</v>
      </c>
      <c r="AT335" s="64">
        <v>8492.5</v>
      </c>
      <c r="AU335" s="60" t="s">
        <v>510</v>
      </c>
      <c r="AV335" s="74" t="s">
        <v>511</v>
      </c>
      <c r="AW335" s="58" t="s">
        <v>512</v>
      </c>
      <c r="AX335" s="69">
        <v>8492.5</v>
      </c>
      <c r="AY335" s="70"/>
      <c r="AZ335" s="70"/>
      <c r="BA335" s="69">
        <v>8492.5</v>
      </c>
      <c r="BB335" s="70"/>
      <c r="BC335" s="58" t="s">
        <v>469</v>
      </c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  <c r="BQ335" s="58"/>
      <c r="BR335" s="58"/>
    </row>
    <row r="336">
      <c r="A336" s="105">
        <v>45824.0</v>
      </c>
      <c r="B336" s="66" t="s">
        <v>451</v>
      </c>
      <c r="C336" s="61">
        <v>45824.0</v>
      </c>
      <c r="D336" s="61">
        <v>45824.0</v>
      </c>
      <c r="E336" s="64" t="s">
        <v>452</v>
      </c>
      <c r="F336" s="104" t="s">
        <v>1227</v>
      </c>
      <c r="G336" s="63"/>
      <c r="H336" s="64" t="s">
        <v>504</v>
      </c>
      <c r="I336" s="64" t="s">
        <v>606</v>
      </c>
      <c r="J336" s="64" t="s">
        <v>456</v>
      </c>
      <c r="K336" s="64" t="s">
        <v>456</v>
      </c>
      <c r="L336" s="64">
        <v>22.0</v>
      </c>
      <c r="M336" s="64">
        <v>22.0</v>
      </c>
      <c r="N336" s="64" t="s">
        <v>457</v>
      </c>
      <c r="O336" s="64">
        <v>24.0</v>
      </c>
      <c r="P336" s="75">
        <v>2.45E8</v>
      </c>
      <c r="Q336" s="64" t="s">
        <v>459</v>
      </c>
      <c r="R336" s="64" t="s">
        <v>459</v>
      </c>
      <c r="S336" s="64">
        <v>192.0</v>
      </c>
      <c r="T336" s="64">
        <v>2112.0</v>
      </c>
      <c r="U336" s="64">
        <v>192.0</v>
      </c>
      <c r="V336" s="64">
        <v>2112.0</v>
      </c>
      <c r="W336" s="64">
        <v>2112.0</v>
      </c>
      <c r="X336" s="65" t="s">
        <v>460</v>
      </c>
      <c r="Y336" s="64" t="s">
        <v>461</v>
      </c>
      <c r="Z336" s="64" t="s">
        <v>462</v>
      </c>
      <c r="AA336" s="64" t="s">
        <v>463</v>
      </c>
      <c r="AB336" s="64" t="s">
        <v>464</v>
      </c>
      <c r="AC336" s="64" t="s">
        <v>451</v>
      </c>
      <c r="AD336" s="66" t="s">
        <v>517</v>
      </c>
      <c r="AE336" s="66" t="s">
        <v>518</v>
      </c>
      <c r="AF336" s="66" t="s">
        <v>518</v>
      </c>
      <c r="AG336" s="64" t="s">
        <v>467</v>
      </c>
      <c r="AH336" s="64" t="s">
        <v>467</v>
      </c>
      <c r="AI336" s="64">
        <v>815.0</v>
      </c>
      <c r="AJ336" s="64">
        <v>21.5</v>
      </c>
      <c r="AK336" s="67">
        <v>17522.5</v>
      </c>
      <c r="AL336" s="63"/>
      <c r="AM336" s="63"/>
      <c r="AN336" s="64">
        <v>21.5</v>
      </c>
      <c r="AO336" s="64" t="s">
        <v>468</v>
      </c>
      <c r="AP336" s="63"/>
      <c r="AQ336" s="63"/>
      <c r="AR336" s="63"/>
      <c r="AS336" s="63"/>
      <c r="AT336" s="63"/>
      <c r="AU336" s="63"/>
      <c r="AV336" s="68"/>
      <c r="AW336" s="58" t="s">
        <v>512</v>
      </c>
      <c r="AX336" s="69">
        <v>17522.5</v>
      </c>
      <c r="AY336" s="70"/>
      <c r="AZ336" s="70"/>
      <c r="BA336" s="70"/>
      <c r="BB336" s="70"/>
      <c r="BC336" s="58" t="s">
        <v>469</v>
      </c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  <c r="BN336" s="58"/>
      <c r="BO336" s="58"/>
      <c r="BP336" s="58"/>
      <c r="BQ336" s="58"/>
      <c r="BR336" s="58"/>
    </row>
    <row r="337">
      <c r="A337" s="106">
        <v>45824.0</v>
      </c>
      <c r="B337" s="64" t="s">
        <v>451</v>
      </c>
      <c r="C337" s="107">
        <v>45824.0</v>
      </c>
      <c r="D337" s="107">
        <v>45824.0</v>
      </c>
      <c r="E337" s="66" t="s">
        <v>452</v>
      </c>
      <c r="F337" s="108" t="s">
        <v>1228</v>
      </c>
      <c r="G337" s="77"/>
      <c r="H337" s="66" t="s">
        <v>521</v>
      </c>
      <c r="I337" s="66" t="s">
        <v>608</v>
      </c>
      <c r="J337" s="66" t="s">
        <v>456</v>
      </c>
      <c r="K337" s="66" t="s">
        <v>456</v>
      </c>
      <c r="L337" s="66">
        <v>22.0</v>
      </c>
      <c r="M337" s="66">
        <v>22.0</v>
      </c>
      <c r="N337" s="66" t="s">
        <v>457</v>
      </c>
      <c r="O337" s="66">
        <v>24.0</v>
      </c>
      <c r="P337" s="66" t="s">
        <v>1229</v>
      </c>
      <c r="Q337" s="64" t="s">
        <v>459</v>
      </c>
      <c r="R337" s="64" t="s">
        <v>459</v>
      </c>
      <c r="S337" s="64">
        <v>244.0</v>
      </c>
      <c r="T337" s="64">
        <v>2684.0</v>
      </c>
      <c r="U337" s="66">
        <v>244.0</v>
      </c>
      <c r="V337" s="66">
        <v>2684.0</v>
      </c>
      <c r="W337" s="66">
        <v>2684.0</v>
      </c>
      <c r="X337" s="65" t="s">
        <v>460</v>
      </c>
      <c r="Y337" s="66" t="s">
        <v>461</v>
      </c>
      <c r="Z337" s="66" t="s">
        <v>462</v>
      </c>
      <c r="AA337" s="66" t="s">
        <v>463</v>
      </c>
      <c r="AB337" s="66" t="s">
        <v>464</v>
      </c>
      <c r="AC337" s="66" t="s">
        <v>451</v>
      </c>
      <c r="AD337" s="64" t="s">
        <v>524</v>
      </c>
      <c r="AE337" s="64" t="s">
        <v>483</v>
      </c>
      <c r="AF337" s="64" t="s">
        <v>483</v>
      </c>
      <c r="AG337" s="64" t="s">
        <v>467</v>
      </c>
      <c r="AH337" s="64" t="s">
        <v>467</v>
      </c>
      <c r="AI337" s="66">
        <v>600.0</v>
      </c>
      <c r="AJ337" s="66">
        <v>21.5</v>
      </c>
      <c r="AK337" s="67">
        <v>12900.0</v>
      </c>
      <c r="AL337" s="63"/>
      <c r="AM337" s="63"/>
      <c r="AN337" s="64">
        <v>21.5</v>
      </c>
      <c r="AO337" s="64" t="s">
        <v>468</v>
      </c>
      <c r="AP337" s="63"/>
      <c r="AQ337" s="63"/>
      <c r="AR337" s="63"/>
      <c r="AS337" s="63"/>
      <c r="AT337" s="63"/>
      <c r="AU337" s="63"/>
      <c r="AV337" s="68"/>
      <c r="AW337" s="58" t="s">
        <v>512</v>
      </c>
      <c r="AX337" s="69">
        <v>12900.0</v>
      </c>
      <c r="AY337" s="70"/>
      <c r="AZ337" s="70"/>
      <c r="BA337" s="70"/>
      <c r="BB337" s="70"/>
      <c r="BC337" s="58" t="s">
        <v>469</v>
      </c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  <c r="BN337" s="58"/>
      <c r="BO337" s="58"/>
      <c r="BP337" s="58"/>
      <c r="BQ337" s="58"/>
      <c r="BR337" s="58"/>
    </row>
    <row r="338">
      <c r="A338" s="105">
        <v>45824.0</v>
      </c>
      <c r="B338" s="66" t="s">
        <v>451</v>
      </c>
      <c r="C338" s="61">
        <v>45824.0</v>
      </c>
      <c r="D338" s="61">
        <v>45824.0</v>
      </c>
      <c r="E338" s="64" t="s">
        <v>452</v>
      </c>
      <c r="F338" s="104" t="s">
        <v>1230</v>
      </c>
      <c r="G338" s="63"/>
      <c r="H338" s="64" t="s">
        <v>492</v>
      </c>
      <c r="I338" s="64" t="s">
        <v>527</v>
      </c>
      <c r="J338" s="64" t="s">
        <v>456</v>
      </c>
      <c r="K338" s="64" t="s">
        <v>456</v>
      </c>
      <c r="L338" s="64">
        <v>22.0</v>
      </c>
      <c r="M338" s="64">
        <v>22.0</v>
      </c>
      <c r="N338" s="64" t="s">
        <v>457</v>
      </c>
      <c r="O338" s="64">
        <v>24.0</v>
      </c>
      <c r="P338" s="64" t="s">
        <v>1231</v>
      </c>
      <c r="Q338" s="64" t="s">
        <v>459</v>
      </c>
      <c r="R338" s="64" t="s">
        <v>459</v>
      </c>
      <c r="S338" s="64">
        <v>157.0</v>
      </c>
      <c r="T338" s="64">
        <v>1727.0</v>
      </c>
      <c r="U338" s="64">
        <v>157.0</v>
      </c>
      <c r="V338" s="64">
        <v>1727.0</v>
      </c>
      <c r="W338" s="64">
        <v>1727.0</v>
      </c>
      <c r="X338" s="65" t="s">
        <v>460</v>
      </c>
      <c r="Y338" s="64" t="s">
        <v>461</v>
      </c>
      <c r="Z338" s="64" t="s">
        <v>462</v>
      </c>
      <c r="AA338" s="64" t="s">
        <v>463</v>
      </c>
      <c r="AB338" s="64" t="s">
        <v>464</v>
      </c>
      <c r="AC338" s="64" t="s">
        <v>451</v>
      </c>
      <c r="AD338" s="66" t="s">
        <v>529</v>
      </c>
      <c r="AE338" s="66" t="s">
        <v>530</v>
      </c>
      <c r="AF338" s="66" t="s">
        <v>530</v>
      </c>
      <c r="AG338" s="64" t="s">
        <v>467</v>
      </c>
      <c r="AH338" s="64" t="s">
        <v>467</v>
      </c>
      <c r="AI338" s="66">
        <v>510.0</v>
      </c>
      <c r="AJ338" s="66">
        <v>21.5</v>
      </c>
      <c r="AK338" s="67">
        <v>10965.0</v>
      </c>
      <c r="AL338" s="63"/>
      <c r="AM338" s="63"/>
      <c r="AN338" s="64">
        <v>21.5</v>
      </c>
      <c r="AO338" s="64" t="s">
        <v>468</v>
      </c>
      <c r="AP338" s="63"/>
      <c r="AQ338" s="63"/>
      <c r="AR338" s="63"/>
      <c r="AS338" s="63"/>
      <c r="AT338" s="63"/>
      <c r="AU338" s="63"/>
      <c r="AV338" s="68"/>
      <c r="AW338" s="58" t="s">
        <v>512</v>
      </c>
      <c r="AX338" s="69">
        <v>10965.0</v>
      </c>
      <c r="AY338" s="70"/>
      <c r="AZ338" s="70"/>
      <c r="BA338" s="70"/>
      <c r="BB338" s="70"/>
      <c r="BC338" s="58" t="s">
        <v>469</v>
      </c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  <c r="BQ338" s="58"/>
      <c r="BR338" s="58"/>
    </row>
    <row r="339">
      <c r="A339" s="106">
        <v>45824.0</v>
      </c>
      <c r="B339" s="64" t="s">
        <v>451</v>
      </c>
      <c r="C339" s="107">
        <v>45824.0</v>
      </c>
      <c r="D339" s="107">
        <v>45824.0</v>
      </c>
      <c r="E339" s="66" t="s">
        <v>452</v>
      </c>
      <c r="F339" s="108" t="s">
        <v>1232</v>
      </c>
      <c r="G339" s="77"/>
      <c r="H339" s="66" t="s">
        <v>492</v>
      </c>
      <c r="I339" s="66" t="s">
        <v>533</v>
      </c>
      <c r="J339" s="66" t="s">
        <v>486</v>
      </c>
      <c r="K339" s="66" t="s">
        <v>486</v>
      </c>
      <c r="L339" s="66">
        <v>22.0</v>
      </c>
      <c r="M339" s="66">
        <v>22.0</v>
      </c>
      <c r="N339" s="66" t="s">
        <v>457</v>
      </c>
      <c r="O339" s="66">
        <v>24.0</v>
      </c>
      <c r="P339" s="66" t="s">
        <v>1233</v>
      </c>
      <c r="Q339" s="64" t="s">
        <v>459</v>
      </c>
      <c r="R339" s="64" t="s">
        <v>459</v>
      </c>
      <c r="S339" s="64">
        <v>175.0</v>
      </c>
      <c r="T339" s="64">
        <v>1925.0</v>
      </c>
      <c r="U339" s="66">
        <v>175.0</v>
      </c>
      <c r="V339" s="66">
        <v>1925.0</v>
      </c>
      <c r="W339" s="66">
        <v>1925.0</v>
      </c>
      <c r="X339" s="65" t="s">
        <v>460</v>
      </c>
      <c r="Y339" s="66" t="s">
        <v>461</v>
      </c>
      <c r="Z339" s="66" t="s">
        <v>462</v>
      </c>
      <c r="AA339" s="66" t="s">
        <v>463</v>
      </c>
      <c r="AB339" s="66" t="s">
        <v>464</v>
      </c>
      <c r="AC339" s="66" t="s">
        <v>451</v>
      </c>
      <c r="AD339" s="64" t="s">
        <v>529</v>
      </c>
      <c r="AE339" s="64" t="s">
        <v>535</v>
      </c>
      <c r="AF339" s="64" t="s">
        <v>535</v>
      </c>
      <c r="AG339" s="64" t="s">
        <v>467</v>
      </c>
      <c r="AH339" s="64" t="s">
        <v>467</v>
      </c>
      <c r="AI339" s="66">
        <v>510.0</v>
      </c>
      <c r="AJ339" s="66">
        <v>23.5</v>
      </c>
      <c r="AK339" s="67">
        <v>11985.0</v>
      </c>
      <c r="AL339" s="63"/>
      <c r="AM339" s="63"/>
      <c r="AN339" s="64">
        <v>23.5</v>
      </c>
      <c r="AO339" s="64" t="s">
        <v>468</v>
      </c>
      <c r="AP339" s="63"/>
      <c r="AQ339" s="63"/>
      <c r="AR339" s="63"/>
      <c r="AS339" s="63"/>
      <c r="AT339" s="63"/>
      <c r="AU339" s="63"/>
      <c r="AV339" s="68"/>
      <c r="AW339" s="58" t="s">
        <v>512</v>
      </c>
      <c r="AX339" s="69">
        <v>11985.0</v>
      </c>
      <c r="AY339" s="70"/>
      <c r="AZ339" s="70"/>
      <c r="BA339" s="70"/>
      <c r="BB339" s="70"/>
      <c r="BC339" s="58" t="s">
        <v>469</v>
      </c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8"/>
      <c r="BR339" s="58"/>
    </row>
    <row r="340">
      <c r="A340" s="105">
        <v>45824.0</v>
      </c>
      <c r="B340" s="66" t="s">
        <v>451</v>
      </c>
      <c r="C340" s="61">
        <v>45824.0</v>
      </c>
      <c r="D340" s="61">
        <v>45824.0</v>
      </c>
      <c r="E340" s="64" t="s">
        <v>452</v>
      </c>
      <c r="F340" s="104" t="s">
        <v>1234</v>
      </c>
      <c r="G340" s="63"/>
      <c r="H340" s="64" t="s">
        <v>538</v>
      </c>
      <c r="I340" s="64" t="s">
        <v>539</v>
      </c>
      <c r="J340" s="64" t="s">
        <v>456</v>
      </c>
      <c r="K340" s="64" t="s">
        <v>456</v>
      </c>
      <c r="L340" s="64">
        <v>32.0</v>
      </c>
      <c r="M340" s="64">
        <v>32.0</v>
      </c>
      <c r="N340" s="64" t="s">
        <v>540</v>
      </c>
      <c r="O340" s="64">
        <v>24.0</v>
      </c>
      <c r="P340" s="64" t="s">
        <v>1235</v>
      </c>
      <c r="Q340" s="64" t="s">
        <v>459</v>
      </c>
      <c r="R340" s="64" t="s">
        <v>459</v>
      </c>
      <c r="S340" s="64">
        <v>203.0</v>
      </c>
      <c r="T340" s="64">
        <v>2233.0</v>
      </c>
      <c r="U340" s="64">
        <v>203.0</v>
      </c>
      <c r="V340" s="64">
        <v>2233.0</v>
      </c>
      <c r="W340" s="64">
        <v>2233.0</v>
      </c>
      <c r="X340" s="65" t="s">
        <v>460</v>
      </c>
      <c r="Y340" s="64" t="s">
        <v>461</v>
      </c>
      <c r="Z340" s="64" t="s">
        <v>462</v>
      </c>
      <c r="AA340" s="64" t="s">
        <v>463</v>
      </c>
      <c r="AB340" s="64" t="s">
        <v>464</v>
      </c>
      <c r="AC340" s="64" t="s">
        <v>451</v>
      </c>
      <c r="AD340" s="66" t="s">
        <v>541</v>
      </c>
      <c r="AE340" s="66" t="s">
        <v>490</v>
      </c>
      <c r="AF340" s="66" t="s">
        <v>490</v>
      </c>
      <c r="AG340" s="64" t="s">
        <v>467</v>
      </c>
      <c r="AH340" s="64" t="s">
        <v>467</v>
      </c>
      <c r="AI340" s="66">
        <v>325.0</v>
      </c>
      <c r="AJ340" s="66">
        <v>28.4</v>
      </c>
      <c r="AK340" s="67">
        <v>9213.75</v>
      </c>
      <c r="AL340" s="63"/>
      <c r="AM340" s="63"/>
      <c r="AN340" s="64">
        <v>28.35</v>
      </c>
      <c r="AO340" s="64" t="s">
        <v>468</v>
      </c>
      <c r="AP340" s="63"/>
      <c r="AQ340" s="63"/>
      <c r="AR340" s="63"/>
      <c r="AS340" s="63"/>
      <c r="AT340" s="63"/>
      <c r="AU340" s="63"/>
      <c r="AV340" s="68"/>
      <c r="AW340" s="58" t="s">
        <v>512</v>
      </c>
      <c r="AX340" s="69">
        <v>9213.75</v>
      </c>
      <c r="AY340" s="70"/>
      <c r="AZ340" s="70"/>
      <c r="BA340" s="70"/>
      <c r="BB340" s="70"/>
      <c r="BC340" s="58" t="s">
        <v>469</v>
      </c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8"/>
      <c r="BR340" s="58"/>
    </row>
    <row r="341">
      <c r="A341" s="106">
        <v>45824.0</v>
      </c>
      <c r="B341" s="64" t="s">
        <v>451</v>
      </c>
      <c r="C341" s="107">
        <v>45824.0</v>
      </c>
      <c r="D341" s="107">
        <v>45824.0</v>
      </c>
      <c r="E341" s="66" t="s">
        <v>452</v>
      </c>
      <c r="F341" s="108" t="s">
        <v>1236</v>
      </c>
      <c r="G341" s="77"/>
      <c r="H341" s="66" t="s">
        <v>521</v>
      </c>
      <c r="I341" s="109" t="s">
        <v>914</v>
      </c>
      <c r="J341" s="66" t="s">
        <v>486</v>
      </c>
      <c r="K341" s="66" t="s">
        <v>486</v>
      </c>
      <c r="L341" s="66">
        <v>22.0</v>
      </c>
      <c r="M341" s="66">
        <v>22.0</v>
      </c>
      <c r="N341" s="66" t="s">
        <v>457</v>
      </c>
      <c r="O341" s="66">
        <v>24.0</v>
      </c>
      <c r="P341" s="64" t="s">
        <v>1237</v>
      </c>
      <c r="Q341" s="64" t="s">
        <v>459</v>
      </c>
      <c r="R341" s="64" t="s">
        <v>459</v>
      </c>
      <c r="S341" s="64">
        <v>201.0</v>
      </c>
      <c r="T341" s="64">
        <v>2211.0</v>
      </c>
      <c r="U341" s="64">
        <v>201.0</v>
      </c>
      <c r="V341" s="64">
        <v>2211.0</v>
      </c>
      <c r="W341" s="64">
        <v>2211.0</v>
      </c>
      <c r="X341" s="76" t="s">
        <v>460</v>
      </c>
      <c r="Y341" s="64" t="s">
        <v>461</v>
      </c>
      <c r="Z341" s="64" t="s">
        <v>462</v>
      </c>
      <c r="AA341" s="64" t="s">
        <v>463</v>
      </c>
      <c r="AB341" s="66" t="s">
        <v>464</v>
      </c>
      <c r="AC341" s="66" t="s">
        <v>451</v>
      </c>
      <c r="AD341" s="66" t="s">
        <v>678</v>
      </c>
      <c r="AE341" s="66" t="s">
        <v>643</v>
      </c>
      <c r="AF341" s="66" t="s">
        <v>643</v>
      </c>
      <c r="AG341" s="64" t="s">
        <v>467</v>
      </c>
      <c r="AH341" s="64" t="s">
        <v>467</v>
      </c>
      <c r="AI341" s="64">
        <v>805.0</v>
      </c>
      <c r="AJ341" s="64">
        <v>23.5</v>
      </c>
      <c r="AK341" s="67">
        <v>18917.5</v>
      </c>
      <c r="AL341" s="63"/>
      <c r="AM341" s="63"/>
      <c r="AN341" s="64">
        <v>23.5</v>
      </c>
      <c r="AO341" s="66" t="s">
        <v>468</v>
      </c>
      <c r="AP341" s="63"/>
      <c r="AQ341" s="63"/>
      <c r="AR341" s="63"/>
      <c r="AS341" s="63"/>
      <c r="AT341" s="63"/>
      <c r="AU341" s="63"/>
      <c r="AV341" s="68"/>
      <c r="AW341" s="58" t="s">
        <v>512</v>
      </c>
      <c r="AX341" s="69">
        <v>18917.5</v>
      </c>
      <c r="AY341" s="70"/>
      <c r="AZ341" s="70"/>
      <c r="BA341" s="70"/>
      <c r="BB341" s="70"/>
      <c r="BC341" s="58" t="s">
        <v>469</v>
      </c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8"/>
      <c r="BR341" s="58"/>
    </row>
    <row r="342">
      <c r="A342" s="105">
        <v>45824.0</v>
      </c>
      <c r="B342" s="66" t="s">
        <v>451</v>
      </c>
      <c r="C342" s="61">
        <v>45824.0</v>
      </c>
      <c r="D342" s="61">
        <v>45824.0</v>
      </c>
      <c r="E342" s="64" t="s">
        <v>452</v>
      </c>
      <c r="F342" s="104" t="s">
        <v>1238</v>
      </c>
      <c r="G342" s="63"/>
      <c r="H342" s="64" t="s">
        <v>521</v>
      </c>
      <c r="I342" s="64" t="s">
        <v>615</v>
      </c>
      <c r="J342" s="64" t="s">
        <v>456</v>
      </c>
      <c r="K342" s="64" t="s">
        <v>456</v>
      </c>
      <c r="L342" s="64">
        <v>22.0</v>
      </c>
      <c r="M342" s="64">
        <v>22.0</v>
      </c>
      <c r="N342" s="64" t="s">
        <v>457</v>
      </c>
      <c r="O342" s="64">
        <v>24.0</v>
      </c>
      <c r="P342" s="64" t="s">
        <v>1239</v>
      </c>
      <c r="Q342" s="64" t="s">
        <v>459</v>
      </c>
      <c r="R342" s="64" t="s">
        <v>459</v>
      </c>
      <c r="S342" s="64">
        <v>212.0</v>
      </c>
      <c r="T342" s="64">
        <v>2332.0</v>
      </c>
      <c r="U342" s="64">
        <v>212.0</v>
      </c>
      <c r="V342" s="64">
        <v>2332.0</v>
      </c>
      <c r="W342" s="64">
        <v>2332.0</v>
      </c>
      <c r="X342" s="76" t="s">
        <v>460</v>
      </c>
      <c r="Y342" s="64" t="s">
        <v>461</v>
      </c>
      <c r="Z342" s="64" t="s">
        <v>462</v>
      </c>
      <c r="AA342" s="64" t="s">
        <v>463</v>
      </c>
      <c r="AB342" s="64" t="s">
        <v>464</v>
      </c>
      <c r="AC342" s="64" t="s">
        <v>451</v>
      </c>
      <c r="AD342" s="66" t="s">
        <v>557</v>
      </c>
      <c r="AE342" s="64" t="s">
        <v>525</v>
      </c>
      <c r="AF342" s="64" t="s">
        <v>525</v>
      </c>
      <c r="AG342" s="64" t="s">
        <v>467</v>
      </c>
      <c r="AH342" s="64" t="s">
        <v>467</v>
      </c>
      <c r="AI342" s="66">
        <v>800.0</v>
      </c>
      <c r="AJ342" s="64">
        <v>21.5</v>
      </c>
      <c r="AK342" s="67">
        <v>17200.0</v>
      </c>
      <c r="AL342" s="63"/>
      <c r="AM342" s="63"/>
      <c r="AN342" s="64">
        <v>21.5</v>
      </c>
      <c r="AO342" s="66" t="s">
        <v>468</v>
      </c>
      <c r="AP342" s="63"/>
      <c r="AQ342" s="63"/>
      <c r="AR342" s="63"/>
      <c r="AS342" s="63"/>
      <c r="AT342" s="63"/>
      <c r="AU342" s="63"/>
      <c r="AV342" s="68"/>
      <c r="AW342" s="58" t="s">
        <v>512</v>
      </c>
      <c r="AX342" s="69">
        <v>17200.0</v>
      </c>
      <c r="AY342" s="70"/>
      <c r="AZ342" s="70"/>
      <c r="BA342" s="70"/>
      <c r="BB342" s="70"/>
      <c r="BC342" s="58" t="s">
        <v>469</v>
      </c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  <c r="BN342" s="58"/>
      <c r="BO342" s="58"/>
      <c r="BP342" s="58"/>
      <c r="BQ342" s="58"/>
      <c r="BR342" s="58"/>
    </row>
    <row r="343">
      <c r="A343" s="106">
        <v>45824.0</v>
      </c>
      <c r="B343" s="64" t="s">
        <v>451</v>
      </c>
      <c r="C343" s="107">
        <v>45824.0</v>
      </c>
      <c r="D343" s="107">
        <v>45824.0</v>
      </c>
      <c r="E343" s="66" t="s">
        <v>452</v>
      </c>
      <c r="F343" s="108" t="s">
        <v>1240</v>
      </c>
      <c r="G343" s="77"/>
      <c r="H343" s="66" t="s">
        <v>771</v>
      </c>
      <c r="I343" s="66" t="s">
        <v>772</v>
      </c>
      <c r="J343" s="66" t="s">
        <v>456</v>
      </c>
      <c r="K343" s="66" t="s">
        <v>456</v>
      </c>
      <c r="L343" s="66">
        <v>22.0</v>
      </c>
      <c r="M343" s="66">
        <v>22.0</v>
      </c>
      <c r="N343" s="66" t="s">
        <v>457</v>
      </c>
      <c r="O343" s="66">
        <v>24.0</v>
      </c>
      <c r="P343" s="66" t="s">
        <v>1241</v>
      </c>
      <c r="Q343" s="64" t="s">
        <v>459</v>
      </c>
      <c r="R343" s="64" t="s">
        <v>459</v>
      </c>
      <c r="S343" s="64">
        <v>303.0</v>
      </c>
      <c r="T343" s="64">
        <v>3333.0</v>
      </c>
      <c r="U343" s="66">
        <v>303.0</v>
      </c>
      <c r="V343" s="66">
        <v>3333.0</v>
      </c>
      <c r="W343" s="66">
        <v>3333.0</v>
      </c>
      <c r="X343" s="65" t="s">
        <v>460</v>
      </c>
      <c r="Y343" s="66" t="s">
        <v>461</v>
      </c>
      <c r="Z343" s="66" t="s">
        <v>462</v>
      </c>
      <c r="AA343" s="66" t="s">
        <v>463</v>
      </c>
      <c r="AB343" s="66" t="s">
        <v>464</v>
      </c>
      <c r="AC343" s="66" t="s">
        <v>451</v>
      </c>
      <c r="AD343" s="64" t="s">
        <v>561</v>
      </c>
      <c r="AE343" s="64" t="s">
        <v>562</v>
      </c>
      <c r="AF343" s="64" t="s">
        <v>562</v>
      </c>
      <c r="AG343" s="64" t="s">
        <v>467</v>
      </c>
      <c r="AH343" s="64" t="s">
        <v>467</v>
      </c>
      <c r="AI343" s="60">
        <v>325.0</v>
      </c>
      <c r="AJ343" s="64">
        <v>21.5</v>
      </c>
      <c r="AK343" s="67">
        <v>6987.5</v>
      </c>
      <c r="AL343" s="63"/>
      <c r="AM343" s="63"/>
      <c r="AN343" s="64">
        <v>21.5</v>
      </c>
      <c r="AO343" s="64" t="s">
        <v>468</v>
      </c>
      <c r="AP343" s="63"/>
      <c r="AQ343" s="63"/>
      <c r="AR343" s="63"/>
      <c r="AS343" s="63"/>
      <c r="AT343" s="63"/>
      <c r="AU343" s="63"/>
      <c r="AV343" s="63"/>
      <c r="AW343" s="58" t="s">
        <v>512</v>
      </c>
      <c r="AX343" s="69">
        <v>6987.5</v>
      </c>
      <c r="AY343" s="70"/>
      <c r="AZ343" s="70"/>
      <c r="BA343" s="70"/>
      <c r="BB343" s="70"/>
      <c r="BC343" s="58" t="s">
        <v>469</v>
      </c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8"/>
      <c r="BR343" s="58"/>
    </row>
    <row r="344">
      <c r="A344" s="105">
        <v>45824.0</v>
      </c>
      <c r="B344" s="66" t="s">
        <v>451</v>
      </c>
      <c r="C344" s="61">
        <v>45824.0</v>
      </c>
      <c r="D344" s="61">
        <v>45824.0</v>
      </c>
      <c r="E344" s="64" t="s">
        <v>452</v>
      </c>
      <c r="F344" s="104" t="s">
        <v>1242</v>
      </c>
      <c r="G344" s="63"/>
      <c r="H344" s="64" t="s">
        <v>771</v>
      </c>
      <c r="I344" s="64" t="s">
        <v>775</v>
      </c>
      <c r="J344" s="64" t="s">
        <v>456</v>
      </c>
      <c r="K344" s="64" t="s">
        <v>456</v>
      </c>
      <c r="L344" s="64">
        <v>22.0</v>
      </c>
      <c r="M344" s="64">
        <v>22.0</v>
      </c>
      <c r="N344" s="64" t="s">
        <v>457</v>
      </c>
      <c r="O344" s="64">
        <v>24.0</v>
      </c>
      <c r="P344" s="64" t="s">
        <v>1243</v>
      </c>
      <c r="Q344" s="64" t="s">
        <v>459</v>
      </c>
      <c r="R344" s="64" t="s">
        <v>459</v>
      </c>
      <c r="S344" s="64">
        <v>222.0</v>
      </c>
      <c r="T344" s="64">
        <v>2442.0</v>
      </c>
      <c r="U344" s="64">
        <v>222.0</v>
      </c>
      <c r="V344" s="64">
        <v>2442.0</v>
      </c>
      <c r="W344" s="64">
        <v>2442.0</v>
      </c>
      <c r="X344" s="65" t="s">
        <v>460</v>
      </c>
      <c r="Y344" s="64" t="s">
        <v>461</v>
      </c>
      <c r="Z344" s="64" t="s">
        <v>462</v>
      </c>
      <c r="AA344" s="64" t="s">
        <v>463</v>
      </c>
      <c r="AB344" s="64" t="s">
        <v>464</v>
      </c>
      <c r="AC344" s="64" t="s">
        <v>451</v>
      </c>
      <c r="AD344" s="66" t="s">
        <v>566</v>
      </c>
      <c r="AE344" s="66" t="s">
        <v>567</v>
      </c>
      <c r="AF344" s="66" t="s">
        <v>567</v>
      </c>
      <c r="AG344" s="64" t="s">
        <v>467</v>
      </c>
      <c r="AH344" s="64" t="s">
        <v>467</v>
      </c>
      <c r="AI344" s="64">
        <v>475.0</v>
      </c>
      <c r="AJ344" s="66">
        <v>21.5</v>
      </c>
      <c r="AK344" s="67">
        <v>10212.5</v>
      </c>
      <c r="AL344" s="63"/>
      <c r="AM344" s="63"/>
      <c r="AN344" s="64">
        <v>21.5</v>
      </c>
      <c r="AO344" s="64" t="s">
        <v>468</v>
      </c>
      <c r="AP344" s="63"/>
      <c r="AQ344" s="63"/>
      <c r="AR344" s="63"/>
      <c r="AS344" s="63"/>
      <c r="AT344" s="63"/>
      <c r="AU344" s="63"/>
      <c r="AV344" s="63"/>
      <c r="AW344" s="58" t="s">
        <v>512</v>
      </c>
      <c r="AX344" s="69">
        <v>10212.5</v>
      </c>
      <c r="AY344" s="70"/>
      <c r="AZ344" s="70"/>
      <c r="BA344" s="70"/>
      <c r="BB344" s="70"/>
      <c r="BC344" s="58" t="s">
        <v>469</v>
      </c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8"/>
      <c r="BR344" s="58"/>
    </row>
    <row r="345">
      <c r="A345" s="106">
        <v>45824.0</v>
      </c>
      <c r="B345" s="64" t="s">
        <v>451</v>
      </c>
      <c r="C345" s="107">
        <v>45824.0</v>
      </c>
      <c r="D345" s="107">
        <v>45824.0</v>
      </c>
      <c r="E345" s="66" t="s">
        <v>452</v>
      </c>
      <c r="F345" s="108" t="s">
        <v>1244</v>
      </c>
      <c r="G345" s="77"/>
      <c r="H345" s="66" t="s">
        <v>1245</v>
      </c>
      <c r="I345" s="110" t="s">
        <v>1246</v>
      </c>
      <c r="J345" s="111" t="s">
        <v>486</v>
      </c>
      <c r="K345" s="111" t="s">
        <v>486</v>
      </c>
      <c r="L345" s="66">
        <v>22.0</v>
      </c>
      <c r="M345" s="66">
        <v>22.0</v>
      </c>
      <c r="N345" s="66" t="s">
        <v>457</v>
      </c>
      <c r="O345" s="66">
        <v>24.0</v>
      </c>
      <c r="P345" s="66" t="s">
        <v>1247</v>
      </c>
      <c r="Q345" s="64" t="s">
        <v>459</v>
      </c>
      <c r="R345" s="64" t="s">
        <v>459</v>
      </c>
      <c r="S345" s="64">
        <v>93.0</v>
      </c>
      <c r="T345" s="64">
        <v>1023.0</v>
      </c>
      <c r="U345" s="66">
        <v>93.0</v>
      </c>
      <c r="V345" s="66">
        <v>1023.0</v>
      </c>
      <c r="W345" s="66">
        <v>1023.0</v>
      </c>
      <c r="X345" s="65" t="s">
        <v>460</v>
      </c>
      <c r="Y345" s="66" t="s">
        <v>461</v>
      </c>
      <c r="Z345" s="66" t="s">
        <v>462</v>
      </c>
      <c r="AA345" s="66" t="s">
        <v>463</v>
      </c>
      <c r="AB345" s="66" t="s">
        <v>464</v>
      </c>
      <c r="AC345" s="66" t="s">
        <v>451</v>
      </c>
      <c r="AD345" s="64" t="s">
        <v>566</v>
      </c>
      <c r="AE345" s="64" t="s">
        <v>567</v>
      </c>
      <c r="AF345" s="64" t="s">
        <v>567</v>
      </c>
      <c r="AG345" s="64" t="s">
        <v>467</v>
      </c>
      <c r="AH345" s="64" t="s">
        <v>467</v>
      </c>
      <c r="AI345" s="64">
        <v>475.0</v>
      </c>
      <c r="AJ345" s="66">
        <v>23.5</v>
      </c>
      <c r="AK345" s="67">
        <v>11162.5</v>
      </c>
      <c r="AL345" s="63"/>
      <c r="AM345" s="63"/>
      <c r="AN345" s="64">
        <v>23.5</v>
      </c>
      <c r="AO345" s="64" t="s">
        <v>468</v>
      </c>
      <c r="AP345" s="63"/>
      <c r="AQ345" s="63"/>
      <c r="AR345" s="63"/>
      <c r="AS345" s="63"/>
      <c r="AT345" s="63"/>
      <c r="AU345" s="63"/>
      <c r="AV345" s="63"/>
      <c r="AW345" s="58" t="s">
        <v>512</v>
      </c>
      <c r="AX345" s="69">
        <v>11162.5</v>
      </c>
      <c r="AY345" s="70"/>
      <c r="AZ345" s="70"/>
      <c r="BA345" s="70"/>
      <c r="BB345" s="70"/>
      <c r="BC345" s="58" t="s">
        <v>469</v>
      </c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  <c r="BQ345" s="58"/>
      <c r="BR345" s="58"/>
    </row>
    <row r="346">
      <c r="A346" s="105">
        <v>45824.0</v>
      </c>
      <c r="B346" s="66" t="s">
        <v>451</v>
      </c>
      <c r="C346" s="61">
        <v>45824.0</v>
      </c>
      <c r="D346" s="61">
        <v>45824.0</v>
      </c>
      <c r="E346" s="64" t="s">
        <v>452</v>
      </c>
      <c r="F346" s="104" t="s">
        <v>1248</v>
      </c>
      <c r="G346" s="63"/>
      <c r="H346" s="64" t="s">
        <v>492</v>
      </c>
      <c r="I346" s="64" t="s">
        <v>626</v>
      </c>
      <c r="J346" s="64" t="s">
        <v>456</v>
      </c>
      <c r="K346" s="64" t="s">
        <v>456</v>
      </c>
      <c r="L346" s="64">
        <v>22.0</v>
      </c>
      <c r="M346" s="64">
        <v>22.0</v>
      </c>
      <c r="N346" s="64" t="s">
        <v>457</v>
      </c>
      <c r="O346" s="64">
        <v>24.0</v>
      </c>
      <c r="P346" s="64" t="s">
        <v>1249</v>
      </c>
      <c r="Q346" s="64" t="s">
        <v>459</v>
      </c>
      <c r="R346" s="64" t="s">
        <v>459</v>
      </c>
      <c r="S346" s="64">
        <v>233.0</v>
      </c>
      <c r="T346" s="64">
        <v>2563.0</v>
      </c>
      <c r="U346" s="64">
        <v>233.0</v>
      </c>
      <c r="V346" s="64">
        <v>2563.0</v>
      </c>
      <c r="W346" s="64">
        <v>2563.0</v>
      </c>
      <c r="X346" s="65" t="s">
        <v>460</v>
      </c>
      <c r="Y346" s="64" t="s">
        <v>461</v>
      </c>
      <c r="Z346" s="64" t="s">
        <v>462</v>
      </c>
      <c r="AA346" s="64" t="s">
        <v>463</v>
      </c>
      <c r="AB346" s="64" t="s">
        <v>464</v>
      </c>
      <c r="AC346" s="64" t="s">
        <v>451</v>
      </c>
      <c r="AD346" s="66" t="s">
        <v>571</v>
      </c>
      <c r="AE346" s="66" t="s">
        <v>572</v>
      </c>
      <c r="AF346" s="66" t="s">
        <v>572</v>
      </c>
      <c r="AG346" s="64" t="s">
        <v>467</v>
      </c>
      <c r="AH346" s="64" t="s">
        <v>467</v>
      </c>
      <c r="AI346" s="66">
        <v>655.0</v>
      </c>
      <c r="AJ346" s="66">
        <v>21.5</v>
      </c>
      <c r="AK346" s="67">
        <v>14082.5</v>
      </c>
      <c r="AL346" s="63"/>
      <c r="AM346" s="63"/>
      <c r="AN346" s="64">
        <v>21.5</v>
      </c>
      <c r="AO346" s="60" t="s">
        <v>468</v>
      </c>
      <c r="AP346" s="63"/>
      <c r="AQ346" s="63"/>
      <c r="AR346" s="63"/>
      <c r="AS346" s="63"/>
      <c r="AT346" s="63"/>
      <c r="AU346" s="63"/>
      <c r="AV346" s="68"/>
      <c r="AW346" s="58" t="s">
        <v>512</v>
      </c>
      <c r="AX346" s="69">
        <v>14082.5</v>
      </c>
      <c r="AY346" s="70"/>
      <c r="AZ346" s="70"/>
      <c r="BA346" s="70"/>
      <c r="BB346" s="70"/>
      <c r="BC346" s="58" t="s">
        <v>469</v>
      </c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8"/>
      <c r="BR346" s="58"/>
    </row>
    <row r="347">
      <c r="A347" s="106">
        <v>45824.0</v>
      </c>
      <c r="B347" s="64" t="s">
        <v>451</v>
      </c>
      <c r="C347" s="107">
        <v>45824.0</v>
      </c>
      <c r="D347" s="107">
        <v>45824.0</v>
      </c>
      <c r="E347" s="66" t="s">
        <v>452</v>
      </c>
      <c r="F347" s="108" t="s">
        <v>1250</v>
      </c>
      <c r="G347" s="77"/>
      <c r="H347" s="66" t="s">
        <v>472</v>
      </c>
      <c r="I347" s="66" t="s">
        <v>479</v>
      </c>
      <c r="J347" s="66" t="s">
        <v>456</v>
      </c>
      <c r="K347" s="66" t="s">
        <v>456</v>
      </c>
      <c r="L347" s="66">
        <v>22.0</v>
      </c>
      <c r="M347" s="66">
        <v>22.0</v>
      </c>
      <c r="N347" s="66" t="s">
        <v>457</v>
      </c>
      <c r="O347" s="66">
        <v>24.0</v>
      </c>
      <c r="P347" s="80">
        <v>2.45E8</v>
      </c>
      <c r="Q347" s="64" t="s">
        <v>459</v>
      </c>
      <c r="R347" s="64" t="s">
        <v>459</v>
      </c>
      <c r="S347" s="64">
        <v>230.0</v>
      </c>
      <c r="T347" s="64">
        <v>2530.0</v>
      </c>
      <c r="U347" s="66">
        <v>230.0</v>
      </c>
      <c r="V347" s="66">
        <v>2530.0</v>
      </c>
      <c r="W347" s="66">
        <v>2530.0</v>
      </c>
      <c r="X347" s="65" t="s">
        <v>460</v>
      </c>
      <c r="Y347" s="66" t="s">
        <v>461</v>
      </c>
      <c r="Z347" s="66" t="s">
        <v>462</v>
      </c>
      <c r="AA347" s="66" t="s">
        <v>463</v>
      </c>
      <c r="AB347" s="66" t="s">
        <v>464</v>
      </c>
      <c r="AC347" s="66" t="s">
        <v>451</v>
      </c>
      <c r="AD347" s="64" t="s">
        <v>577</v>
      </c>
      <c r="AE347" s="64" t="s">
        <v>578</v>
      </c>
      <c r="AF347" s="64" t="s">
        <v>578</v>
      </c>
      <c r="AG347" s="64" t="s">
        <v>467</v>
      </c>
      <c r="AH347" s="64" t="s">
        <v>467</v>
      </c>
      <c r="AI347" s="66">
        <v>396.0</v>
      </c>
      <c r="AJ347" s="64">
        <v>21.5</v>
      </c>
      <c r="AK347" s="67">
        <v>8514.0</v>
      </c>
      <c r="AL347" s="63"/>
      <c r="AM347" s="63"/>
      <c r="AN347" s="64">
        <v>21.5</v>
      </c>
      <c r="AO347" s="64" t="s">
        <v>468</v>
      </c>
      <c r="AP347" s="63"/>
      <c r="AQ347" s="63"/>
      <c r="AR347" s="63"/>
      <c r="AS347" s="63"/>
      <c r="AT347" s="63"/>
      <c r="AU347" s="63"/>
      <c r="AV347" s="63"/>
      <c r="AW347" s="58" t="s">
        <v>512</v>
      </c>
      <c r="AX347" s="69">
        <v>8514.0</v>
      </c>
      <c r="AY347" s="70"/>
      <c r="AZ347" s="70"/>
      <c r="BA347" s="70"/>
      <c r="BB347" s="70"/>
      <c r="BC347" s="58" t="s">
        <v>469</v>
      </c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8"/>
      <c r="BR347" s="58"/>
    </row>
    <row r="348">
      <c r="A348" s="105">
        <v>45824.0</v>
      </c>
      <c r="B348" s="66" t="s">
        <v>451</v>
      </c>
      <c r="C348" s="61">
        <v>45824.0</v>
      </c>
      <c r="D348" s="61">
        <v>45824.0</v>
      </c>
      <c r="E348" s="64" t="s">
        <v>452</v>
      </c>
      <c r="F348" s="104" t="s">
        <v>1251</v>
      </c>
      <c r="G348" s="63"/>
      <c r="H348" s="64" t="s">
        <v>472</v>
      </c>
      <c r="I348" s="112" t="s">
        <v>891</v>
      </c>
      <c r="J348" s="112" t="s">
        <v>456</v>
      </c>
      <c r="K348" s="112" t="s">
        <v>456</v>
      </c>
      <c r="L348" s="64">
        <v>22.0</v>
      </c>
      <c r="M348" s="64">
        <v>22.0</v>
      </c>
      <c r="N348" s="64" t="s">
        <v>457</v>
      </c>
      <c r="O348" s="64">
        <v>24.0</v>
      </c>
      <c r="P348" s="64" t="s">
        <v>1252</v>
      </c>
      <c r="Q348" s="64" t="s">
        <v>459</v>
      </c>
      <c r="R348" s="64" t="s">
        <v>459</v>
      </c>
      <c r="S348" s="64">
        <v>89.0</v>
      </c>
      <c r="T348" s="64">
        <v>979.0</v>
      </c>
      <c r="U348" s="64">
        <v>89.0</v>
      </c>
      <c r="V348" s="64">
        <v>979.0</v>
      </c>
      <c r="W348" s="64">
        <v>979.0</v>
      </c>
      <c r="X348" s="65" t="s">
        <v>460</v>
      </c>
      <c r="Y348" s="64" t="s">
        <v>461</v>
      </c>
      <c r="Z348" s="64" t="s">
        <v>462</v>
      </c>
      <c r="AA348" s="64" t="s">
        <v>463</v>
      </c>
      <c r="AB348" s="64" t="s">
        <v>464</v>
      </c>
      <c r="AC348" s="64" t="s">
        <v>451</v>
      </c>
      <c r="AD348" s="66" t="s">
        <v>634</v>
      </c>
      <c r="AE348" s="66" t="s">
        <v>617</v>
      </c>
      <c r="AF348" s="66" t="s">
        <v>617</v>
      </c>
      <c r="AG348" s="64" t="s">
        <v>467</v>
      </c>
      <c r="AH348" s="64" t="s">
        <v>467</v>
      </c>
      <c r="AI348" s="64">
        <v>330.0</v>
      </c>
      <c r="AJ348" s="64">
        <v>21.5</v>
      </c>
      <c r="AK348" s="67">
        <v>7095.0</v>
      </c>
      <c r="AL348" s="63"/>
      <c r="AM348" s="63"/>
      <c r="AN348" s="64">
        <v>21.5</v>
      </c>
      <c r="AO348" s="64" t="s">
        <v>468</v>
      </c>
      <c r="AP348" s="63"/>
      <c r="AQ348" s="63"/>
      <c r="AR348" s="63"/>
      <c r="AS348" s="63"/>
      <c r="AT348" s="63"/>
      <c r="AU348" s="63"/>
      <c r="AV348" s="63"/>
      <c r="AW348" s="58" t="s">
        <v>512</v>
      </c>
      <c r="AX348" s="69">
        <v>7095.0</v>
      </c>
      <c r="AY348" s="70"/>
      <c r="AZ348" s="70"/>
      <c r="BA348" s="70"/>
      <c r="BB348" s="70"/>
      <c r="BC348" s="58" t="s">
        <v>469</v>
      </c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</row>
    <row r="349">
      <c r="A349" s="106">
        <v>45824.0</v>
      </c>
      <c r="B349" s="64" t="s">
        <v>451</v>
      </c>
      <c r="C349" s="107">
        <v>45824.0</v>
      </c>
      <c r="D349" s="107">
        <v>45824.0</v>
      </c>
      <c r="E349" s="66" t="s">
        <v>452</v>
      </c>
      <c r="F349" s="108" t="s">
        <v>1253</v>
      </c>
      <c r="G349" s="77"/>
      <c r="H349" s="66" t="s">
        <v>472</v>
      </c>
      <c r="I349" s="113" t="s">
        <v>636</v>
      </c>
      <c r="J349" s="113" t="s">
        <v>456</v>
      </c>
      <c r="K349" s="113" t="s">
        <v>456</v>
      </c>
      <c r="L349" s="66">
        <v>22.0</v>
      </c>
      <c r="M349" s="66">
        <v>22.0</v>
      </c>
      <c r="N349" s="66" t="s">
        <v>457</v>
      </c>
      <c r="O349" s="66">
        <v>24.0</v>
      </c>
      <c r="P349" s="80">
        <v>2.45E8</v>
      </c>
      <c r="Q349" s="64" t="s">
        <v>459</v>
      </c>
      <c r="R349" s="64" t="s">
        <v>459</v>
      </c>
      <c r="S349" s="64">
        <v>142.0</v>
      </c>
      <c r="T349" s="64">
        <v>1562.0</v>
      </c>
      <c r="U349" s="66">
        <v>142.0</v>
      </c>
      <c r="V349" s="66">
        <v>1562.0</v>
      </c>
      <c r="W349" s="66">
        <v>1562.0</v>
      </c>
      <c r="X349" s="65" t="s">
        <v>460</v>
      </c>
      <c r="Y349" s="66" t="s">
        <v>461</v>
      </c>
      <c r="Z349" s="66" t="s">
        <v>462</v>
      </c>
      <c r="AA349" s="66" t="s">
        <v>463</v>
      </c>
      <c r="AB349" s="66" t="s">
        <v>464</v>
      </c>
      <c r="AC349" s="66" t="s">
        <v>451</v>
      </c>
      <c r="AD349" s="64" t="s">
        <v>638</v>
      </c>
      <c r="AE349" s="64" t="s">
        <v>531</v>
      </c>
      <c r="AF349" s="64" t="s">
        <v>531</v>
      </c>
      <c r="AG349" s="64" t="s">
        <v>467</v>
      </c>
      <c r="AH349" s="64" t="s">
        <v>467</v>
      </c>
      <c r="AI349" s="66">
        <v>510.0</v>
      </c>
      <c r="AJ349" s="66">
        <v>21.5</v>
      </c>
      <c r="AK349" s="67">
        <v>10965.0</v>
      </c>
      <c r="AL349" s="63"/>
      <c r="AM349" s="63"/>
      <c r="AN349" s="64">
        <v>21.5</v>
      </c>
      <c r="AO349" s="64" t="s">
        <v>468</v>
      </c>
      <c r="AP349" s="63"/>
      <c r="AQ349" s="63"/>
      <c r="AR349" s="63"/>
      <c r="AS349" s="63"/>
      <c r="AT349" s="63"/>
      <c r="AU349" s="63"/>
      <c r="AV349" s="68"/>
      <c r="AW349" s="58" t="s">
        <v>512</v>
      </c>
      <c r="AX349" s="69">
        <v>10965.0</v>
      </c>
      <c r="AY349" s="70"/>
      <c r="AZ349" s="70"/>
      <c r="BA349" s="70"/>
      <c r="BB349" s="70"/>
      <c r="BC349" s="58" t="s">
        <v>469</v>
      </c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</row>
    <row r="350">
      <c r="A350" s="114">
        <v>45824.0</v>
      </c>
      <c r="B350" s="66" t="s">
        <v>451</v>
      </c>
      <c r="C350" s="61">
        <v>45825.0</v>
      </c>
      <c r="D350" s="61">
        <v>45825.0</v>
      </c>
      <c r="E350" s="64" t="s">
        <v>452</v>
      </c>
      <c r="F350" s="101" t="s">
        <v>1254</v>
      </c>
      <c r="G350" s="63"/>
      <c r="H350" s="64" t="s">
        <v>454</v>
      </c>
      <c r="I350" s="64" t="s">
        <v>586</v>
      </c>
      <c r="J350" s="64" t="s">
        <v>456</v>
      </c>
      <c r="K350" s="64" t="s">
        <v>456</v>
      </c>
      <c r="L350" s="64">
        <v>22.0</v>
      </c>
      <c r="M350" s="64">
        <v>22.0</v>
      </c>
      <c r="N350" s="64" t="s">
        <v>457</v>
      </c>
      <c r="O350" s="64">
        <v>24.0</v>
      </c>
      <c r="P350" s="64" t="s">
        <v>1255</v>
      </c>
      <c r="Q350" s="64" t="s">
        <v>459</v>
      </c>
      <c r="R350" s="64" t="s">
        <v>459</v>
      </c>
      <c r="S350" s="64">
        <v>338.0</v>
      </c>
      <c r="T350" s="64">
        <v>3718.0</v>
      </c>
      <c r="U350" s="64">
        <v>338.0</v>
      </c>
      <c r="V350" s="64">
        <v>3718.0</v>
      </c>
      <c r="W350" s="64">
        <v>3718.0</v>
      </c>
      <c r="X350" s="65" t="s">
        <v>460</v>
      </c>
      <c r="Y350" s="64" t="s">
        <v>461</v>
      </c>
      <c r="Z350" s="64" t="s">
        <v>462</v>
      </c>
      <c r="AA350" s="64" t="s">
        <v>463</v>
      </c>
      <c r="AB350" s="64" t="s">
        <v>464</v>
      </c>
      <c r="AC350" s="64" t="s">
        <v>451</v>
      </c>
      <c r="AD350" s="66" t="s">
        <v>465</v>
      </c>
      <c r="AE350" s="66" t="s">
        <v>466</v>
      </c>
      <c r="AF350" s="66" t="s">
        <v>466</v>
      </c>
      <c r="AG350" s="64" t="s">
        <v>467</v>
      </c>
      <c r="AH350" s="64" t="s">
        <v>467</v>
      </c>
      <c r="AI350" s="66">
        <v>735.0</v>
      </c>
      <c r="AJ350" s="66">
        <v>21.5</v>
      </c>
      <c r="AK350" s="67">
        <v>15802.5</v>
      </c>
      <c r="AL350" s="63"/>
      <c r="AM350" s="63"/>
      <c r="AN350" s="64">
        <v>21.5</v>
      </c>
      <c r="AO350" s="60" t="s">
        <v>468</v>
      </c>
      <c r="AP350" s="63"/>
      <c r="AQ350" s="63"/>
      <c r="AR350" s="63"/>
      <c r="AS350" s="63"/>
      <c r="AT350" s="63"/>
      <c r="AU350" s="63"/>
      <c r="AV350" s="68"/>
      <c r="AW350" s="58" t="s">
        <v>512</v>
      </c>
      <c r="AX350" s="69">
        <v>15802.5</v>
      </c>
      <c r="AY350" s="70"/>
      <c r="AZ350" s="70"/>
      <c r="BA350" s="70"/>
      <c r="BB350" s="70"/>
      <c r="BC350" s="58" t="s">
        <v>469</v>
      </c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</row>
    <row r="351">
      <c r="A351" s="115">
        <v>45825.0</v>
      </c>
      <c r="B351" s="66" t="s">
        <v>451</v>
      </c>
      <c r="C351" s="61">
        <v>45825.0</v>
      </c>
      <c r="D351" s="61">
        <v>45825.0</v>
      </c>
      <c r="E351" s="64" t="s">
        <v>452</v>
      </c>
      <c r="F351" s="101" t="s">
        <v>1256</v>
      </c>
      <c r="G351" s="63"/>
      <c r="H351" s="64" t="s">
        <v>472</v>
      </c>
      <c r="I351" s="64" t="s">
        <v>473</v>
      </c>
      <c r="J351" s="64" t="s">
        <v>456</v>
      </c>
      <c r="K351" s="64" t="s">
        <v>456</v>
      </c>
      <c r="L351" s="64">
        <v>22.0</v>
      </c>
      <c r="M351" s="64">
        <v>22.0</v>
      </c>
      <c r="N351" s="64" t="s">
        <v>457</v>
      </c>
      <c r="O351" s="64">
        <v>24.0</v>
      </c>
      <c r="P351" s="64" t="s">
        <v>1257</v>
      </c>
      <c r="Q351" s="64" t="s">
        <v>459</v>
      </c>
      <c r="R351" s="64" t="s">
        <v>459</v>
      </c>
      <c r="S351" s="64">
        <v>215.0</v>
      </c>
      <c r="T351" s="64">
        <v>2365.0</v>
      </c>
      <c r="U351" s="64">
        <v>215.0</v>
      </c>
      <c r="V351" s="64">
        <v>2365.0</v>
      </c>
      <c r="W351" s="64">
        <v>2365.0</v>
      </c>
      <c r="X351" s="65" t="s">
        <v>460</v>
      </c>
      <c r="Y351" s="64" t="s">
        <v>461</v>
      </c>
      <c r="Z351" s="64" t="s">
        <v>462</v>
      </c>
      <c r="AA351" s="64" t="s">
        <v>463</v>
      </c>
      <c r="AB351" s="64" t="s">
        <v>464</v>
      </c>
      <c r="AC351" s="64" t="s">
        <v>451</v>
      </c>
      <c r="AD351" s="66" t="s">
        <v>475</v>
      </c>
      <c r="AE351" s="66" t="s">
        <v>476</v>
      </c>
      <c r="AF351" s="66" t="s">
        <v>476</v>
      </c>
      <c r="AG351" s="64" t="s">
        <v>467</v>
      </c>
      <c r="AH351" s="64" t="s">
        <v>467</v>
      </c>
      <c r="AI351" s="64">
        <v>650.0</v>
      </c>
      <c r="AJ351" s="66">
        <v>21.5</v>
      </c>
      <c r="AK351" s="67">
        <v>13975.0</v>
      </c>
      <c r="AL351" s="63"/>
      <c r="AM351" s="63"/>
      <c r="AN351" s="64">
        <v>21.5</v>
      </c>
      <c r="AO351" s="64" t="s">
        <v>468</v>
      </c>
      <c r="AP351" s="63"/>
      <c r="AQ351" s="63"/>
      <c r="AR351" s="63"/>
      <c r="AS351" s="63"/>
      <c r="AT351" s="63"/>
      <c r="AU351" s="63"/>
      <c r="AV351" s="63"/>
      <c r="AW351" s="58" t="s">
        <v>512</v>
      </c>
      <c r="AX351" s="69">
        <v>13975.0</v>
      </c>
      <c r="AY351" s="70"/>
      <c r="AZ351" s="70"/>
      <c r="BA351" s="70"/>
      <c r="BB351" s="70"/>
      <c r="BC351" s="58" t="s">
        <v>469</v>
      </c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</row>
    <row r="352">
      <c r="A352" s="59">
        <v>45825.0</v>
      </c>
      <c r="B352" s="64" t="s">
        <v>451</v>
      </c>
      <c r="C352" s="107">
        <v>45825.0</v>
      </c>
      <c r="D352" s="107">
        <v>45825.0</v>
      </c>
      <c r="E352" s="66" t="s">
        <v>452</v>
      </c>
      <c r="F352" s="102" t="s">
        <v>1258</v>
      </c>
      <c r="G352" s="77"/>
      <c r="H352" s="66" t="s">
        <v>472</v>
      </c>
      <c r="I352" s="66" t="s">
        <v>590</v>
      </c>
      <c r="J352" s="66" t="s">
        <v>456</v>
      </c>
      <c r="K352" s="66" t="s">
        <v>456</v>
      </c>
      <c r="L352" s="66">
        <v>22.0</v>
      </c>
      <c r="M352" s="66">
        <v>22.0</v>
      </c>
      <c r="N352" s="66" t="s">
        <v>457</v>
      </c>
      <c r="O352" s="66">
        <v>24.0</v>
      </c>
      <c r="P352" s="66" t="s">
        <v>1259</v>
      </c>
      <c r="Q352" s="64" t="s">
        <v>459</v>
      </c>
      <c r="R352" s="64" t="s">
        <v>459</v>
      </c>
      <c r="S352" s="64">
        <v>175.0</v>
      </c>
      <c r="T352" s="64">
        <v>1925.0</v>
      </c>
      <c r="U352" s="66">
        <v>175.0</v>
      </c>
      <c r="V352" s="66">
        <v>1925.0</v>
      </c>
      <c r="W352" s="66">
        <v>1925.0</v>
      </c>
      <c r="X352" s="65" t="s">
        <v>460</v>
      </c>
      <c r="Y352" s="66" t="s">
        <v>461</v>
      </c>
      <c r="Z352" s="66" t="s">
        <v>462</v>
      </c>
      <c r="AA352" s="66" t="s">
        <v>463</v>
      </c>
      <c r="AB352" s="66" t="s">
        <v>464</v>
      </c>
      <c r="AC352" s="66" t="s">
        <v>451</v>
      </c>
      <c r="AD352" s="64" t="s">
        <v>481</v>
      </c>
      <c r="AE352" s="64" t="s">
        <v>482</v>
      </c>
      <c r="AF352" s="64" t="s">
        <v>482</v>
      </c>
      <c r="AG352" s="64" t="s">
        <v>467</v>
      </c>
      <c r="AH352" s="64" t="s">
        <v>467</v>
      </c>
      <c r="AI352" s="64">
        <v>655.0</v>
      </c>
      <c r="AJ352" s="64">
        <v>21.5</v>
      </c>
      <c r="AK352" s="67">
        <v>14082.5</v>
      </c>
      <c r="AL352" s="63"/>
      <c r="AM352" s="63"/>
      <c r="AN352" s="64">
        <v>21.5</v>
      </c>
      <c r="AO352" s="64" t="s">
        <v>468</v>
      </c>
      <c r="AP352" s="63"/>
      <c r="AQ352" s="63"/>
      <c r="AR352" s="63"/>
      <c r="AS352" s="63"/>
      <c r="AT352" s="63"/>
      <c r="AU352" s="63"/>
      <c r="AV352" s="68"/>
      <c r="AW352" s="58" t="s">
        <v>512</v>
      </c>
      <c r="AX352" s="69">
        <v>14082.5</v>
      </c>
      <c r="AY352" s="70"/>
      <c r="AZ352" s="70"/>
      <c r="BA352" s="70"/>
      <c r="BB352" s="70"/>
      <c r="BC352" s="58" t="s">
        <v>469</v>
      </c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</row>
    <row r="353">
      <c r="A353" s="115">
        <v>45825.0</v>
      </c>
      <c r="B353" s="66" t="s">
        <v>451</v>
      </c>
      <c r="C353" s="61">
        <v>45825.0</v>
      </c>
      <c r="D353" s="61">
        <v>45825.0</v>
      </c>
      <c r="E353" s="64" t="s">
        <v>452</v>
      </c>
      <c r="F353" s="101" t="s">
        <v>1260</v>
      </c>
      <c r="G353" s="63"/>
      <c r="H353" s="64" t="s">
        <v>472</v>
      </c>
      <c r="I353" s="64" t="s">
        <v>575</v>
      </c>
      <c r="J353" s="64" t="s">
        <v>486</v>
      </c>
      <c r="K353" s="64" t="s">
        <v>486</v>
      </c>
      <c r="L353" s="64">
        <v>22.0</v>
      </c>
      <c r="M353" s="64">
        <v>22.0</v>
      </c>
      <c r="N353" s="64" t="s">
        <v>457</v>
      </c>
      <c r="O353" s="64">
        <v>24.0</v>
      </c>
      <c r="P353" s="64" t="s">
        <v>1261</v>
      </c>
      <c r="Q353" s="64" t="s">
        <v>459</v>
      </c>
      <c r="R353" s="64" t="s">
        <v>459</v>
      </c>
      <c r="S353" s="64">
        <v>150.0</v>
      </c>
      <c r="T353" s="64">
        <v>1650.0</v>
      </c>
      <c r="U353" s="64">
        <v>150.0</v>
      </c>
      <c r="V353" s="64">
        <v>1650.0</v>
      </c>
      <c r="W353" s="64">
        <v>1650.0</v>
      </c>
      <c r="X353" s="65" t="s">
        <v>460</v>
      </c>
      <c r="Y353" s="64" t="s">
        <v>461</v>
      </c>
      <c r="Z353" s="64" t="s">
        <v>462</v>
      </c>
      <c r="AA353" s="64" t="s">
        <v>463</v>
      </c>
      <c r="AB353" s="64" t="s">
        <v>464</v>
      </c>
      <c r="AC353" s="64" t="s">
        <v>451</v>
      </c>
      <c r="AD353" s="66" t="s">
        <v>481</v>
      </c>
      <c r="AE353" s="66" t="s">
        <v>482</v>
      </c>
      <c r="AF353" s="66" t="s">
        <v>482</v>
      </c>
      <c r="AG353" s="64" t="s">
        <v>467</v>
      </c>
      <c r="AH353" s="64" t="s">
        <v>467</v>
      </c>
      <c r="AI353" s="64">
        <v>655.0</v>
      </c>
      <c r="AJ353" s="64">
        <v>23.5</v>
      </c>
      <c r="AK353" s="67">
        <v>15392.5</v>
      </c>
      <c r="AL353" s="63"/>
      <c r="AM353" s="63"/>
      <c r="AN353" s="64">
        <v>23.5</v>
      </c>
      <c r="AO353" s="64" t="s">
        <v>468</v>
      </c>
      <c r="AP353" s="63"/>
      <c r="AQ353" s="63"/>
      <c r="AR353" s="63"/>
      <c r="AS353" s="63"/>
      <c r="AT353" s="63"/>
      <c r="AU353" s="63"/>
      <c r="AV353" s="68"/>
      <c r="AW353" s="58" t="s">
        <v>512</v>
      </c>
      <c r="AX353" s="69">
        <v>15392.5</v>
      </c>
      <c r="AY353" s="70"/>
      <c r="AZ353" s="70"/>
      <c r="BA353" s="70"/>
      <c r="BB353" s="70"/>
      <c r="BC353" s="58" t="s">
        <v>469</v>
      </c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</row>
    <row r="354">
      <c r="A354" s="59">
        <v>45825.0</v>
      </c>
      <c r="B354" s="64" t="s">
        <v>451</v>
      </c>
      <c r="C354" s="107">
        <v>45825.0</v>
      </c>
      <c r="D354" s="107">
        <v>45825.0</v>
      </c>
      <c r="E354" s="66" t="s">
        <v>452</v>
      </c>
      <c r="F354" s="102" t="s">
        <v>1262</v>
      </c>
      <c r="G354" s="77"/>
      <c r="H354" s="66" t="s">
        <v>492</v>
      </c>
      <c r="I354" s="66" t="s">
        <v>493</v>
      </c>
      <c r="J354" s="66" t="s">
        <v>456</v>
      </c>
      <c r="K354" s="66" t="s">
        <v>456</v>
      </c>
      <c r="L354" s="66">
        <v>28.0</v>
      </c>
      <c r="M354" s="66">
        <v>28.0</v>
      </c>
      <c r="N354" s="66" t="s">
        <v>457</v>
      </c>
      <c r="O354" s="66">
        <v>24.0</v>
      </c>
      <c r="P354" s="66" t="s">
        <v>1263</v>
      </c>
      <c r="Q354" s="64" t="s">
        <v>459</v>
      </c>
      <c r="R354" s="64" t="s">
        <v>459</v>
      </c>
      <c r="S354" s="64">
        <v>380.0</v>
      </c>
      <c r="T354" s="64">
        <v>4180.0</v>
      </c>
      <c r="U354" s="66">
        <v>380.0</v>
      </c>
      <c r="V354" s="66">
        <v>4180.0</v>
      </c>
      <c r="W354" s="66">
        <v>4180.0</v>
      </c>
      <c r="X354" s="65" t="s">
        <v>460</v>
      </c>
      <c r="Y354" s="66" t="s">
        <v>461</v>
      </c>
      <c r="Z354" s="66" t="s">
        <v>462</v>
      </c>
      <c r="AA354" s="66" t="s">
        <v>463</v>
      </c>
      <c r="AB354" s="66" t="s">
        <v>464</v>
      </c>
      <c r="AC354" s="66" t="s">
        <v>451</v>
      </c>
      <c r="AD354" s="64" t="s">
        <v>495</v>
      </c>
      <c r="AE354" s="64" t="s">
        <v>496</v>
      </c>
      <c r="AF354" s="64" t="s">
        <v>496</v>
      </c>
      <c r="AG354" s="64" t="s">
        <v>467</v>
      </c>
      <c r="AH354" s="64" t="s">
        <v>467</v>
      </c>
      <c r="AI354" s="64">
        <v>570.0</v>
      </c>
      <c r="AJ354" s="60">
        <v>23.5</v>
      </c>
      <c r="AK354" s="67">
        <v>13395.0</v>
      </c>
      <c r="AL354" s="63"/>
      <c r="AM354" s="63"/>
      <c r="AN354" s="64">
        <v>23.5</v>
      </c>
      <c r="AO354" s="64" t="s">
        <v>468</v>
      </c>
      <c r="AP354" s="63"/>
      <c r="AQ354" s="63"/>
      <c r="AR354" s="63"/>
      <c r="AS354" s="63"/>
      <c r="AT354" s="63"/>
      <c r="AU354" s="63"/>
      <c r="AV354" s="63"/>
      <c r="AW354" s="58" t="s">
        <v>512</v>
      </c>
      <c r="AX354" s="69">
        <v>13395.0</v>
      </c>
      <c r="AY354" s="70"/>
      <c r="AZ354" s="70"/>
      <c r="BA354" s="70"/>
      <c r="BB354" s="70"/>
      <c r="BC354" s="58" t="s">
        <v>469</v>
      </c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</row>
    <row r="355">
      <c r="A355" s="115">
        <v>45825.0</v>
      </c>
      <c r="B355" s="66" t="s">
        <v>451</v>
      </c>
      <c r="C355" s="61">
        <v>45825.0</v>
      </c>
      <c r="D355" s="61">
        <v>45825.0</v>
      </c>
      <c r="E355" s="64" t="s">
        <v>452</v>
      </c>
      <c r="F355" s="101" t="s">
        <v>1264</v>
      </c>
      <c r="G355" s="63"/>
      <c r="H355" s="64" t="s">
        <v>454</v>
      </c>
      <c r="I355" s="64" t="s">
        <v>1265</v>
      </c>
      <c r="J355" s="64" t="s">
        <v>486</v>
      </c>
      <c r="K355" s="64" t="s">
        <v>486</v>
      </c>
      <c r="L355" s="64">
        <v>22.0</v>
      </c>
      <c r="M355" s="64">
        <v>22.0</v>
      </c>
      <c r="N355" s="64" t="s">
        <v>457</v>
      </c>
      <c r="O355" s="64">
        <v>24.0</v>
      </c>
      <c r="P355" s="64" t="s">
        <v>1266</v>
      </c>
      <c r="Q355" s="64" t="s">
        <v>459</v>
      </c>
      <c r="R355" s="64" t="s">
        <v>459</v>
      </c>
      <c r="S355" s="64">
        <v>337.0</v>
      </c>
      <c r="T355" s="64">
        <v>3707.0</v>
      </c>
      <c r="U355" s="64">
        <v>337.0</v>
      </c>
      <c r="V355" s="64">
        <v>3707.0</v>
      </c>
      <c r="W355" s="64">
        <v>3707.0</v>
      </c>
      <c r="X355" s="65" t="s">
        <v>460</v>
      </c>
      <c r="Y355" s="64" t="s">
        <v>461</v>
      </c>
      <c r="Z355" s="64" t="s">
        <v>462</v>
      </c>
      <c r="AA355" s="64" t="s">
        <v>463</v>
      </c>
      <c r="AB355" s="64" t="s">
        <v>464</v>
      </c>
      <c r="AC355" s="64" t="s">
        <v>451</v>
      </c>
      <c r="AD355" s="66" t="s">
        <v>495</v>
      </c>
      <c r="AE355" s="66" t="s">
        <v>496</v>
      </c>
      <c r="AF355" s="66" t="s">
        <v>496</v>
      </c>
      <c r="AG355" s="64" t="s">
        <v>467</v>
      </c>
      <c r="AH355" s="64" t="s">
        <v>467</v>
      </c>
      <c r="AI355" s="64">
        <v>570.0</v>
      </c>
      <c r="AJ355" s="60">
        <v>23.5</v>
      </c>
      <c r="AK355" s="67">
        <v>13395.0</v>
      </c>
      <c r="AL355" s="63"/>
      <c r="AM355" s="63"/>
      <c r="AN355" s="64">
        <v>23.5</v>
      </c>
      <c r="AO355" s="64" t="s">
        <v>468</v>
      </c>
      <c r="AP355" s="63"/>
      <c r="AQ355" s="63"/>
      <c r="AR355" s="63"/>
      <c r="AS355" s="63"/>
      <c r="AT355" s="63"/>
      <c r="AU355" s="63"/>
      <c r="AV355" s="63"/>
      <c r="AW355" s="58" t="s">
        <v>512</v>
      </c>
      <c r="AX355" s="69">
        <v>13395.0</v>
      </c>
      <c r="AY355" s="70"/>
      <c r="AZ355" s="70"/>
      <c r="BA355" s="70"/>
      <c r="BB355" s="70"/>
      <c r="BC355" s="58" t="s">
        <v>469</v>
      </c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</row>
    <row r="356">
      <c r="A356" s="59">
        <v>45825.0</v>
      </c>
      <c r="B356" s="64" t="s">
        <v>451</v>
      </c>
      <c r="C356" s="107">
        <v>45825.0</v>
      </c>
      <c r="D356" s="107">
        <v>45825.0</v>
      </c>
      <c r="E356" s="66" t="s">
        <v>452</v>
      </c>
      <c r="F356" s="102" t="s">
        <v>1267</v>
      </c>
      <c r="G356" s="77"/>
      <c r="H356" s="66" t="s">
        <v>498</v>
      </c>
      <c r="I356" s="66" t="s">
        <v>691</v>
      </c>
      <c r="J356" s="66" t="s">
        <v>456</v>
      </c>
      <c r="K356" s="66" t="s">
        <v>456</v>
      </c>
      <c r="L356" s="66">
        <v>22.0</v>
      </c>
      <c r="M356" s="66">
        <v>22.0</v>
      </c>
      <c r="N356" s="66" t="s">
        <v>457</v>
      </c>
      <c r="O356" s="66">
        <v>24.0</v>
      </c>
      <c r="P356" s="66" t="s">
        <v>1268</v>
      </c>
      <c r="Q356" s="64" t="s">
        <v>459</v>
      </c>
      <c r="R356" s="64" t="s">
        <v>459</v>
      </c>
      <c r="S356" s="64">
        <v>200.0</v>
      </c>
      <c r="T356" s="64">
        <v>2200.0</v>
      </c>
      <c r="U356" s="66">
        <v>200.0</v>
      </c>
      <c r="V356" s="66">
        <v>2200.0</v>
      </c>
      <c r="W356" s="66">
        <v>2200.0</v>
      </c>
      <c r="X356" s="65" t="s">
        <v>460</v>
      </c>
      <c r="Y356" s="66" t="s">
        <v>461</v>
      </c>
      <c r="Z356" s="66" t="s">
        <v>462</v>
      </c>
      <c r="AA356" s="66" t="s">
        <v>463</v>
      </c>
      <c r="AB356" s="66" t="s">
        <v>464</v>
      </c>
      <c r="AC356" s="66" t="s">
        <v>451</v>
      </c>
      <c r="AD356" s="64" t="s">
        <v>501</v>
      </c>
      <c r="AE356" s="64" t="s">
        <v>470</v>
      </c>
      <c r="AF356" s="64" t="s">
        <v>470</v>
      </c>
      <c r="AG356" s="64" t="s">
        <v>467</v>
      </c>
      <c r="AH356" s="64" t="s">
        <v>467</v>
      </c>
      <c r="AI356" s="64">
        <v>380.0</v>
      </c>
      <c r="AJ356" s="64">
        <v>21.5</v>
      </c>
      <c r="AK356" s="67">
        <v>8170.0</v>
      </c>
      <c r="AL356" s="63"/>
      <c r="AM356" s="63"/>
      <c r="AN356" s="64">
        <v>21.5</v>
      </c>
      <c r="AO356" s="64" t="s">
        <v>468</v>
      </c>
      <c r="AP356" s="63"/>
      <c r="AQ356" s="63"/>
      <c r="AR356" s="63"/>
      <c r="AS356" s="63"/>
      <c r="AT356" s="63"/>
      <c r="AU356" s="63"/>
      <c r="AV356" s="68"/>
      <c r="AW356" s="58" t="s">
        <v>512</v>
      </c>
      <c r="AX356" s="69">
        <v>8170.0</v>
      </c>
      <c r="AY356" s="70"/>
      <c r="AZ356" s="70"/>
      <c r="BA356" s="70"/>
      <c r="BB356" s="70"/>
      <c r="BC356" s="58" t="s">
        <v>469</v>
      </c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</row>
    <row r="357">
      <c r="A357" s="115">
        <v>45825.0</v>
      </c>
      <c r="B357" s="66" t="s">
        <v>451</v>
      </c>
      <c r="C357" s="61">
        <v>45825.0</v>
      </c>
      <c r="D357" s="61">
        <v>45825.0</v>
      </c>
      <c r="E357" s="64" t="s">
        <v>452</v>
      </c>
      <c r="F357" s="101" t="s">
        <v>1269</v>
      </c>
      <c r="G357" s="63"/>
      <c r="H357" s="64" t="s">
        <v>1218</v>
      </c>
      <c r="I357" s="64" t="s">
        <v>1270</v>
      </c>
      <c r="J357" s="64" t="s">
        <v>486</v>
      </c>
      <c r="K357" s="64" t="s">
        <v>486</v>
      </c>
      <c r="L357" s="64">
        <v>22.0</v>
      </c>
      <c r="M357" s="64">
        <v>22.0</v>
      </c>
      <c r="N357" s="64" t="s">
        <v>457</v>
      </c>
      <c r="O357" s="64">
        <v>24.0</v>
      </c>
      <c r="P357" s="64" t="s">
        <v>1271</v>
      </c>
      <c r="Q357" s="64" t="s">
        <v>459</v>
      </c>
      <c r="R357" s="64" t="s">
        <v>459</v>
      </c>
      <c r="S357" s="64">
        <v>175.0</v>
      </c>
      <c r="T357" s="64">
        <v>1925.0</v>
      </c>
      <c r="U357" s="64">
        <v>175.0</v>
      </c>
      <c r="V357" s="64">
        <v>1925.0</v>
      </c>
      <c r="W357" s="64">
        <v>1925.0</v>
      </c>
      <c r="X357" s="65" t="s">
        <v>460</v>
      </c>
      <c r="Y357" s="64" t="s">
        <v>461</v>
      </c>
      <c r="Z357" s="64" t="s">
        <v>462</v>
      </c>
      <c r="AA357" s="64" t="s">
        <v>463</v>
      </c>
      <c r="AB357" s="64" t="s">
        <v>464</v>
      </c>
      <c r="AC357" s="64" t="s">
        <v>451</v>
      </c>
      <c r="AD357" s="66" t="s">
        <v>501</v>
      </c>
      <c r="AE357" s="66" t="s">
        <v>470</v>
      </c>
      <c r="AF357" s="66" t="s">
        <v>470</v>
      </c>
      <c r="AG357" s="64" t="s">
        <v>467</v>
      </c>
      <c r="AH357" s="64" t="s">
        <v>467</v>
      </c>
      <c r="AI357" s="64">
        <v>380.0</v>
      </c>
      <c r="AJ357" s="64">
        <v>23.5</v>
      </c>
      <c r="AK357" s="67">
        <v>8930.0</v>
      </c>
      <c r="AL357" s="63"/>
      <c r="AM357" s="63"/>
      <c r="AN357" s="64">
        <v>23.5</v>
      </c>
      <c r="AO357" s="64" t="s">
        <v>468</v>
      </c>
      <c r="AP357" s="63"/>
      <c r="AQ357" s="63"/>
      <c r="AR357" s="63"/>
      <c r="AS357" s="63"/>
      <c r="AT357" s="63"/>
      <c r="AU357" s="63"/>
      <c r="AV357" s="68"/>
      <c r="AW357" s="58" t="s">
        <v>512</v>
      </c>
      <c r="AX357" s="69">
        <v>8930.0</v>
      </c>
      <c r="AY357" s="70"/>
      <c r="AZ357" s="70"/>
      <c r="BA357" s="70"/>
      <c r="BB357" s="70"/>
      <c r="BC357" s="58" t="s">
        <v>469</v>
      </c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</row>
    <row r="358">
      <c r="A358" s="59">
        <v>45825.0</v>
      </c>
      <c r="B358" s="64" t="s">
        <v>451</v>
      </c>
      <c r="C358" s="107">
        <v>45825.0</v>
      </c>
      <c r="D358" s="107">
        <v>45825.0</v>
      </c>
      <c r="E358" s="66" t="s">
        <v>452</v>
      </c>
      <c r="F358" s="102" t="s">
        <v>1272</v>
      </c>
      <c r="G358" s="77"/>
      <c r="H358" s="66" t="s">
        <v>504</v>
      </c>
      <c r="I358" s="66" t="s">
        <v>505</v>
      </c>
      <c r="J358" s="66" t="s">
        <v>456</v>
      </c>
      <c r="K358" s="66" t="s">
        <v>456</v>
      </c>
      <c r="L358" s="66">
        <v>22.0</v>
      </c>
      <c r="M358" s="66">
        <v>22.0</v>
      </c>
      <c r="N358" s="66" t="s">
        <v>457</v>
      </c>
      <c r="O358" s="66">
        <v>24.0</v>
      </c>
      <c r="P358" s="66" t="s">
        <v>1273</v>
      </c>
      <c r="Q358" s="64" t="s">
        <v>459</v>
      </c>
      <c r="R358" s="64" t="s">
        <v>459</v>
      </c>
      <c r="S358" s="64">
        <v>197.0</v>
      </c>
      <c r="T358" s="64">
        <v>2167.0</v>
      </c>
      <c r="U358" s="66">
        <v>197.0</v>
      </c>
      <c r="V358" s="66">
        <v>2167.0</v>
      </c>
      <c r="W358" s="66">
        <v>2167.0</v>
      </c>
      <c r="X358" s="65" t="s">
        <v>460</v>
      </c>
      <c r="Y358" s="66" t="s">
        <v>461</v>
      </c>
      <c r="Z358" s="66" t="s">
        <v>462</v>
      </c>
      <c r="AA358" s="66" t="s">
        <v>463</v>
      </c>
      <c r="AB358" s="66" t="s">
        <v>464</v>
      </c>
      <c r="AC358" s="66" t="s">
        <v>451</v>
      </c>
      <c r="AD358" s="64" t="s">
        <v>507</v>
      </c>
      <c r="AE358" s="64" t="s">
        <v>508</v>
      </c>
      <c r="AF358" s="64" t="s">
        <v>509</v>
      </c>
      <c r="AG358" s="64" t="s">
        <v>467</v>
      </c>
      <c r="AH358" s="64" t="s">
        <v>467</v>
      </c>
      <c r="AI358" s="66">
        <v>790.0</v>
      </c>
      <c r="AJ358" s="66">
        <v>21.5</v>
      </c>
      <c r="AK358" s="67">
        <v>16985.0</v>
      </c>
      <c r="AL358" s="63"/>
      <c r="AM358" s="63"/>
      <c r="AN358" s="64">
        <v>21.5</v>
      </c>
      <c r="AO358" s="64" t="s">
        <v>468</v>
      </c>
      <c r="AP358" s="63"/>
      <c r="AQ358" s="63"/>
      <c r="AR358" s="63"/>
      <c r="AS358" s="73">
        <v>0.5</v>
      </c>
      <c r="AT358" s="64">
        <v>8492.5</v>
      </c>
      <c r="AU358" s="60" t="s">
        <v>510</v>
      </c>
      <c r="AV358" s="74" t="s">
        <v>511</v>
      </c>
      <c r="AW358" s="58" t="s">
        <v>512</v>
      </c>
      <c r="AX358" s="69">
        <v>8492.5</v>
      </c>
      <c r="AY358" s="70"/>
      <c r="AZ358" s="70"/>
      <c r="BA358" s="69">
        <v>8492.5</v>
      </c>
      <c r="BB358" s="70"/>
      <c r="BC358" s="58" t="s">
        <v>469</v>
      </c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</row>
    <row r="359">
      <c r="A359" s="115">
        <v>45825.0</v>
      </c>
      <c r="B359" s="66" t="s">
        <v>451</v>
      </c>
      <c r="C359" s="61">
        <v>45825.0</v>
      </c>
      <c r="D359" s="61">
        <v>45825.0</v>
      </c>
      <c r="E359" s="64" t="s">
        <v>452</v>
      </c>
      <c r="F359" s="101" t="s">
        <v>1274</v>
      </c>
      <c r="G359" s="63"/>
      <c r="H359" s="64" t="s">
        <v>504</v>
      </c>
      <c r="I359" s="64" t="s">
        <v>515</v>
      </c>
      <c r="J359" s="64" t="s">
        <v>456</v>
      </c>
      <c r="K359" s="64" t="s">
        <v>456</v>
      </c>
      <c r="L359" s="64">
        <v>22.0</v>
      </c>
      <c r="M359" s="64">
        <v>22.0</v>
      </c>
      <c r="N359" s="64" t="s">
        <v>457</v>
      </c>
      <c r="O359" s="64">
        <v>24.0</v>
      </c>
      <c r="P359" s="64" t="s">
        <v>1275</v>
      </c>
      <c r="Q359" s="64" t="s">
        <v>459</v>
      </c>
      <c r="R359" s="64" t="s">
        <v>459</v>
      </c>
      <c r="S359" s="64">
        <v>186.0</v>
      </c>
      <c r="T359" s="64">
        <v>2046.0</v>
      </c>
      <c r="U359" s="64">
        <v>186.0</v>
      </c>
      <c r="V359" s="64">
        <v>2046.0</v>
      </c>
      <c r="W359" s="64">
        <v>2046.0</v>
      </c>
      <c r="X359" s="65" t="s">
        <v>460</v>
      </c>
      <c r="Y359" s="64" t="s">
        <v>461</v>
      </c>
      <c r="Z359" s="64" t="s">
        <v>462</v>
      </c>
      <c r="AA359" s="64" t="s">
        <v>463</v>
      </c>
      <c r="AB359" s="64" t="s">
        <v>464</v>
      </c>
      <c r="AC359" s="64" t="s">
        <v>451</v>
      </c>
      <c r="AD359" s="66" t="s">
        <v>517</v>
      </c>
      <c r="AE359" s="66" t="s">
        <v>518</v>
      </c>
      <c r="AF359" s="66" t="s">
        <v>518</v>
      </c>
      <c r="AG359" s="64" t="s">
        <v>467</v>
      </c>
      <c r="AH359" s="64" t="s">
        <v>467</v>
      </c>
      <c r="AI359" s="64">
        <v>815.0</v>
      </c>
      <c r="AJ359" s="64">
        <v>21.5</v>
      </c>
      <c r="AK359" s="67">
        <v>17522.5</v>
      </c>
      <c r="AL359" s="63"/>
      <c r="AM359" s="63"/>
      <c r="AN359" s="64">
        <v>21.5</v>
      </c>
      <c r="AO359" s="64" t="s">
        <v>468</v>
      </c>
      <c r="AP359" s="63"/>
      <c r="AQ359" s="63"/>
      <c r="AR359" s="63"/>
      <c r="AS359" s="63"/>
      <c r="AT359" s="63"/>
      <c r="AU359" s="63"/>
      <c r="AV359" s="68"/>
      <c r="AW359" s="58" t="s">
        <v>512</v>
      </c>
      <c r="AX359" s="69">
        <v>17522.5</v>
      </c>
      <c r="AY359" s="70"/>
      <c r="AZ359" s="70"/>
      <c r="BA359" s="70"/>
      <c r="BB359" s="70"/>
      <c r="BC359" s="58" t="s">
        <v>469</v>
      </c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</row>
    <row r="360">
      <c r="A360" s="59">
        <v>45825.0</v>
      </c>
      <c r="B360" s="64" t="s">
        <v>451</v>
      </c>
      <c r="C360" s="107">
        <v>45825.0</v>
      </c>
      <c r="D360" s="107">
        <v>45825.0</v>
      </c>
      <c r="E360" s="66" t="s">
        <v>452</v>
      </c>
      <c r="F360" s="102" t="s">
        <v>1276</v>
      </c>
      <c r="G360" s="77"/>
      <c r="H360" s="66" t="s">
        <v>521</v>
      </c>
      <c r="I360" s="66" t="s">
        <v>555</v>
      </c>
      <c r="J360" s="66" t="s">
        <v>456</v>
      </c>
      <c r="K360" s="66" t="s">
        <v>456</v>
      </c>
      <c r="L360" s="66">
        <v>22.0</v>
      </c>
      <c r="M360" s="66">
        <v>22.0</v>
      </c>
      <c r="N360" s="66" t="s">
        <v>457</v>
      </c>
      <c r="O360" s="66">
        <v>24.0</v>
      </c>
      <c r="P360" s="66" t="s">
        <v>1277</v>
      </c>
      <c r="Q360" s="64" t="s">
        <v>459</v>
      </c>
      <c r="R360" s="64" t="s">
        <v>459</v>
      </c>
      <c r="S360" s="64">
        <v>220.0</v>
      </c>
      <c r="T360" s="64">
        <v>2420.0</v>
      </c>
      <c r="U360" s="66">
        <v>220.0</v>
      </c>
      <c r="V360" s="66">
        <v>2420.0</v>
      </c>
      <c r="W360" s="66">
        <v>2420.0</v>
      </c>
      <c r="X360" s="65" t="s">
        <v>460</v>
      </c>
      <c r="Y360" s="66" t="s">
        <v>461</v>
      </c>
      <c r="Z360" s="66" t="s">
        <v>462</v>
      </c>
      <c r="AA360" s="66" t="s">
        <v>463</v>
      </c>
      <c r="AB360" s="66" t="s">
        <v>464</v>
      </c>
      <c r="AC360" s="66" t="s">
        <v>451</v>
      </c>
      <c r="AD360" s="64" t="s">
        <v>524</v>
      </c>
      <c r="AE360" s="64" t="s">
        <v>483</v>
      </c>
      <c r="AF360" s="64" t="s">
        <v>483</v>
      </c>
      <c r="AG360" s="64" t="s">
        <v>467</v>
      </c>
      <c r="AH360" s="64" t="s">
        <v>467</v>
      </c>
      <c r="AI360" s="66">
        <v>600.0</v>
      </c>
      <c r="AJ360" s="66">
        <v>21.5</v>
      </c>
      <c r="AK360" s="67">
        <v>12900.0</v>
      </c>
      <c r="AL360" s="63"/>
      <c r="AM360" s="63"/>
      <c r="AN360" s="64">
        <v>21.5</v>
      </c>
      <c r="AO360" s="64" t="s">
        <v>468</v>
      </c>
      <c r="AP360" s="63"/>
      <c r="AQ360" s="63"/>
      <c r="AR360" s="63"/>
      <c r="AS360" s="63"/>
      <c r="AT360" s="63"/>
      <c r="AU360" s="63"/>
      <c r="AV360" s="68"/>
      <c r="AW360" s="58" t="s">
        <v>512</v>
      </c>
      <c r="AX360" s="69">
        <v>12900.0</v>
      </c>
      <c r="AY360" s="70"/>
      <c r="AZ360" s="70"/>
      <c r="BA360" s="70"/>
      <c r="BB360" s="70"/>
      <c r="BC360" s="58" t="s">
        <v>469</v>
      </c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</row>
    <row r="361">
      <c r="A361" s="115">
        <v>45825.0</v>
      </c>
      <c r="B361" s="66" t="s">
        <v>451</v>
      </c>
      <c r="C361" s="61">
        <v>45825.0</v>
      </c>
      <c r="D361" s="61">
        <v>45825.0</v>
      </c>
      <c r="E361" s="64" t="s">
        <v>452</v>
      </c>
      <c r="F361" s="101" t="s">
        <v>1278</v>
      </c>
      <c r="G361" s="63"/>
      <c r="H361" s="64" t="s">
        <v>492</v>
      </c>
      <c r="I361" s="64" t="s">
        <v>527</v>
      </c>
      <c r="J361" s="64" t="s">
        <v>456</v>
      </c>
      <c r="K361" s="64" t="s">
        <v>456</v>
      </c>
      <c r="L361" s="64">
        <v>22.0</v>
      </c>
      <c r="M361" s="64">
        <v>22.0</v>
      </c>
      <c r="N361" s="64" t="s">
        <v>457</v>
      </c>
      <c r="O361" s="64">
        <v>24.0</v>
      </c>
      <c r="P361" s="64" t="s">
        <v>1279</v>
      </c>
      <c r="Q361" s="64" t="s">
        <v>459</v>
      </c>
      <c r="R361" s="64" t="s">
        <v>459</v>
      </c>
      <c r="S361" s="64">
        <v>228.0</v>
      </c>
      <c r="T361" s="64">
        <v>2508.0</v>
      </c>
      <c r="U361" s="64">
        <v>228.0</v>
      </c>
      <c r="V361" s="64">
        <v>2508.0</v>
      </c>
      <c r="W361" s="64">
        <v>2508.0</v>
      </c>
      <c r="X361" s="65" t="s">
        <v>460</v>
      </c>
      <c r="Y361" s="64" t="s">
        <v>461</v>
      </c>
      <c r="Z361" s="64" t="s">
        <v>462</v>
      </c>
      <c r="AA361" s="64" t="s">
        <v>463</v>
      </c>
      <c r="AB361" s="64" t="s">
        <v>464</v>
      </c>
      <c r="AC361" s="64" t="s">
        <v>451</v>
      </c>
      <c r="AD361" s="66" t="s">
        <v>529</v>
      </c>
      <c r="AE361" s="66" t="s">
        <v>530</v>
      </c>
      <c r="AF361" s="66" t="s">
        <v>530</v>
      </c>
      <c r="AG361" s="64" t="s">
        <v>467</v>
      </c>
      <c r="AH361" s="64" t="s">
        <v>467</v>
      </c>
      <c r="AI361" s="66">
        <v>510.0</v>
      </c>
      <c r="AJ361" s="66">
        <v>21.5</v>
      </c>
      <c r="AK361" s="67">
        <v>10965.0</v>
      </c>
      <c r="AL361" s="63"/>
      <c r="AM361" s="63"/>
      <c r="AN361" s="64">
        <v>21.5</v>
      </c>
      <c r="AO361" s="64" t="s">
        <v>468</v>
      </c>
      <c r="AP361" s="63"/>
      <c r="AQ361" s="63"/>
      <c r="AR361" s="63"/>
      <c r="AS361" s="63"/>
      <c r="AT361" s="63"/>
      <c r="AU361" s="63"/>
      <c r="AV361" s="68"/>
      <c r="AW361" s="58" t="s">
        <v>512</v>
      </c>
      <c r="AX361" s="69">
        <v>10965.0</v>
      </c>
      <c r="AY361" s="70"/>
      <c r="AZ361" s="70"/>
      <c r="BA361" s="70"/>
      <c r="BB361" s="70"/>
      <c r="BC361" s="58" t="s">
        <v>469</v>
      </c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</row>
    <row r="362">
      <c r="A362" s="59">
        <v>45825.0</v>
      </c>
      <c r="B362" s="64" t="s">
        <v>451</v>
      </c>
      <c r="C362" s="107">
        <v>45825.0</v>
      </c>
      <c r="D362" s="107">
        <v>45825.0</v>
      </c>
      <c r="E362" s="66" t="s">
        <v>452</v>
      </c>
      <c r="F362" s="102" t="s">
        <v>1280</v>
      </c>
      <c r="G362" s="77"/>
      <c r="H362" s="66" t="s">
        <v>492</v>
      </c>
      <c r="I362" s="66" t="s">
        <v>533</v>
      </c>
      <c r="J362" s="66" t="s">
        <v>486</v>
      </c>
      <c r="K362" s="66" t="s">
        <v>486</v>
      </c>
      <c r="L362" s="66">
        <v>22.0</v>
      </c>
      <c r="M362" s="66">
        <v>22.0</v>
      </c>
      <c r="N362" s="66" t="s">
        <v>457</v>
      </c>
      <c r="O362" s="66">
        <v>24.0</v>
      </c>
      <c r="P362" s="66" t="s">
        <v>1281</v>
      </c>
      <c r="Q362" s="64" t="s">
        <v>459</v>
      </c>
      <c r="R362" s="64" t="s">
        <v>459</v>
      </c>
      <c r="S362" s="64">
        <v>63.0</v>
      </c>
      <c r="T362" s="64">
        <v>693.0</v>
      </c>
      <c r="U362" s="66">
        <v>63.0</v>
      </c>
      <c r="V362" s="66">
        <v>693.0</v>
      </c>
      <c r="W362" s="66">
        <v>693.0</v>
      </c>
      <c r="X362" s="65" t="s">
        <v>460</v>
      </c>
      <c r="Y362" s="66" t="s">
        <v>461</v>
      </c>
      <c r="Z362" s="66" t="s">
        <v>462</v>
      </c>
      <c r="AA362" s="66" t="s">
        <v>463</v>
      </c>
      <c r="AB362" s="66" t="s">
        <v>464</v>
      </c>
      <c r="AC362" s="66" t="s">
        <v>451</v>
      </c>
      <c r="AD362" s="64" t="s">
        <v>529</v>
      </c>
      <c r="AE362" s="64" t="s">
        <v>535</v>
      </c>
      <c r="AF362" s="64" t="s">
        <v>535</v>
      </c>
      <c r="AG362" s="64" t="s">
        <v>467</v>
      </c>
      <c r="AH362" s="64" t="s">
        <v>467</v>
      </c>
      <c r="AI362" s="66">
        <v>510.0</v>
      </c>
      <c r="AJ362" s="66">
        <v>23.5</v>
      </c>
      <c r="AK362" s="67">
        <v>11985.0</v>
      </c>
      <c r="AL362" s="63"/>
      <c r="AM362" s="63"/>
      <c r="AN362" s="64">
        <v>23.5</v>
      </c>
      <c r="AO362" s="64" t="s">
        <v>468</v>
      </c>
      <c r="AP362" s="63"/>
      <c r="AQ362" s="63"/>
      <c r="AR362" s="63"/>
      <c r="AS362" s="63"/>
      <c r="AT362" s="63"/>
      <c r="AU362" s="63"/>
      <c r="AV362" s="68"/>
      <c r="AW362" s="58" t="s">
        <v>512</v>
      </c>
      <c r="AX362" s="69">
        <v>11985.0</v>
      </c>
      <c r="AY362" s="70"/>
      <c r="AZ362" s="70"/>
      <c r="BA362" s="70"/>
      <c r="BB362" s="70"/>
      <c r="BC362" s="58" t="s">
        <v>469</v>
      </c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</row>
    <row r="363">
      <c r="A363" s="115">
        <v>45825.0</v>
      </c>
      <c r="B363" s="66" t="s">
        <v>451</v>
      </c>
      <c r="C363" s="61">
        <v>45825.0</v>
      </c>
      <c r="D363" s="61">
        <v>45825.0</v>
      </c>
      <c r="E363" s="64" t="s">
        <v>452</v>
      </c>
      <c r="F363" s="101" t="s">
        <v>1282</v>
      </c>
      <c r="G363" s="63"/>
      <c r="H363" s="64" t="s">
        <v>538</v>
      </c>
      <c r="I363" s="64" t="s">
        <v>539</v>
      </c>
      <c r="J363" s="64" t="s">
        <v>456</v>
      </c>
      <c r="K363" s="64" t="s">
        <v>456</v>
      </c>
      <c r="L363" s="64">
        <v>32.0</v>
      </c>
      <c r="M363" s="64">
        <v>32.0</v>
      </c>
      <c r="N363" s="64" t="s">
        <v>540</v>
      </c>
      <c r="O363" s="64">
        <v>24.0</v>
      </c>
      <c r="P363" s="64" t="s">
        <v>1283</v>
      </c>
      <c r="Q363" s="64" t="s">
        <v>459</v>
      </c>
      <c r="R363" s="64" t="s">
        <v>459</v>
      </c>
      <c r="S363" s="64">
        <v>170.0</v>
      </c>
      <c r="T363" s="64">
        <v>1870.0</v>
      </c>
      <c r="U363" s="64">
        <v>170.0</v>
      </c>
      <c r="V363" s="64">
        <v>1870.0</v>
      </c>
      <c r="W363" s="64">
        <v>1870.0</v>
      </c>
      <c r="X363" s="65" t="s">
        <v>460</v>
      </c>
      <c r="Y363" s="64" t="s">
        <v>461</v>
      </c>
      <c r="Z363" s="64" t="s">
        <v>462</v>
      </c>
      <c r="AA363" s="64" t="s">
        <v>463</v>
      </c>
      <c r="AB363" s="64" t="s">
        <v>464</v>
      </c>
      <c r="AC363" s="64" t="s">
        <v>451</v>
      </c>
      <c r="AD363" s="66" t="s">
        <v>541</v>
      </c>
      <c r="AE363" s="66" t="s">
        <v>490</v>
      </c>
      <c r="AF363" s="66" t="s">
        <v>490</v>
      </c>
      <c r="AG363" s="64" t="s">
        <v>467</v>
      </c>
      <c r="AH363" s="64" t="s">
        <v>467</v>
      </c>
      <c r="AI363" s="66">
        <v>325.0</v>
      </c>
      <c r="AJ363" s="66">
        <v>28.4</v>
      </c>
      <c r="AK363" s="67">
        <v>9213.75</v>
      </c>
      <c r="AL363" s="63"/>
      <c r="AM363" s="63"/>
      <c r="AN363" s="64">
        <v>28.35</v>
      </c>
      <c r="AO363" s="64" t="s">
        <v>468</v>
      </c>
      <c r="AP363" s="63"/>
      <c r="AQ363" s="63"/>
      <c r="AR363" s="63"/>
      <c r="AS363" s="63"/>
      <c r="AT363" s="63"/>
      <c r="AU363" s="63"/>
      <c r="AV363" s="68"/>
      <c r="AW363" s="58" t="s">
        <v>512</v>
      </c>
      <c r="AX363" s="69">
        <v>9213.75</v>
      </c>
      <c r="AY363" s="70"/>
      <c r="AZ363" s="70"/>
      <c r="BA363" s="70"/>
      <c r="BB363" s="70"/>
      <c r="BC363" s="58" t="s">
        <v>469</v>
      </c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</row>
    <row r="364">
      <c r="A364" s="59">
        <v>45825.0</v>
      </c>
      <c r="B364" s="64" t="s">
        <v>451</v>
      </c>
      <c r="C364" s="107">
        <v>45825.0</v>
      </c>
      <c r="D364" s="107">
        <v>45825.0</v>
      </c>
      <c r="E364" s="66" t="s">
        <v>452</v>
      </c>
      <c r="F364" s="102" t="s">
        <v>1284</v>
      </c>
      <c r="G364" s="77"/>
      <c r="H364" s="66" t="s">
        <v>504</v>
      </c>
      <c r="I364" s="66" t="s">
        <v>1163</v>
      </c>
      <c r="J364" s="66" t="s">
        <v>456</v>
      </c>
      <c r="K364" s="66" t="s">
        <v>456</v>
      </c>
      <c r="L364" s="66">
        <v>22.0</v>
      </c>
      <c r="M364" s="66">
        <v>22.0</v>
      </c>
      <c r="N364" s="66" t="s">
        <v>457</v>
      </c>
      <c r="O364" s="66">
        <v>24.0</v>
      </c>
      <c r="P364" s="66" t="s">
        <v>1285</v>
      </c>
      <c r="Q364" s="64" t="s">
        <v>459</v>
      </c>
      <c r="R364" s="64" t="s">
        <v>459</v>
      </c>
      <c r="S364" s="64">
        <v>177.0</v>
      </c>
      <c r="T364" s="64">
        <v>1947.0</v>
      </c>
      <c r="U364" s="66">
        <v>177.0</v>
      </c>
      <c r="V364" s="66">
        <v>1947.0</v>
      </c>
      <c r="W364" s="66">
        <v>1947.0</v>
      </c>
      <c r="X364" s="65" t="s">
        <v>460</v>
      </c>
      <c r="Y364" s="66" t="s">
        <v>461</v>
      </c>
      <c r="Z364" s="66" t="s">
        <v>462</v>
      </c>
      <c r="AA364" s="66" t="s">
        <v>463</v>
      </c>
      <c r="AB364" s="66" t="s">
        <v>464</v>
      </c>
      <c r="AC364" s="66" t="s">
        <v>451</v>
      </c>
      <c r="AD364" s="64" t="s">
        <v>544</v>
      </c>
      <c r="AE364" s="64" t="s">
        <v>545</v>
      </c>
      <c r="AF364" s="64" t="s">
        <v>546</v>
      </c>
      <c r="AG364" s="64" t="s">
        <v>467</v>
      </c>
      <c r="AH364" s="64" t="s">
        <v>467</v>
      </c>
      <c r="AI364" s="64">
        <v>440.0</v>
      </c>
      <c r="AJ364" s="64">
        <v>21.5</v>
      </c>
      <c r="AK364" s="67">
        <v>9460.0</v>
      </c>
      <c r="AL364" s="63"/>
      <c r="AM364" s="63"/>
      <c r="AN364" s="64">
        <v>21.5</v>
      </c>
      <c r="AO364" s="60" t="s">
        <v>468</v>
      </c>
      <c r="AP364" s="63"/>
      <c r="AQ364" s="63"/>
      <c r="AR364" s="63"/>
      <c r="AS364" s="63"/>
      <c r="AT364" s="63"/>
      <c r="AU364" s="63"/>
      <c r="AV364" s="63"/>
      <c r="AW364" s="58" t="s">
        <v>512</v>
      </c>
      <c r="AX364" s="69">
        <v>9460.0</v>
      </c>
      <c r="AY364" s="70"/>
      <c r="AZ364" s="70"/>
      <c r="BA364" s="70"/>
      <c r="BB364" s="70"/>
      <c r="BC364" s="58" t="s">
        <v>469</v>
      </c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</row>
    <row r="365">
      <c r="A365" s="115">
        <v>45825.0</v>
      </c>
      <c r="B365" s="66" t="s">
        <v>451</v>
      </c>
      <c r="C365" s="61">
        <v>45825.0</v>
      </c>
      <c r="D365" s="61">
        <v>45825.0</v>
      </c>
      <c r="E365" s="64" t="s">
        <v>452</v>
      </c>
      <c r="F365" s="101" t="s">
        <v>1286</v>
      </c>
      <c r="G365" s="63"/>
      <c r="H365" s="64" t="s">
        <v>454</v>
      </c>
      <c r="I365" s="64" t="s">
        <v>641</v>
      </c>
      <c r="J365" s="64" t="s">
        <v>486</v>
      </c>
      <c r="K365" s="64" t="s">
        <v>486</v>
      </c>
      <c r="L365" s="64">
        <v>22.0</v>
      </c>
      <c r="M365" s="64">
        <v>22.0</v>
      </c>
      <c r="N365" s="64" t="s">
        <v>457</v>
      </c>
      <c r="O365" s="64">
        <v>24.0</v>
      </c>
      <c r="P365" s="64" t="s">
        <v>1287</v>
      </c>
      <c r="Q365" s="64" t="s">
        <v>459</v>
      </c>
      <c r="R365" s="64" t="s">
        <v>459</v>
      </c>
      <c r="S365" s="64">
        <v>150.0</v>
      </c>
      <c r="T365" s="64">
        <v>1650.0</v>
      </c>
      <c r="U365" s="64">
        <v>150.0</v>
      </c>
      <c r="V365" s="64">
        <v>1650.0</v>
      </c>
      <c r="W365" s="64">
        <v>1650.0</v>
      </c>
      <c r="X365" s="65" t="s">
        <v>460</v>
      </c>
      <c r="Y365" s="64" t="s">
        <v>461</v>
      </c>
      <c r="Z365" s="64" t="s">
        <v>462</v>
      </c>
      <c r="AA365" s="64" t="s">
        <v>463</v>
      </c>
      <c r="AB365" s="64" t="s">
        <v>464</v>
      </c>
      <c r="AC365" s="64" t="s">
        <v>451</v>
      </c>
      <c r="AD365" s="66" t="s">
        <v>765</v>
      </c>
      <c r="AE365" s="66" t="s">
        <v>663</v>
      </c>
      <c r="AF365" s="66" t="s">
        <v>663</v>
      </c>
      <c r="AG365" s="64" t="s">
        <v>467</v>
      </c>
      <c r="AH365" s="64" t="s">
        <v>467</v>
      </c>
      <c r="AI365" s="64">
        <v>330.0</v>
      </c>
      <c r="AJ365" s="64">
        <v>23.5</v>
      </c>
      <c r="AK365" s="67">
        <v>7755.0</v>
      </c>
      <c r="AL365" s="63"/>
      <c r="AM365" s="63"/>
      <c r="AN365" s="64">
        <v>23.5</v>
      </c>
      <c r="AO365" s="64" t="s">
        <v>468</v>
      </c>
      <c r="AP365" s="63"/>
      <c r="AQ365" s="63"/>
      <c r="AR365" s="63"/>
      <c r="AS365" s="63"/>
      <c r="AT365" s="63"/>
      <c r="AU365" s="63"/>
      <c r="AV365" s="63"/>
      <c r="AW365" s="58" t="s">
        <v>512</v>
      </c>
      <c r="AX365" s="69">
        <v>7755.0</v>
      </c>
      <c r="AY365" s="70"/>
      <c r="AZ365" s="70"/>
      <c r="BA365" s="70"/>
      <c r="BB365" s="70"/>
      <c r="BC365" s="58" t="s">
        <v>469</v>
      </c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</row>
    <row r="366">
      <c r="A366" s="59">
        <v>45825.0</v>
      </c>
      <c r="B366" s="64" t="s">
        <v>451</v>
      </c>
      <c r="C366" s="107">
        <v>45825.0</v>
      </c>
      <c r="D366" s="107">
        <v>45825.0</v>
      </c>
      <c r="E366" s="66" t="s">
        <v>452</v>
      </c>
      <c r="F366" s="102" t="s">
        <v>1288</v>
      </c>
      <c r="G366" s="77"/>
      <c r="H366" s="66" t="s">
        <v>521</v>
      </c>
      <c r="I366" s="66" t="s">
        <v>619</v>
      </c>
      <c r="J366" s="64" t="s">
        <v>486</v>
      </c>
      <c r="K366" s="64" t="s">
        <v>486</v>
      </c>
      <c r="L366" s="66">
        <v>22.0</v>
      </c>
      <c r="M366" s="66">
        <v>22.0</v>
      </c>
      <c r="N366" s="66" t="s">
        <v>457</v>
      </c>
      <c r="O366" s="66">
        <v>24.0</v>
      </c>
      <c r="P366" s="64" t="s">
        <v>459</v>
      </c>
      <c r="Q366" s="64" t="s">
        <v>459</v>
      </c>
      <c r="R366" s="64" t="s">
        <v>459</v>
      </c>
      <c r="S366" s="64">
        <v>131.0</v>
      </c>
      <c r="T366" s="64">
        <v>1441.0</v>
      </c>
      <c r="U366" s="64">
        <v>131.0</v>
      </c>
      <c r="V366" s="64">
        <v>1441.0</v>
      </c>
      <c r="W366" s="64">
        <v>1441.0</v>
      </c>
      <c r="X366" s="76" t="s">
        <v>460</v>
      </c>
      <c r="Y366" s="64" t="s">
        <v>461</v>
      </c>
      <c r="Z366" s="64" t="s">
        <v>462</v>
      </c>
      <c r="AA366" s="64" t="s">
        <v>463</v>
      </c>
      <c r="AB366" s="66" t="s">
        <v>464</v>
      </c>
      <c r="AC366" s="66" t="s">
        <v>451</v>
      </c>
      <c r="AD366" s="66" t="s">
        <v>678</v>
      </c>
      <c r="AE366" s="66" t="s">
        <v>643</v>
      </c>
      <c r="AF366" s="66" t="s">
        <v>643</v>
      </c>
      <c r="AG366" s="64" t="s">
        <v>467</v>
      </c>
      <c r="AH366" s="64" t="s">
        <v>467</v>
      </c>
      <c r="AI366" s="64">
        <v>805.0</v>
      </c>
      <c r="AJ366" s="64">
        <v>23.5</v>
      </c>
      <c r="AK366" s="67">
        <v>18917.5</v>
      </c>
      <c r="AL366" s="63"/>
      <c r="AM366" s="63"/>
      <c r="AN366" s="64">
        <v>23.5</v>
      </c>
      <c r="AO366" s="66" t="s">
        <v>468</v>
      </c>
      <c r="AP366" s="63"/>
      <c r="AQ366" s="63"/>
      <c r="AR366" s="63"/>
      <c r="AS366" s="63"/>
      <c r="AT366" s="63"/>
      <c r="AU366" s="63"/>
      <c r="AV366" s="68"/>
      <c r="AW366" s="58" t="s">
        <v>512</v>
      </c>
      <c r="AX366" s="69">
        <v>18917.5</v>
      </c>
      <c r="AY366" s="70"/>
      <c r="AZ366" s="70"/>
      <c r="BA366" s="70"/>
      <c r="BB366" s="70"/>
      <c r="BC366" s="58" t="s">
        <v>469</v>
      </c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</row>
    <row r="367">
      <c r="A367" s="115">
        <v>45825.0</v>
      </c>
      <c r="B367" s="66" t="s">
        <v>451</v>
      </c>
      <c r="C367" s="61">
        <v>45825.0</v>
      </c>
      <c r="D367" s="61">
        <v>45825.0</v>
      </c>
      <c r="E367" s="64" t="s">
        <v>452</v>
      </c>
      <c r="F367" s="101" t="s">
        <v>1289</v>
      </c>
      <c r="G367" s="63"/>
      <c r="H367" s="64" t="s">
        <v>521</v>
      </c>
      <c r="I367" s="64" t="s">
        <v>713</v>
      </c>
      <c r="J367" s="64" t="s">
        <v>456</v>
      </c>
      <c r="K367" s="64" t="s">
        <v>456</v>
      </c>
      <c r="L367" s="66">
        <v>22.0</v>
      </c>
      <c r="M367" s="66">
        <v>22.0</v>
      </c>
      <c r="N367" s="66" t="s">
        <v>457</v>
      </c>
      <c r="O367" s="66">
        <v>24.0</v>
      </c>
      <c r="P367" s="64" t="s">
        <v>1290</v>
      </c>
      <c r="Q367" s="64" t="s">
        <v>459</v>
      </c>
      <c r="R367" s="64" t="s">
        <v>459</v>
      </c>
      <c r="S367" s="64">
        <v>231.0</v>
      </c>
      <c r="T367" s="64">
        <v>2541.0</v>
      </c>
      <c r="U367" s="64">
        <v>231.0</v>
      </c>
      <c r="V367" s="64">
        <v>2541.0</v>
      </c>
      <c r="W367" s="64">
        <v>2541.0</v>
      </c>
      <c r="X367" s="76" t="s">
        <v>460</v>
      </c>
      <c r="Y367" s="64" t="s">
        <v>461</v>
      </c>
      <c r="Z367" s="64" t="s">
        <v>462</v>
      </c>
      <c r="AA367" s="64" t="s">
        <v>463</v>
      </c>
      <c r="AB367" s="64" t="s">
        <v>464</v>
      </c>
      <c r="AC367" s="64" t="s">
        <v>451</v>
      </c>
      <c r="AD367" s="66" t="s">
        <v>557</v>
      </c>
      <c r="AE367" s="64" t="s">
        <v>525</v>
      </c>
      <c r="AF367" s="64" t="s">
        <v>525</v>
      </c>
      <c r="AG367" s="64" t="s">
        <v>467</v>
      </c>
      <c r="AH367" s="64" t="s">
        <v>467</v>
      </c>
      <c r="AI367" s="66">
        <v>800.0</v>
      </c>
      <c r="AJ367" s="64">
        <v>21.5</v>
      </c>
      <c r="AK367" s="67">
        <v>17200.0</v>
      </c>
      <c r="AL367" s="63"/>
      <c r="AM367" s="63"/>
      <c r="AN367" s="64">
        <v>21.5</v>
      </c>
      <c r="AO367" s="66" t="s">
        <v>468</v>
      </c>
      <c r="AP367" s="63"/>
      <c r="AQ367" s="63"/>
      <c r="AR367" s="63"/>
      <c r="AS367" s="63"/>
      <c r="AT367" s="63"/>
      <c r="AU367" s="63"/>
      <c r="AV367" s="68"/>
      <c r="AW367" s="58" t="s">
        <v>512</v>
      </c>
      <c r="AX367" s="69">
        <v>17200.0</v>
      </c>
      <c r="AY367" s="70"/>
      <c r="AZ367" s="70"/>
      <c r="BA367" s="70"/>
      <c r="BB367" s="70"/>
      <c r="BC367" s="58" t="s">
        <v>469</v>
      </c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</row>
    <row r="368">
      <c r="A368" s="59">
        <v>45825.0</v>
      </c>
      <c r="B368" s="64" t="s">
        <v>451</v>
      </c>
      <c r="C368" s="107">
        <v>45825.0</v>
      </c>
      <c r="D368" s="107">
        <v>45825.0</v>
      </c>
      <c r="E368" s="66" t="s">
        <v>452</v>
      </c>
      <c r="F368" s="102" t="s">
        <v>1291</v>
      </c>
      <c r="G368" s="77"/>
      <c r="H368" s="66" t="s">
        <v>771</v>
      </c>
      <c r="I368" s="66" t="s">
        <v>772</v>
      </c>
      <c r="J368" s="66" t="s">
        <v>456</v>
      </c>
      <c r="K368" s="66" t="s">
        <v>456</v>
      </c>
      <c r="L368" s="66">
        <v>22.0</v>
      </c>
      <c r="M368" s="66">
        <v>22.0</v>
      </c>
      <c r="N368" s="66" t="s">
        <v>457</v>
      </c>
      <c r="O368" s="66">
        <v>24.0</v>
      </c>
      <c r="P368" s="66" t="s">
        <v>1292</v>
      </c>
      <c r="Q368" s="64" t="s">
        <v>459</v>
      </c>
      <c r="R368" s="64" t="s">
        <v>459</v>
      </c>
      <c r="S368" s="64">
        <v>273.0</v>
      </c>
      <c r="T368" s="64">
        <v>3003.0</v>
      </c>
      <c r="U368" s="66">
        <v>273.0</v>
      </c>
      <c r="V368" s="66">
        <v>3003.0</v>
      </c>
      <c r="W368" s="66">
        <v>3003.0</v>
      </c>
      <c r="X368" s="65" t="s">
        <v>460</v>
      </c>
      <c r="Y368" s="66" t="s">
        <v>461</v>
      </c>
      <c r="Z368" s="66" t="s">
        <v>462</v>
      </c>
      <c r="AA368" s="66" t="s">
        <v>463</v>
      </c>
      <c r="AB368" s="66" t="s">
        <v>464</v>
      </c>
      <c r="AC368" s="66" t="s">
        <v>451</v>
      </c>
      <c r="AD368" s="64" t="s">
        <v>561</v>
      </c>
      <c r="AE368" s="64" t="s">
        <v>562</v>
      </c>
      <c r="AF368" s="64" t="s">
        <v>562</v>
      </c>
      <c r="AG368" s="64" t="s">
        <v>467</v>
      </c>
      <c r="AH368" s="64" t="s">
        <v>467</v>
      </c>
      <c r="AI368" s="60">
        <v>325.0</v>
      </c>
      <c r="AJ368" s="64">
        <v>21.5</v>
      </c>
      <c r="AK368" s="67">
        <v>6987.5</v>
      </c>
      <c r="AL368" s="63"/>
      <c r="AM368" s="63"/>
      <c r="AN368" s="64">
        <v>21.5</v>
      </c>
      <c r="AO368" s="64" t="s">
        <v>468</v>
      </c>
      <c r="AP368" s="63"/>
      <c r="AQ368" s="63"/>
      <c r="AR368" s="63"/>
      <c r="AS368" s="63"/>
      <c r="AT368" s="63"/>
      <c r="AU368" s="63"/>
      <c r="AV368" s="63"/>
      <c r="AW368" s="58" t="s">
        <v>512</v>
      </c>
      <c r="AX368" s="69">
        <v>6987.5</v>
      </c>
      <c r="AY368" s="70"/>
      <c r="AZ368" s="70"/>
      <c r="BA368" s="70"/>
      <c r="BB368" s="70"/>
      <c r="BC368" s="58" t="s">
        <v>469</v>
      </c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</row>
    <row r="369">
      <c r="A369" s="115">
        <v>45825.0</v>
      </c>
      <c r="B369" s="66" t="s">
        <v>451</v>
      </c>
      <c r="C369" s="61">
        <v>45825.0</v>
      </c>
      <c r="D369" s="61">
        <v>45825.0</v>
      </c>
      <c r="E369" s="64" t="s">
        <v>452</v>
      </c>
      <c r="F369" s="101" t="s">
        <v>1293</v>
      </c>
      <c r="G369" s="63"/>
      <c r="H369" s="64" t="s">
        <v>771</v>
      </c>
      <c r="I369" s="64" t="s">
        <v>775</v>
      </c>
      <c r="J369" s="64" t="s">
        <v>456</v>
      </c>
      <c r="K369" s="64" t="s">
        <v>456</v>
      </c>
      <c r="L369" s="64">
        <v>22.0</v>
      </c>
      <c r="M369" s="64">
        <v>22.0</v>
      </c>
      <c r="N369" s="64" t="s">
        <v>457</v>
      </c>
      <c r="O369" s="64">
        <v>24.0</v>
      </c>
      <c r="P369" s="64" t="s">
        <v>1294</v>
      </c>
      <c r="Q369" s="64" t="s">
        <v>459</v>
      </c>
      <c r="R369" s="64" t="s">
        <v>459</v>
      </c>
      <c r="S369" s="64">
        <v>185.0</v>
      </c>
      <c r="T369" s="64">
        <v>2035.0</v>
      </c>
      <c r="U369" s="64">
        <v>185.0</v>
      </c>
      <c r="V369" s="64">
        <v>2035.0</v>
      </c>
      <c r="W369" s="64">
        <v>2035.0</v>
      </c>
      <c r="X369" s="65" t="s">
        <v>460</v>
      </c>
      <c r="Y369" s="64" t="s">
        <v>461</v>
      </c>
      <c r="Z369" s="64" t="s">
        <v>462</v>
      </c>
      <c r="AA369" s="64" t="s">
        <v>463</v>
      </c>
      <c r="AB369" s="64" t="s">
        <v>464</v>
      </c>
      <c r="AC369" s="64" t="s">
        <v>451</v>
      </c>
      <c r="AD369" s="66" t="s">
        <v>566</v>
      </c>
      <c r="AE369" s="66" t="s">
        <v>567</v>
      </c>
      <c r="AF369" s="66" t="s">
        <v>567</v>
      </c>
      <c r="AG369" s="64" t="s">
        <v>467</v>
      </c>
      <c r="AH369" s="64" t="s">
        <v>467</v>
      </c>
      <c r="AI369" s="64">
        <v>475.0</v>
      </c>
      <c r="AJ369" s="66">
        <v>21.5</v>
      </c>
      <c r="AK369" s="67">
        <v>10212.5</v>
      </c>
      <c r="AL369" s="63"/>
      <c r="AM369" s="63"/>
      <c r="AN369" s="64">
        <v>21.5</v>
      </c>
      <c r="AO369" s="64" t="s">
        <v>468</v>
      </c>
      <c r="AP369" s="63"/>
      <c r="AQ369" s="63"/>
      <c r="AR369" s="63"/>
      <c r="AS369" s="63"/>
      <c r="AT369" s="63"/>
      <c r="AU369" s="63"/>
      <c r="AV369" s="63"/>
      <c r="AW369" s="58" t="s">
        <v>512</v>
      </c>
      <c r="AX369" s="69">
        <v>10212.5</v>
      </c>
      <c r="AY369" s="70"/>
      <c r="AZ369" s="70"/>
      <c r="BA369" s="70"/>
      <c r="BB369" s="70"/>
      <c r="BC369" s="58" t="s">
        <v>469</v>
      </c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</row>
    <row r="370">
      <c r="A370" s="59">
        <v>45825.0</v>
      </c>
      <c r="B370" s="64" t="s">
        <v>451</v>
      </c>
      <c r="C370" s="107">
        <v>45825.0</v>
      </c>
      <c r="D370" s="107">
        <v>45825.0</v>
      </c>
      <c r="E370" s="66" t="s">
        <v>452</v>
      </c>
      <c r="F370" s="102" t="s">
        <v>1295</v>
      </c>
      <c r="G370" s="77"/>
      <c r="H370" s="66" t="s">
        <v>492</v>
      </c>
      <c r="I370" s="66" t="s">
        <v>569</v>
      </c>
      <c r="J370" s="66" t="s">
        <v>456</v>
      </c>
      <c r="K370" s="66" t="s">
        <v>456</v>
      </c>
      <c r="L370" s="66">
        <v>22.0</v>
      </c>
      <c r="M370" s="66">
        <v>22.0</v>
      </c>
      <c r="N370" s="66" t="s">
        <v>457</v>
      </c>
      <c r="O370" s="66">
        <v>24.0</v>
      </c>
      <c r="P370" s="66" t="s">
        <v>1296</v>
      </c>
      <c r="Q370" s="64" t="s">
        <v>459</v>
      </c>
      <c r="R370" s="64" t="s">
        <v>459</v>
      </c>
      <c r="S370" s="64">
        <v>393.0</v>
      </c>
      <c r="T370" s="64">
        <v>4323.0</v>
      </c>
      <c r="U370" s="66">
        <v>393.0</v>
      </c>
      <c r="V370" s="66">
        <v>4323.0</v>
      </c>
      <c r="W370" s="66">
        <v>4323.0</v>
      </c>
      <c r="X370" s="65" t="s">
        <v>460</v>
      </c>
      <c r="Y370" s="66" t="s">
        <v>461</v>
      </c>
      <c r="Z370" s="66" t="s">
        <v>462</v>
      </c>
      <c r="AA370" s="66" t="s">
        <v>463</v>
      </c>
      <c r="AB370" s="66" t="s">
        <v>464</v>
      </c>
      <c r="AC370" s="66" t="s">
        <v>451</v>
      </c>
      <c r="AD370" s="64" t="s">
        <v>571</v>
      </c>
      <c r="AE370" s="64" t="s">
        <v>572</v>
      </c>
      <c r="AF370" s="64" t="s">
        <v>572</v>
      </c>
      <c r="AG370" s="64" t="s">
        <v>467</v>
      </c>
      <c r="AH370" s="64" t="s">
        <v>467</v>
      </c>
      <c r="AI370" s="66">
        <v>655.0</v>
      </c>
      <c r="AJ370" s="66">
        <v>21.5</v>
      </c>
      <c r="AK370" s="67">
        <v>14082.5</v>
      </c>
      <c r="AL370" s="63"/>
      <c r="AM370" s="63"/>
      <c r="AN370" s="64">
        <v>21.5</v>
      </c>
      <c r="AO370" s="60" t="s">
        <v>468</v>
      </c>
      <c r="AP370" s="63"/>
      <c r="AQ370" s="63"/>
      <c r="AR370" s="63"/>
      <c r="AS370" s="63"/>
      <c r="AT370" s="63"/>
      <c r="AU370" s="63"/>
      <c r="AV370" s="68"/>
      <c r="AW370" s="58" t="s">
        <v>512</v>
      </c>
      <c r="AX370" s="69">
        <v>14082.5</v>
      </c>
      <c r="AY370" s="70"/>
      <c r="AZ370" s="70"/>
      <c r="BA370" s="70"/>
      <c r="BB370" s="70"/>
      <c r="BC370" s="58" t="s">
        <v>469</v>
      </c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</row>
    <row r="371">
      <c r="A371" s="115">
        <v>45825.0</v>
      </c>
      <c r="B371" s="66" t="s">
        <v>451</v>
      </c>
      <c r="C371" s="61">
        <v>45825.0</v>
      </c>
      <c r="D371" s="61">
        <v>45825.0</v>
      </c>
      <c r="E371" s="64" t="s">
        <v>452</v>
      </c>
      <c r="F371" s="116" t="s">
        <v>1297</v>
      </c>
      <c r="G371" s="63"/>
      <c r="H371" s="64" t="s">
        <v>521</v>
      </c>
      <c r="I371" s="64" t="s">
        <v>769</v>
      </c>
      <c r="J371" s="64" t="s">
        <v>486</v>
      </c>
      <c r="K371" s="64" t="s">
        <v>486</v>
      </c>
      <c r="L371" s="64">
        <v>22.0</v>
      </c>
      <c r="M371" s="64">
        <v>22.0</v>
      </c>
      <c r="N371" s="64" t="s">
        <v>457</v>
      </c>
      <c r="O371" s="64">
        <v>24.0</v>
      </c>
      <c r="P371" s="64" t="s">
        <v>1298</v>
      </c>
      <c r="Q371" s="64" t="s">
        <v>459</v>
      </c>
      <c r="R371" s="64" t="s">
        <v>459</v>
      </c>
      <c r="S371" s="64">
        <v>74.0</v>
      </c>
      <c r="T371" s="64">
        <v>814.0</v>
      </c>
      <c r="U371" s="64">
        <v>74.0</v>
      </c>
      <c r="V371" s="64">
        <v>814.0</v>
      </c>
      <c r="W371" s="64">
        <v>814.0</v>
      </c>
      <c r="X371" s="65" t="s">
        <v>460</v>
      </c>
      <c r="Y371" s="64" t="s">
        <v>461</v>
      </c>
      <c r="Z371" s="64" t="s">
        <v>462</v>
      </c>
      <c r="AA371" s="64" t="s">
        <v>463</v>
      </c>
      <c r="AB371" s="64" t="s">
        <v>464</v>
      </c>
      <c r="AC371" s="64" t="s">
        <v>451</v>
      </c>
      <c r="AD371" s="66" t="s">
        <v>571</v>
      </c>
      <c r="AE371" s="66" t="s">
        <v>572</v>
      </c>
      <c r="AF371" s="66" t="s">
        <v>572</v>
      </c>
      <c r="AG371" s="64" t="s">
        <v>467</v>
      </c>
      <c r="AH371" s="64" t="s">
        <v>467</v>
      </c>
      <c r="AI371" s="66">
        <v>655.0</v>
      </c>
      <c r="AJ371" s="66">
        <v>23.5</v>
      </c>
      <c r="AK371" s="67">
        <v>15392.5</v>
      </c>
      <c r="AL371" s="63"/>
      <c r="AM371" s="63"/>
      <c r="AN371" s="64">
        <v>23.5</v>
      </c>
      <c r="AO371" s="60" t="s">
        <v>468</v>
      </c>
      <c r="AP371" s="63"/>
      <c r="AQ371" s="63"/>
      <c r="AR371" s="63"/>
      <c r="AS371" s="63"/>
      <c r="AT371" s="63"/>
      <c r="AU371" s="63"/>
      <c r="AV371" s="68"/>
      <c r="AW371" s="58" t="s">
        <v>512</v>
      </c>
      <c r="AX371" s="69">
        <v>15392.5</v>
      </c>
      <c r="AY371" s="70"/>
      <c r="AZ371" s="70"/>
      <c r="BA371" s="70"/>
      <c r="BB371" s="70"/>
      <c r="BC371" s="58" t="s">
        <v>469</v>
      </c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</row>
    <row r="372">
      <c r="A372" s="59">
        <v>45825.0</v>
      </c>
      <c r="B372" s="64" t="s">
        <v>451</v>
      </c>
      <c r="C372" s="107">
        <v>45825.0</v>
      </c>
      <c r="D372" s="107">
        <v>45825.0</v>
      </c>
      <c r="E372" s="66" t="s">
        <v>452</v>
      </c>
      <c r="F372" s="102" t="s">
        <v>1299</v>
      </c>
      <c r="G372" s="77"/>
      <c r="H372" s="66" t="s">
        <v>472</v>
      </c>
      <c r="I372" s="66" t="s">
        <v>632</v>
      </c>
      <c r="J372" s="66" t="s">
        <v>456</v>
      </c>
      <c r="K372" s="66" t="s">
        <v>456</v>
      </c>
      <c r="L372" s="66">
        <v>22.0</v>
      </c>
      <c r="M372" s="66">
        <v>22.0</v>
      </c>
      <c r="N372" s="66" t="s">
        <v>457</v>
      </c>
      <c r="O372" s="66">
        <v>24.0</v>
      </c>
      <c r="P372" s="66" t="s">
        <v>1300</v>
      </c>
      <c r="Q372" s="64" t="s">
        <v>459</v>
      </c>
      <c r="R372" s="64" t="s">
        <v>459</v>
      </c>
      <c r="S372" s="64">
        <v>146.0</v>
      </c>
      <c r="T372" s="64">
        <v>1606.0</v>
      </c>
      <c r="U372" s="66">
        <v>146.0</v>
      </c>
      <c r="V372" s="66">
        <v>1606.0</v>
      </c>
      <c r="W372" s="66">
        <v>1606.0</v>
      </c>
      <c r="X372" s="65" t="s">
        <v>460</v>
      </c>
      <c r="Y372" s="66" t="s">
        <v>461</v>
      </c>
      <c r="Z372" s="66" t="s">
        <v>462</v>
      </c>
      <c r="AA372" s="66" t="s">
        <v>463</v>
      </c>
      <c r="AB372" s="66" t="s">
        <v>464</v>
      </c>
      <c r="AC372" s="66" t="s">
        <v>451</v>
      </c>
      <c r="AD372" s="64" t="s">
        <v>577</v>
      </c>
      <c r="AE372" s="64" t="s">
        <v>578</v>
      </c>
      <c r="AF372" s="64" t="s">
        <v>578</v>
      </c>
      <c r="AG372" s="64" t="s">
        <v>467</v>
      </c>
      <c r="AH372" s="64" t="s">
        <v>467</v>
      </c>
      <c r="AI372" s="66">
        <v>396.0</v>
      </c>
      <c r="AJ372" s="64">
        <v>21.5</v>
      </c>
      <c r="AK372" s="67">
        <v>8514.0</v>
      </c>
      <c r="AL372" s="63"/>
      <c r="AM372" s="63"/>
      <c r="AN372" s="64">
        <v>21.5</v>
      </c>
      <c r="AO372" s="64" t="s">
        <v>468</v>
      </c>
      <c r="AP372" s="63"/>
      <c r="AQ372" s="63"/>
      <c r="AR372" s="63"/>
      <c r="AS372" s="63"/>
      <c r="AT372" s="63"/>
      <c r="AU372" s="63"/>
      <c r="AV372" s="63"/>
      <c r="AW372" s="58" t="s">
        <v>512</v>
      </c>
      <c r="AX372" s="69">
        <v>8514.0</v>
      </c>
      <c r="AY372" s="70"/>
      <c r="AZ372" s="70"/>
      <c r="BA372" s="70"/>
      <c r="BB372" s="70"/>
      <c r="BC372" s="58" t="s">
        <v>469</v>
      </c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</row>
    <row r="373">
      <c r="A373" s="115">
        <v>45825.0</v>
      </c>
      <c r="B373" s="66" t="s">
        <v>451</v>
      </c>
      <c r="C373" s="61">
        <v>45825.0</v>
      </c>
      <c r="D373" s="61">
        <v>45825.0</v>
      </c>
      <c r="E373" s="64" t="s">
        <v>452</v>
      </c>
      <c r="F373" s="101" t="s">
        <v>1301</v>
      </c>
      <c r="G373" s="63"/>
      <c r="H373" s="64" t="s">
        <v>1218</v>
      </c>
      <c r="I373" s="64" t="s">
        <v>1302</v>
      </c>
      <c r="J373" s="64" t="s">
        <v>486</v>
      </c>
      <c r="K373" s="64" t="s">
        <v>486</v>
      </c>
      <c r="L373" s="64">
        <v>22.0</v>
      </c>
      <c r="M373" s="64">
        <v>22.0</v>
      </c>
      <c r="N373" s="64" t="s">
        <v>457</v>
      </c>
      <c r="O373" s="64">
        <v>24.0</v>
      </c>
      <c r="P373" s="64" t="s">
        <v>1303</v>
      </c>
      <c r="Q373" s="64" t="s">
        <v>459</v>
      </c>
      <c r="R373" s="64" t="s">
        <v>459</v>
      </c>
      <c r="S373" s="64">
        <v>83.0</v>
      </c>
      <c r="T373" s="64">
        <v>913.0</v>
      </c>
      <c r="U373" s="64">
        <v>83.0</v>
      </c>
      <c r="V373" s="64">
        <v>913.0</v>
      </c>
      <c r="W373" s="64">
        <v>913.0</v>
      </c>
      <c r="X373" s="65" t="s">
        <v>460</v>
      </c>
      <c r="Y373" s="64" t="s">
        <v>461</v>
      </c>
      <c r="Z373" s="64" t="s">
        <v>462</v>
      </c>
      <c r="AA373" s="64" t="s">
        <v>463</v>
      </c>
      <c r="AB373" s="64" t="s">
        <v>464</v>
      </c>
      <c r="AC373" s="64" t="s">
        <v>451</v>
      </c>
      <c r="AD373" s="66" t="s">
        <v>577</v>
      </c>
      <c r="AE373" s="66" t="s">
        <v>578</v>
      </c>
      <c r="AF373" s="66" t="s">
        <v>578</v>
      </c>
      <c r="AG373" s="64" t="s">
        <v>467</v>
      </c>
      <c r="AH373" s="64" t="s">
        <v>467</v>
      </c>
      <c r="AI373" s="66">
        <v>396.0</v>
      </c>
      <c r="AJ373" s="64">
        <v>23.5</v>
      </c>
      <c r="AK373" s="67">
        <v>9306.0</v>
      </c>
      <c r="AL373" s="63"/>
      <c r="AM373" s="63"/>
      <c r="AN373" s="64">
        <v>23.5</v>
      </c>
      <c r="AO373" s="64" t="s">
        <v>468</v>
      </c>
      <c r="AP373" s="63"/>
      <c r="AQ373" s="63"/>
      <c r="AR373" s="63"/>
      <c r="AS373" s="63"/>
      <c r="AT373" s="63"/>
      <c r="AU373" s="63"/>
      <c r="AV373" s="63"/>
      <c r="AW373" s="58" t="s">
        <v>512</v>
      </c>
      <c r="AX373" s="69">
        <v>9306.0</v>
      </c>
      <c r="AY373" s="70"/>
      <c r="AZ373" s="70"/>
      <c r="BA373" s="70"/>
      <c r="BB373" s="70"/>
      <c r="BC373" s="58" t="s">
        <v>469</v>
      </c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</row>
    <row r="374">
      <c r="A374" s="59">
        <v>45825.0</v>
      </c>
      <c r="B374" s="64" t="s">
        <v>451</v>
      </c>
      <c r="C374" s="107">
        <v>45825.0</v>
      </c>
      <c r="D374" s="107">
        <v>45825.0</v>
      </c>
      <c r="E374" s="66" t="s">
        <v>452</v>
      </c>
      <c r="F374" s="102" t="s">
        <v>1304</v>
      </c>
      <c r="G374" s="77"/>
      <c r="H374" s="66" t="s">
        <v>472</v>
      </c>
      <c r="I374" s="66" t="s">
        <v>581</v>
      </c>
      <c r="J374" s="66" t="s">
        <v>456</v>
      </c>
      <c r="K374" s="66" t="s">
        <v>456</v>
      </c>
      <c r="L374" s="66">
        <v>22.0</v>
      </c>
      <c r="M374" s="66">
        <v>22.0</v>
      </c>
      <c r="N374" s="66" t="s">
        <v>457</v>
      </c>
      <c r="O374" s="66">
        <v>24.0</v>
      </c>
      <c r="P374" s="66" t="s">
        <v>1305</v>
      </c>
      <c r="Q374" s="64" t="s">
        <v>459</v>
      </c>
      <c r="R374" s="64" t="s">
        <v>459</v>
      </c>
      <c r="S374" s="64">
        <v>115.0</v>
      </c>
      <c r="T374" s="64">
        <v>1265.0</v>
      </c>
      <c r="U374" s="66">
        <v>115.0</v>
      </c>
      <c r="V374" s="66">
        <v>1265.0</v>
      </c>
      <c r="W374" s="66">
        <v>1265.0</v>
      </c>
      <c r="X374" s="65" t="s">
        <v>460</v>
      </c>
      <c r="Y374" s="66" t="s">
        <v>461</v>
      </c>
      <c r="Z374" s="66" t="s">
        <v>462</v>
      </c>
      <c r="AA374" s="66" t="s">
        <v>463</v>
      </c>
      <c r="AB374" s="66" t="s">
        <v>464</v>
      </c>
      <c r="AC374" s="66" t="s">
        <v>451</v>
      </c>
      <c r="AD374" s="64" t="s">
        <v>638</v>
      </c>
      <c r="AE374" s="64" t="s">
        <v>531</v>
      </c>
      <c r="AF374" s="64" t="s">
        <v>531</v>
      </c>
      <c r="AG374" s="64" t="s">
        <v>467</v>
      </c>
      <c r="AH374" s="64" t="s">
        <v>467</v>
      </c>
      <c r="AI374" s="66">
        <v>510.0</v>
      </c>
      <c r="AJ374" s="66">
        <v>21.5</v>
      </c>
      <c r="AK374" s="67">
        <v>10965.0</v>
      </c>
      <c r="AL374" s="63"/>
      <c r="AM374" s="63"/>
      <c r="AN374" s="64">
        <v>21.5</v>
      </c>
      <c r="AO374" s="64" t="s">
        <v>468</v>
      </c>
      <c r="AP374" s="63"/>
      <c r="AQ374" s="63"/>
      <c r="AR374" s="63"/>
      <c r="AS374" s="63"/>
      <c r="AT374" s="63"/>
      <c r="AU374" s="63"/>
      <c r="AV374" s="68"/>
      <c r="AW374" s="58" t="s">
        <v>512</v>
      </c>
      <c r="AX374" s="69">
        <v>10965.0</v>
      </c>
      <c r="AY374" s="70"/>
      <c r="AZ374" s="70"/>
      <c r="BA374" s="70"/>
      <c r="BB374" s="70"/>
      <c r="BC374" s="58" t="s">
        <v>469</v>
      </c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</row>
    <row r="375">
      <c r="A375" s="115">
        <v>45825.0</v>
      </c>
      <c r="B375" s="66" t="s">
        <v>451</v>
      </c>
      <c r="C375" s="61">
        <v>45825.0</v>
      </c>
      <c r="D375" s="61">
        <v>45825.0</v>
      </c>
      <c r="E375" s="64" t="s">
        <v>452</v>
      </c>
      <c r="F375" s="101" t="s">
        <v>1306</v>
      </c>
      <c r="G375" s="63"/>
      <c r="H375" s="64" t="s">
        <v>472</v>
      </c>
      <c r="I375" s="64" t="s">
        <v>891</v>
      </c>
      <c r="J375" s="64" t="s">
        <v>456</v>
      </c>
      <c r="K375" s="64" t="s">
        <v>456</v>
      </c>
      <c r="L375" s="64">
        <v>22.0</v>
      </c>
      <c r="M375" s="64">
        <v>22.0</v>
      </c>
      <c r="N375" s="64" t="s">
        <v>457</v>
      </c>
      <c r="O375" s="64">
        <v>24.0</v>
      </c>
      <c r="P375" s="75">
        <v>2.45E8</v>
      </c>
      <c r="Q375" s="64" t="s">
        <v>459</v>
      </c>
      <c r="R375" s="64" t="s">
        <v>459</v>
      </c>
      <c r="S375" s="64">
        <v>126.0</v>
      </c>
      <c r="T375" s="64">
        <v>1386.0</v>
      </c>
      <c r="U375" s="64">
        <v>126.0</v>
      </c>
      <c r="V375" s="64">
        <v>1386.0</v>
      </c>
      <c r="W375" s="64">
        <v>1386.0</v>
      </c>
      <c r="X375" s="65" t="s">
        <v>460</v>
      </c>
      <c r="Y375" s="64" t="s">
        <v>461</v>
      </c>
      <c r="Z375" s="64" t="s">
        <v>462</v>
      </c>
      <c r="AA375" s="64" t="s">
        <v>463</v>
      </c>
      <c r="AB375" s="64" t="s">
        <v>464</v>
      </c>
      <c r="AC375" s="64" t="s">
        <v>451</v>
      </c>
      <c r="AD375" s="66" t="s">
        <v>634</v>
      </c>
      <c r="AE375" s="66" t="s">
        <v>617</v>
      </c>
      <c r="AF375" s="66" t="s">
        <v>617</v>
      </c>
      <c r="AG375" s="64" t="s">
        <v>467</v>
      </c>
      <c r="AH375" s="64" t="s">
        <v>467</v>
      </c>
      <c r="AI375" s="64">
        <v>330.0</v>
      </c>
      <c r="AJ375" s="64">
        <v>21.5</v>
      </c>
      <c r="AK375" s="67">
        <v>7095.0</v>
      </c>
      <c r="AL375" s="63"/>
      <c r="AM375" s="63"/>
      <c r="AN375" s="64">
        <v>21.5</v>
      </c>
      <c r="AO375" s="64" t="s">
        <v>468</v>
      </c>
      <c r="AP375" s="63"/>
      <c r="AQ375" s="63"/>
      <c r="AR375" s="63"/>
      <c r="AS375" s="63"/>
      <c r="AT375" s="63"/>
      <c r="AU375" s="63"/>
      <c r="AV375" s="63"/>
      <c r="AW375" s="58" t="s">
        <v>512</v>
      </c>
      <c r="AX375" s="69">
        <v>7095.0</v>
      </c>
      <c r="AY375" s="70"/>
      <c r="AZ375" s="70"/>
      <c r="BA375" s="70"/>
      <c r="BB375" s="70"/>
      <c r="BC375" s="58" t="s">
        <v>469</v>
      </c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</row>
    <row r="376">
      <c r="A376" s="59">
        <v>45826.0</v>
      </c>
      <c r="B376" s="64" t="s">
        <v>451</v>
      </c>
      <c r="C376" s="107">
        <v>45826.0</v>
      </c>
      <c r="D376" s="107">
        <v>45826.0</v>
      </c>
      <c r="E376" s="66" t="s">
        <v>452</v>
      </c>
      <c r="F376" s="108" t="s">
        <v>1307</v>
      </c>
      <c r="G376" s="77"/>
      <c r="H376" s="66" t="s">
        <v>454</v>
      </c>
      <c r="I376" s="66" t="s">
        <v>706</v>
      </c>
      <c r="J376" s="66" t="s">
        <v>456</v>
      </c>
      <c r="K376" s="66" t="s">
        <v>456</v>
      </c>
      <c r="L376" s="66">
        <v>22.0</v>
      </c>
      <c r="M376" s="66">
        <v>22.0</v>
      </c>
      <c r="N376" s="66" t="s">
        <v>457</v>
      </c>
      <c r="O376" s="66">
        <v>24.0</v>
      </c>
      <c r="P376" s="117" t="s">
        <v>1308</v>
      </c>
      <c r="Q376" s="64" t="s">
        <v>459</v>
      </c>
      <c r="R376" s="64" t="s">
        <v>459</v>
      </c>
      <c r="S376" s="118">
        <v>317.0</v>
      </c>
      <c r="T376" s="64">
        <v>3487.0</v>
      </c>
      <c r="U376" s="117">
        <v>317.0</v>
      </c>
      <c r="V376" s="66">
        <v>3487.0</v>
      </c>
      <c r="W376" s="66">
        <v>3487.0</v>
      </c>
      <c r="X376" s="65" t="s">
        <v>460</v>
      </c>
      <c r="Y376" s="66" t="s">
        <v>461</v>
      </c>
      <c r="Z376" s="66" t="s">
        <v>462</v>
      </c>
      <c r="AA376" s="66" t="s">
        <v>463</v>
      </c>
      <c r="AB376" s="66" t="s">
        <v>464</v>
      </c>
      <c r="AC376" s="66" t="s">
        <v>451</v>
      </c>
      <c r="AD376" s="64" t="s">
        <v>465</v>
      </c>
      <c r="AE376" s="64" t="s">
        <v>579</v>
      </c>
      <c r="AF376" s="64" t="s">
        <v>579</v>
      </c>
      <c r="AG376" s="64" t="s">
        <v>467</v>
      </c>
      <c r="AH376" s="64" t="s">
        <v>467</v>
      </c>
      <c r="AI376" s="66">
        <v>735.0</v>
      </c>
      <c r="AJ376" s="66">
        <v>21.5</v>
      </c>
      <c r="AK376" s="67">
        <v>15802.5</v>
      </c>
      <c r="AL376" s="63"/>
      <c r="AM376" s="63"/>
      <c r="AN376" s="64">
        <v>21.5</v>
      </c>
      <c r="AO376" s="60" t="s">
        <v>468</v>
      </c>
      <c r="AP376" s="63"/>
      <c r="AQ376" s="63"/>
      <c r="AR376" s="63"/>
      <c r="AS376" s="63"/>
      <c r="AT376" s="63"/>
      <c r="AU376" s="63"/>
      <c r="AV376" s="68"/>
      <c r="AW376" s="58" t="s">
        <v>512</v>
      </c>
      <c r="AX376" s="69">
        <v>15802.5</v>
      </c>
      <c r="AY376" s="70"/>
      <c r="AZ376" s="70"/>
      <c r="BA376" s="70"/>
      <c r="BB376" s="70"/>
      <c r="BC376" s="58" t="s">
        <v>469</v>
      </c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</row>
    <row r="377">
      <c r="A377" s="59">
        <v>45826.0</v>
      </c>
      <c r="B377" s="64" t="s">
        <v>451</v>
      </c>
      <c r="C377" s="107">
        <v>45826.0</v>
      </c>
      <c r="D377" s="107">
        <v>45826.0</v>
      </c>
      <c r="E377" s="66" t="s">
        <v>452</v>
      </c>
      <c r="F377" s="103" t="s">
        <v>1309</v>
      </c>
      <c r="G377" s="77"/>
      <c r="H377" s="66" t="s">
        <v>472</v>
      </c>
      <c r="I377" s="66" t="s">
        <v>588</v>
      </c>
      <c r="J377" s="66" t="s">
        <v>456</v>
      </c>
      <c r="K377" s="66" t="s">
        <v>456</v>
      </c>
      <c r="L377" s="66">
        <v>22.0</v>
      </c>
      <c r="M377" s="66">
        <v>22.0</v>
      </c>
      <c r="N377" s="66" t="s">
        <v>457</v>
      </c>
      <c r="O377" s="66">
        <v>24.0</v>
      </c>
      <c r="P377" s="117" t="s">
        <v>1310</v>
      </c>
      <c r="Q377" s="64" t="s">
        <v>459</v>
      </c>
      <c r="R377" s="64" t="s">
        <v>459</v>
      </c>
      <c r="S377" s="118">
        <v>186.0</v>
      </c>
      <c r="T377" s="64">
        <v>2046.0</v>
      </c>
      <c r="U377" s="117">
        <v>186.0</v>
      </c>
      <c r="V377" s="66">
        <v>2046.0</v>
      </c>
      <c r="W377" s="66">
        <v>2046.0</v>
      </c>
      <c r="X377" s="65" t="s">
        <v>460</v>
      </c>
      <c r="Y377" s="66" t="s">
        <v>461</v>
      </c>
      <c r="Z377" s="66" t="s">
        <v>462</v>
      </c>
      <c r="AA377" s="66" t="s">
        <v>463</v>
      </c>
      <c r="AB377" s="66" t="s">
        <v>464</v>
      </c>
      <c r="AC377" s="66" t="s">
        <v>451</v>
      </c>
      <c r="AD377" s="64" t="s">
        <v>475</v>
      </c>
      <c r="AE377" s="64" t="s">
        <v>476</v>
      </c>
      <c r="AF377" s="64" t="s">
        <v>476</v>
      </c>
      <c r="AG377" s="64" t="s">
        <v>467</v>
      </c>
      <c r="AH377" s="64" t="s">
        <v>467</v>
      </c>
      <c r="AI377" s="64">
        <v>650.0</v>
      </c>
      <c r="AJ377" s="66">
        <v>21.5</v>
      </c>
      <c r="AK377" s="67">
        <v>13975.0</v>
      </c>
      <c r="AL377" s="63"/>
      <c r="AM377" s="63"/>
      <c r="AN377" s="64">
        <v>21.5</v>
      </c>
      <c r="AO377" s="64" t="s">
        <v>468</v>
      </c>
      <c r="AP377" s="63"/>
      <c r="AQ377" s="63"/>
      <c r="AR377" s="63"/>
      <c r="AS377" s="63"/>
      <c r="AT377" s="63"/>
      <c r="AU377" s="63"/>
      <c r="AV377" s="63"/>
      <c r="AW377" s="58" t="s">
        <v>512</v>
      </c>
      <c r="AX377" s="69">
        <v>13975.0</v>
      </c>
      <c r="AY377" s="70"/>
      <c r="AZ377" s="70"/>
      <c r="BA377" s="70"/>
      <c r="BB377" s="70"/>
      <c r="BC377" s="58" t="s">
        <v>469</v>
      </c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8"/>
      <c r="BR377" s="58"/>
    </row>
    <row r="378">
      <c r="A378" s="115">
        <v>45826.0</v>
      </c>
      <c r="B378" s="66" t="s">
        <v>451</v>
      </c>
      <c r="C378" s="61">
        <v>45826.0</v>
      </c>
      <c r="D378" s="61">
        <v>45826.0</v>
      </c>
      <c r="E378" s="64" t="s">
        <v>452</v>
      </c>
      <c r="F378" s="104" t="s">
        <v>1311</v>
      </c>
      <c r="G378" s="63"/>
      <c r="H378" s="64" t="s">
        <v>472</v>
      </c>
      <c r="I378" s="64" t="s">
        <v>779</v>
      </c>
      <c r="J378" s="64" t="s">
        <v>456</v>
      </c>
      <c r="K378" s="64" t="s">
        <v>456</v>
      </c>
      <c r="L378" s="64">
        <v>22.0</v>
      </c>
      <c r="M378" s="64">
        <v>22.0</v>
      </c>
      <c r="N378" s="64" t="s">
        <v>457</v>
      </c>
      <c r="O378" s="64">
        <v>24.0</v>
      </c>
      <c r="P378" s="118" t="s">
        <v>1312</v>
      </c>
      <c r="Q378" s="64" t="s">
        <v>459</v>
      </c>
      <c r="R378" s="64" t="s">
        <v>459</v>
      </c>
      <c r="S378" s="118">
        <v>203.0</v>
      </c>
      <c r="T378" s="64">
        <v>2233.0</v>
      </c>
      <c r="U378" s="118">
        <v>203.0</v>
      </c>
      <c r="V378" s="64">
        <v>2233.0</v>
      </c>
      <c r="W378" s="64">
        <v>2233.0</v>
      </c>
      <c r="X378" s="65" t="s">
        <v>460</v>
      </c>
      <c r="Y378" s="64" t="s">
        <v>461</v>
      </c>
      <c r="Z378" s="64" t="s">
        <v>462</v>
      </c>
      <c r="AA378" s="64" t="s">
        <v>463</v>
      </c>
      <c r="AB378" s="64" t="s">
        <v>464</v>
      </c>
      <c r="AC378" s="64" t="s">
        <v>451</v>
      </c>
      <c r="AD378" s="66" t="s">
        <v>481</v>
      </c>
      <c r="AE378" s="66" t="s">
        <v>482</v>
      </c>
      <c r="AF378" s="66" t="s">
        <v>482</v>
      </c>
      <c r="AG378" s="64" t="s">
        <v>467</v>
      </c>
      <c r="AH378" s="64" t="s">
        <v>467</v>
      </c>
      <c r="AI378" s="64">
        <v>655.0</v>
      </c>
      <c r="AJ378" s="64">
        <v>23.5</v>
      </c>
      <c r="AK378" s="67">
        <v>15392.5</v>
      </c>
      <c r="AL378" s="63"/>
      <c r="AM378" s="63"/>
      <c r="AN378" s="64">
        <v>23.5</v>
      </c>
      <c r="AO378" s="64" t="s">
        <v>468</v>
      </c>
      <c r="AP378" s="63"/>
      <c r="AQ378" s="63"/>
      <c r="AR378" s="63"/>
      <c r="AS378" s="63"/>
      <c r="AT378" s="63"/>
      <c r="AU378" s="63"/>
      <c r="AV378" s="68"/>
      <c r="AW378" s="58" t="s">
        <v>512</v>
      </c>
      <c r="AX378" s="69">
        <v>15392.5</v>
      </c>
      <c r="AY378" s="70"/>
      <c r="AZ378" s="70"/>
      <c r="BA378" s="70"/>
      <c r="BB378" s="70"/>
      <c r="BC378" s="58" t="s">
        <v>469</v>
      </c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</row>
    <row r="379">
      <c r="A379" s="59">
        <v>45826.0</v>
      </c>
      <c r="B379" s="64" t="s">
        <v>451</v>
      </c>
      <c r="C379" s="107">
        <v>45826.0</v>
      </c>
      <c r="D379" s="107">
        <v>45826.0</v>
      </c>
      <c r="E379" s="66" t="s">
        <v>452</v>
      </c>
      <c r="F379" s="108" t="s">
        <v>1313</v>
      </c>
      <c r="G379" s="77"/>
      <c r="H379" s="66" t="s">
        <v>472</v>
      </c>
      <c r="I379" s="66" t="s">
        <v>636</v>
      </c>
      <c r="J379" s="66" t="s">
        <v>486</v>
      </c>
      <c r="K379" s="66" t="s">
        <v>486</v>
      </c>
      <c r="L379" s="66">
        <v>22.0</v>
      </c>
      <c r="M379" s="66">
        <v>22.0</v>
      </c>
      <c r="N379" s="66" t="s">
        <v>457</v>
      </c>
      <c r="O379" s="66">
        <v>24.0</v>
      </c>
      <c r="P379" s="117" t="s">
        <v>1314</v>
      </c>
      <c r="Q379" s="66" t="s">
        <v>459</v>
      </c>
      <c r="R379" s="66" t="s">
        <v>459</v>
      </c>
      <c r="S379" s="117">
        <v>106.0</v>
      </c>
      <c r="T379" s="64">
        <v>1166.0</v>
      </c>
      <c r="U379" s="117">
        <v>106.0</v>
      </c>
      <c r="V379" s="66">
        <v>1166.0</v>
      </c>
      <c r="W379" s="66">
        <v>1166.0</v>
      </c>
      <c r="X379" s="65" t="s">
        <v>460</v>
      </c>
      <c r="Y379" s="66" t="s">
        <v>461</v>
      </c>
      <c r="Z379" s="66" t="s">
        <v>462</v>
      </c>
      <c r="AA379" s="66" t="s">
        <v>463</v>
      </c>
      <c r="AB379" s="66" t="s">
        <v>464</v>
      </c>
      <c r="AC379" s="66" t="s">
        <v>451</v>
      </c>
      <c r="AD379" s="64" t="s">
        <v>481</v>
      </c>
      <c r="AE379" s="64" t="s">
        <v>598</v>
      </c>
      <c r="AF379" s="64" t="s">
        <v>598</v>
      </c>
      <c r="AG379" s="64" t="s">
        <v>467</v>
      </c>
      <c r="AH379" s="64" t="s">
        <v>467</v>
      </c>
      <c r="AI379" s="64">
        <v>655.0</v>
      </c>
      <c r="AJ379" s="64">
        <v>23.5</v>
      </c>
      <c r="AK379" s="67">
        <v>15392.5</v>
      </c>
      <c r="AL379" s="63"/>
      <c r="AM379" s="63"/>
      <c r="AN379" s="64">
        <v>23.5</v>
      </c>
      <c r="AO379" s="64" t="s">
        <v>468</v>
      </c>
      <c r="AP379" s="63"/>
      <c r="AQ379" s="63"/>
      <c r="AR379" s="63"/>
      <c r="AS379" s="63"/>
      <c r="AT379" s="63"/>
      <c r="AU379" s="63"/>
      <c r="AV379" s="68"/>
      <c r="AW379" s="58" t="s">
        <v>512</v>
      </c>
      <c r="AX379" s="69">
        <v>15392.5</v>
      </c>
      <c r="AY379" s="70"/>
      <c r="AZ379" s="70"/>
      <c r="BA379" s="70"/>
      <c r="BB379" s="70"/>
      <c r="BC379" s="58" t="s">
        <v>469</v>
      </c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8"/>
      <c r="BR379" s="58"/>
    </row>
    <row r="380">
      <c r="A380" s="115">
        <v>45826.0</v>
      </c>
      <c r="B380" s="66" t="s">
        <v>451</v>
      </c>
      <c r="C380" s="61">
        <v>45826.0</v>
      </c>
      <c r="D380" s="61">
        <v>45826.0</v>
      </c>
      <c r="E380" s="64" t="s">
        <v>452</v>
      </c>
      <c r="F380" s="116" t="s">
        <v>1315</v>
      </c>
      <c r="G380" s="63"/>
      <c r="H380" s="64" t="s">
        <v>492</v>
      </c>
      <c r="I380" s="64" t="s">
        <v>593</v>
      </c>
      <c r="J380" s="64" t="s">
        <v>456</v>
      </c>
      <c r="K380" s="64" t="s">
        <v>456</v>
      </c>
      <c r="L380" s="64">
        <v>28.0</v>
      </c>
      <c r="M380" s="64">
        <v>28.0</v>
      </c>
      <c r="N380" s="64" t="s">
        <v>457</v>
      </c>
      <c r="O380" s="64">
        <v>24.0</v>
      </c>
      <c r="P380" s="118" t="s">
        <v>1316</v>
      </c>
      <c r="Q380" s="64" t="s">
        <v>459</v>
      </c>
      <c r="R380" s="64" t="s">
        <v>459</v>
      </c>
      <c r="S380" s="118">
        <v>540.0</v>
      </c>
      <c r="T380" s="64">
        <v>5940.0</v>
      </c>
      <c r="U380" s="118">
        <v>540.0</v>
      </c>
      <c r="V380" s="64">
        <v>5940.0</v>
      </c>
      <c r="W380" s="64">
        <v>5940.0</v>
      </c>
      <c r="X380" s="65" t="s">
        <v>460</v>
      </c>
      <c r="Y380" s="64" t="s">
        <v>461</v>
      </c>
      <c r="Z380" s="64" t="s">
        <v>462</v>
      </c>
      <c r="AA380" s="64" t="s">
        <v>463</v>
      </c>
      <c r="AB380" s="64" t="s">
        <v>464</v>
      </c>
      <c r="AC380" s="64" t="s">
        <v>451</v>
      </c>
      <c r="AD380" s="66" t="s">
        <v>495</v>
      </c>
      <c r="AE380" s="66" t="s">
        <v>496</v>
      </c>
      <c r="AF380" s="66" t="s">
        <v>496</v>
      </c>
      <c r="AG380" s="64" t="s">
        <v>467</v>
      </c>
      <c r="AH380" s="64" t="s">
        <v>467</v>
      </c>
      <c r="AI380" s="64">
        <v>570.0</v>
      </c>
      <c r="AJ380" s="64">
        <v>23.5</v>
      </c>
      <c r="AK380" s="67">
        <v>13395.0</v>
      </c>
      <c r="AL380" s="63"/>
      <c r="AM380" s="63"/>
      <c r="AN380" s="64">
        <v>23.5</v>
      </c>
      <c r="AO380" s="64" t="s">
        <v>468</v>
      </c>
      <c r="AP380" s="63"/>
      <c r="AQ380" s="63"/>
      <c r="AR380" s="63"/>
      <c r="AS380" s="63"/>
      <c r="AT380" s="63"/>
      <c r="AU380" s="63"/>
      <c r="AV380" s="63"/>
      <c r="AW380" s="58" t="s">
        <v>512</v>
      </c>
      <c r="AX380" s="69">
        <v>13395.0</v>
      </c>
      <c r="AY380" s="70"/>
      <c r="AZ380" s="70"/>
      <c r="BA380" s="70"/>
      <c r="BB380" s="70"/>
      <c r="BC380" s="58" t="s">
        <v>469</v>
      </c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8"/>
      <c r="BR380" s="58"/>
    </row>
    <row r="381">
      <c r="A381" s="59">
        <v>45826.0</v>
      </c>
      <c r="B381" s="64" t="s">
        <v>451</v>
      </c>
      <c r="C381" s="107">
        <v>45826.0</v>
      </c>
      <c r="D381" s="107">
        <v>45826.0</v>
      </c>
      <c r="E381" s="66" t="s">
        <v>452</v>
      </c>
      <c r="F381" s="108" t="s">
        <v>1317</v>
      </c>
      <c r="G381" s="77"/>
      <c r="H381" s="66" t="s">
        <v>1218</v>
      </c>
      <c r="I381" s="66" t="s">
        <v>1219</v>
      </c>
      <c r="J381" s="66" t="s">
        <v>456</v>
      </c>
      <c r="K381" s="66" t="s">
        <v>456</v>
      </c>
      <c r="L381" s="66">
        <v>22.0</v>
      </c>
      <c r="M381" s="66">
        <v>22.0</v>
      </c>
      <c r="N381" s="66" t="s">
        <v>457</v>
      </c>
      <c r="O381" s="66">
        <v>24.0</v>
      </c>
      <c r="P381" s="117" t="s">
        <v>1318</v>
      </c>
      <c r="Q381" s="64" t="s">
        <v>459</v>
      </c>
      <c r="R381" s="64" t="s">
        <v>459</v>
      </c>
      <c r="S381" s="118">
        <v>171.0</v>
      </c>
      <c r="T381" s="64">
        <v>1881.0</v>
      </c>
      <c r="U381" s="117">
        <v>171.0</v>
      </c>
      <c r="V381" s="66">
        <v>1881.0</v>
      </c>
      <c r="W381" s="66">
        <v>1881.0</v>
      </c>
      <c r="X381" s="65" t="s">
        <v>460</v>
      </c>
      <c r="Y381" s="66" t="s">
        <v>461</v>
      </c>
      <c r="Z381" s="66" t="s">
        <v>462</v>
      </c>
      <c r="AA381" s="66" t="s">
        <v>463</v>
      </c>
      <c r="AB381" s="66" t="s">
        <v>464</v>
      </c>
      <c r="AC381" s="66" t="s">
        <v>451</v>
      </c>
      <c r="AD381" s="64" t="s">
        <v>501</v>
      </c>
      <c r="AE381" s="64" t="s">
        <v>502</v>
      </c>
      <c r="AF381" s="64" t="s">
        <v>502</v>
      </c>
      <c r="AG381" s="64" t="s">
        <v>467</v>
      </c>
      <c r="AH381" s="64" t="s">
        <v>467</v>
      </c>
      <c r="AI381" s="64">
        <v>380.0</v>
      </c>
      <c r="AJ381" s="64">
        <v>21.5</v>
      </c>
      <c r="AK381" s="67">
        <v>8170.0</v>
      </c>
      <c r="AL381" s="63"/>
      <c r="AM381" s="63"/>
      <c r="AN381" s="64">
        <v>21.5</v>
      </c>
      <c r="AO381" s="64" t="s">
        <v>468</v>
      </c>
      <c r="AP381" s="63"/>
      <c r="AQ381" s="63"/>
      <c r="AR381" s="63"/>
      <c r="AS381" s="63"/>
      <c r="AT381" s="63"/>
      <c r="AU381" s="63"/>
      <c r="AV381" s="68"/>
      <c r="AW381" s="58" t="s">
        <v>512</v>
      </c>
      <c r="AX381" s="69">
        <v>8170.0</v>
      </c>
      <c r="AY381" s="70"/>
      <c r="AZ381" s="70"/>
      <c r="BA381" s="70"/>
      <c r="BB381" s="70"/>
      <c r="BC381" s="58" t="s">
        <v>469</v>
      </c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</row>
    <row r="382">
      <c r="A382" s="115">
        <v>45826.0</v>
      </c>
      <c r="B382" s="66" t="s">
        <v>451</v>
      </c>
      <c r="C382" s="61">
        <v>45826.0</v>
      </c>
      <c r="D382" s="61">
        <v>45826.0</v>
      </c>
      <c r="E382" s="64" t="s">
        <v>452</v>
      </c>
      <c r="F382" s="104" t="s">
        <v>1319</v>
      </c>
      <c r="G382" s="63"/>
      <c r="H382" s="64" t="s">
        <v>492</v>
      </c>
      <c r="I382" s="64" t="s">
        <v>793</v>
      </c>
      <c r="J382" s="64" t="s">
        <v>456</v>
      </c>
      <c r="K382" s="64" t="s">
        <v>456</v>
      </c>
      <c r="L382" s="64">
        <v>22.0</v>
      </c>
      <c r="M382" s="64">
        <v>22.0</v>
      </c>
      <c r="N382" s="64" t="s">
        <v>457</v>
      </c>
      <c r="O382" s="64">
        <v>24.0</v>
      </c>
      <c r="P382" s="118" t="s">
        <v>1320</v>
      </c>
      <c r="Q382" s="64" t="s">
        <v>459</v>
      </c>
      <c r="R382" s="64" t="s">
        <v>459</v>
      </c>
      <c r="S382" s="118">
        <v>127.0</v>
      </c>
      <c r="T382" s="64">
        <v>1397.0</v>
      </c>
      <c r="U382" s="118">
        <v>127.0</v>
      </c>
      <c r="V382" s="64">
        <v>1397.0</v>
      </c>
      <c r="W382" s="64">
        <v>1397.0</v>
      </c>
      <c r="X382" s="65" t="s">
        <v>460</v>
      </c>
      <c r="Y382" s="64" t="s">
        <v>461</v>
      </c>
      <c r="Z382" s="64" t="s">
        <v>462</v>
      </c>
      <c r="AA382" s="64" t="s">
        <v>463</v>
      </c>
      <c r="AB382" s="64" t="s">
        <v>464</v>
      </c>
      <c r="AC382" s="64" t="s">
        <v>451</v>
      </c>
      <c r="AD382" s="66" t="s">
        <v>601</v>
      </c>
      <c r="AE382" s="66" t="s">
        <v>553</v>
      </c>
      <c r="AF382" s="66" t="s">
        <v>553</v>
      </c>
      <c r="AG382" s="64" t="s">
        <v>467</v>
      </c>
      <c r="AH382" s="64" t="s">
        <v>467</v>
      </c>
      <c r="AI382" s="64">
        <v>770.0</v>
      </c>
      <c r="AJ382" s="64">
        <v>21.5</v>
      </c>
      <c r="AK382" s="67">
        <v>16555.0</v>
      </c>
      <c r="AL382" s="63"/>
      <c r="AM382" s="63"/>
      <c r="AN382" s="64">
        <v>21.5</v>
      </c>
      <c r="AO382" s="64" t="s">
        <v>468</v>
      </c>
      <c r="AP382" s="63"/>
      <c r="AQ382" s="63"/>
      <c r="AR382" s="63"/>
      <c r="AS382" s="63"/>
      <c r="AT382" s="63"/>
      <c r="AU382" s="63"/>
      <c r="AV382" s="63"/>
      <c r="AW382" s="58" t="s">
        <v>512</v>
      </c>
      <c r="AX382" s="69">
        <v>16555.0</v>
      </c>
      <c r="AY382" s="70"/>
      <c r="AZ382" s="70"/>
      <c r="BA382" s="70"/>
      <c r="BB382" s="70"/>
      <c r="BC382" s="58" t="s">
        <v>469</v>
      </c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</row>
    <row r="383">
      <c r="A383" s="59">
        <v>45826.0</v>
      </c>
      <c r="B383" s="64" t="s">
        <v>451</v>
      </c>
      <c r="C383" s="107">
        <v>45826.0</v>
      </c>
      <c r="D383" s="107">
        <v>45826.0</v>
      </c>
      <c r="E383" s="66" t="s">
        <v>452</v>
      </c>
      <c r="F383" s="108" t="s">
        <v>1321</v>
      </c>
      <c r="G383" s="77"/>
      <c r="H383" s="66" t="s">
        <v>504</v>
      </c>
      <c r="I383" s="66" t="s">
        <v>603</v>
      </c>
      <c r="J383" s="66" t="s">
        <v>456</v>
      </c>
      <c r="K383" s="66" t="s">
        <v>456</v>
      </c>
      <c r="L383" s="66">
        <v>22.0</v>
      </c>
      <c r="M383" s="66">
        <v>22.0</v>
      </c>
      <c r="N383" s="66" t="s">
        <v>457</v>
      </c>
      <c r="O383" s="66">
        <v>24.0</v>
      </c>
      <c r="P383" s="117" t="s">
        <v>1322</v>
      </c>
      <c r="Q383" s="66" t="s">
        <v>459</v>
      </c>
      <c r="R383" s="66" t="s">
        <v>459</v>
      </c>
      <c r="S383" s="117">
        <v>152.0</v>
      </c>
      <c r="T383" s="64">
        <v>1672.0</v>
      </c>
      <c r="U383" s="117">
        <v>152.0</v>
      </c>
      <c r="V383" s="66">
        <v>1672.0</v>
      </c>
      <c r="W383" s="66">
        <v>1672.0</v>
      </c>
      <c r="X383" s="65" t="s">
        <v>460</v>
      </c>
      <c r="Y383" s="66" t="s">
        <v>461</v>
      </c>
      <c r="Z383" s="66" t="s">
        <v>462</v>
      </c>
      <c r="AA383" s="66" t="s">
        <v>463</v>
      </c>
      <c r="AB383" s="66" t="s">
        <v>464</v>
      </c>
      <c r="AC383" s="66" t="s">
        <v>451</v>
      </c>
      <c r="AD383" s="64" t="s">
        <v>507</v>
      </c>
      <c r="AE383" s="64" t="s">
        <v>508</v>
      </c>
      <c r="AF383" s="64" t="s">
        <v>508</v>
      </c>
      <c r="AG383" s="64" t="s">
        <v>467</v>
      </c>
      <c r="AH383" s="64" t="s">
        <v>467</v>
      </c>
      <c r="AI383" s="66">
        <v>790.0</v>
      </c>
      <c r="AJ383" s="66">
        <v>21.5</v>
      </c>
      <c r="AK383" s="67">
        <v>16985.0</v>
      </c>
      <c r="AL383" s="63"/>
      <c r="AM383" s="63"/>
      <c r="AN383" s="64">
        <v>21.5</v>
      </c>
      <c r="AO383" s="64" t="s">
        <v>468</v>
      </c>
      <c r="AP383" s="63"/>
      <c r="AQ383" s="63"/>
      <c r="AR383" s="63"/>
      <c r="AS383" s="73">
        <v>0.5</v>
      </c>
      <c r="AT383" s="64">
        <v>8492.5</v>
      </c>
      <c r="AU383" s="60" t="s">
        <v>510</v>
      </c>
      <c r="AV383" s="74" t="s">
        <v>511</v>
      </c>
      <c r="AW383" s="58" t="s">
        <v>512</v>
      </c>
      <c r="AX383" s="69">
        <v>8492.5</v>
      </c>
      <c r="AY383" s="70"/>
      <c r="AZ383" s="70"/>
      <c r="BA383" s="69">
        <v>8492.5</v>
      </c>
      <c r="BB383" s="70"/>
      <c r="BC383" s="58" t="s">
        <v>469</v>
      </c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</row>
    <row r="384">
      <c r="A384" s="115">
        <v>45826.0</v>
      </c>
      <c r="B384" s="66" t="s">
        <v>451</v>
      </c>
      <c r="C384" s="61">
        <v>45826.0</v>
      </c>
      <c r="D384" s="61">
        <v>45826.0</v>
      </c>
      <c r="E384" s="64" t="s">
        <v>452</v>
      </c>
      <c r="F384" s="104" t="s">
        <v>1323</v>
      </c>
      <c r="G384" s="63"/>
      <c r="H384" s="64" t="s">
        <v>504</v>
      </c>
      <c r="I384" s="64" t="s">
        <v>606</v>
      </c>
      <c r="J384" s="64" t="s">
        <v>456</v>
      </c>
      <c r="K384" s="64" t="s">
        <v>456</v>
      </c>
      <c r="L384" s="64">
        <v>22.0</v>
      </c>
      <c r="M384" s="64">
        <v>22.0</v>
      </c>
      <c r="N384" s="64" t="s">
        <v>457</v>
      </c>
      <c r="O384" s="64">
        <v>24.0</v>
      </c>
      <c r="P384" s="119">
        <v>2.46E8</v>
      </c>
      <c r="Q384" s="64" t="s">
        <v>459</v>
      </c>
      <c r="R384" s="64" t="s">
        <v>459</v>
      </c>
      <c r="S384" s="118">
        <v>121.0</v>
      </c>
      <c r="T384" s="64">
        <v>1331.0</v>
      </c>
      <c r="U384" s="118">
        <v>121.0</v>
      </c>
      <c r="V384" s="64">
        <v>1331.0</v>
      </c>
      <c r="W384" s="64">
        <v>1331.0</v>
      </c>
      <c r="X384" s="65" t="s">
        <v>460</v>
      </c>
      <c r="Y384" s="64" t="s">
        <v>461</v>
      </c>
      <c r="Z384" s="64" t="s">
        <v>462</v>
      </c>
      <c r="AA384" s="64" t="s">
        <v>463</v>
      </c>
      <c r="AB384" s="64" t="s">
        <v>464</v>
      </c>
      <c r="AC384" s="64" t="s">
        <v>451</v>
      </c>
      <c r="AD384" s="66" t="s">
        <v>517</v>
      </c>
      <c r="AE384" s="66" t="s">
        <v>518</v>
      </c>
      <c r="AF384" s="66" t="s">
        <v>518</v>
      </c>
      <c r="AG384" s="64" t="s">
        <v>467</v>
      </c>
      <c r="AH384" s="64" t="s">
        <v>467</v>
      </c>
      <c r="AI384" s="64">
        <v>815.0</v>
      </c>
      <c r="AJ384" s="64">
        <v>21.5</v>
      </c>
      <c r="AK384" s="67">
        <v>17522.5</v>
      </c>
      <c r="AL384" s="63"/>
      <c r="AM384" s="63"/>
      <c r="AN384" s="64">
        <v>21.5</v>
      </c>
      <c r="AO384" s="64" t="s">
        <v>468</v>
      </c>
      <c r="AP384" s="63"/>
      <c r="AQ384" s="63"/>
      <c r="AR384" s="63"/>
      <c r="AS384" s="63"/>
      <c r="AT384" s="63"/>
      <c r="AU384" s="63"/>
      <c r="AV384" s="68"/>
      <c r="AW384" s="58" t="s">
        <v>512</v>
      </c>
      <c r="AX384" s="69">
        <v>17522.5</v>
      </c>
      <c r="AY384" s="70"/>
      <c r="AZ384" s="70"/>
      <c r="BA384" s="70"/>
      <c r="BB384" s="70"/>
      <c r="BC384" s="58" t="s">
        <v>469</v>
      </c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8"/>
      <c r="BR384" s="58"/>
    </row>
    <row r="385">
      <c r="A385" s="59">
        <v>45826.0</v>
      </c>
      <c r="B385" s="64" t="s">
        <v>451</v>
      </c>
      <c r="C385" s="107">
        <v>45826.0</v>
      </c>
      <c r="D385" s="107">
        <v>45826.0</v>
      </c>
      <c r="E385" s="66" t="s">
        <v>452</v>
      </c>
      <c r="F385" s="108" t="s">
        <v>1324</v>
      </c>
      <c r="G385" s="77"/>
      <c r="H385" s="66" t="s">
        <v>521</v>
      </c>
      <c r="I385" s="66" t="s">
        <v>608</v>
      </c>
      <c r="J385" s="66" t="s">
        <v>456</v>
      </c>
      <c r="K385" s="66" t="s">
        <v>456</v>
      </c>
      <c r="L385" s="66">
        <v>22.0</v>
      </c>
      <c r="M385" s="66">
        <v>22.0</v>
      </c>
      <c r="N385" s="66" t="s">
        <v>457</v>
      </c>
      <c r="O385" s="66">
        <v>24.0</v>
      </c>
      <c r="P385" s="117" t="s">
        <v>1325</v>
      </c>
      <c r="Q385" s="66" t="s">
        <v>459</v>
      </c>
      <c r="R385" s="66" t="s">
        <v>459</v>
      </c>
      <c r="S385" s="117">
        <v>234.0</v>
      </c>
      <c r="T385" s="64">
        <v>2574.0</v>
      </c>
      <c r="U385" s="117">
        <v>234.0</v>
      </c>
      <c r="V385" s="66">
        <v>2574.0</v>
      </c>
      <c r="W385" s="66">
        <v>2574.0</v>
      </c>
      <c r="X385" s="65" t="s">
        <v>460</v>
      </c>
      <c r="Y385" s="66" t="s">
        <v>461</v>
      </c>
      <c r="Z385" s="66" t="s">
        <v>462</v>
      </c>
      <c r="AA385" s="66" t="s">
        <v>463</v>
      </c>
      <c r="AB385" s="66" t="s">
        <v>464</v>
      </c>
      <c r="AC385" s="66" t="s">
        <v>451</v>
      </c>
      <c r="AD385" s="64" t="s">
        <v>524</v>
      </c>
      <c r="AE385" s="64" t="s">
        <v>483</v>
      </c>
      <c r="AF385" s="64" t="s">
        <v>483</v>
      </c>
      <c r="AG385" s="64" t="s">
        <v>467</v>
      </c>
      <c r="AH385" s="64" t="s">
        <v>467</v>
      </c>
      <c r="AI385" s="66">
        <v>600.0</v>
      </c>
      <c r="AJ385" s="66">
        <v>21.5</v>
      </c>
      <c r="AK385" s="67">
        <v>12900.0</v>
      </c>
      <c r="AL385" s="63"/>
      <c r="AM385" s="63"/>
      <c r="AN385" s="64">
        <v>21.5</v>
      </c>
      <c r="AO385" s="64" t="s">
        <v>468</v>
      </c>
      <c r="AP385" s="63"/>
      <c r="AQ385" s="63"/>
      <c r="AR385" s="63"/>
      <c r="AS385" s="63"/>
      <c r="AT385" s="63"/>
      <c r="AU385" s="63"/>
      <c r="AV385" s="68"/>
      <c r="AW385" s="58" t="s">
        <v>512</v>
      </c>
      <c r="AX385" s="69">
        <v>12900.0</v>
      </c>
      <c r="AY385" s="70"/>
      <c r="AZ385" s="70"/>
      <c r="BA385" s="70"/>
      <c r="BB385" s="70"/>
      <c r="BC385" s="58" t="s">
        <v>469</v>
      </c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8"/>
      <c r="BR385" s="58"/>
    </row>
    <row r="386">
      <c r="A386" s="115">
        <v>45826.0</v>
      </c>
      <c r="B386" s="66" t="s">
        <v>451</v>
      </c>
      <c r="C386" s="61">
        <v>45826.0</v>
      </c>
      <c r="D386" s="61">
        <v>45826.0</v>
      </c>
      <c r="E386" s="64" t="s">
        <v>452</v>
      </c>
      <c r="F386" s="104" t="s">
        <v>1326</v>
      </c>
      <c r="G386" s="63"/>
      <c r="H386" s="64" t="s">
        <v>492</v>
      </c>
      <c r="I386" s="64" t="s">
        <v>527</v>
      </c>
      <c r="J386" s="64" t="s">
        <v>456</v>
      </c>
      <c r="K386" s="64" t="s">
        <v>456</v>
      </c>
      <c r="L386" s="64">
        <v>22.0</v>
      </c>
      <c r="M386" s="64">
        <v>22.0</v>
      </c>
      <c r="N386" s="64" t="s">
        <v>457</v>
      </c>
      <c r="O386" s="64">
        <v>24.0</v>
      </c>
      <c r="P386" s="118" t="s">
        <v>1327</v>
      </c>
      <c r="Q386" s="66" t="s">
        <v>459</v>
      </c>
      <c r="R386" s="66" t="s">
        <v>459</v>
      </c>
      <c r="S386" s="117">
        <v>216.0</v>
      </c>
      <c r="T386" s="64">
        <v>2376.0</v>
      </c>
      <c r="U386" s="118">
        <v>216.0</v>
      </c>
      <c r="V386" s="64">
        <v>2376.0</v>
      </c>
      <c r="W386" s="64">
        <v>2376.0</v>
      </c>
      <c r="X386" s="65" t="s">
        <v>460</v>
      </c>
      <c r="Y386" s="64" t="s">
        <v>461</v>
      </c>
      <c r="Z386" s="64" t="s">
        <v>462</v>
      </c>
      <c r="AA386" s="64" t="s">
        <v>463</v>
      </c>
      <c r="AB386" s="64" t="s">
        <v>464</v>
      </c>
      <c r="AC386" s="64" t="s">
        <v>451</v>
      </c>
      <c r="AD386" s="66" t="s">
        <v>529</v>
      </c>
      <c r="AE386" s="66" t="s">
        <v>535</v>
      </c>
      <c r="AF386" s="66" t="s">
        <v>535</v>
      </c>
      <c r="AG386" s="64" t="s">
        <v>467</v>
      </c>
      <c r="AH386" s="64" t="s">
        <v>467</v>
      </c>
      <c r="AI386" s="66">
        <v>510.0</v>
      </c>
      <c r="AJ386" s="66">
        <v>21.5</v>
      </c>
      <c r="AK386" s="67">
        <v>10965.0</v>
      </c>
      <c r="AL386" s="63"/>
      <c r="AM386" s="63"/>
      <c r="AN386" s="64">
        <v>21.5</v>
      </c>
      <c r="AO386" s="64" t="s">
        <v>468</v>
      </c>
      <c r="AP386" s="63"/>
      <c r="AQ386" s="63"/>
      <c r="AR386" s="63"/>
      <c r="AS386" s="63"/>
      <c r="AT386" s="63"/>
      <c r="AU386" s="63"/>
      <c r="AV386" s="68"/>
      <c r="AW386" s="58" t="s">
        <v>512</v>
      </c>
      <c r="AX386" s="69">
        <v>10965.0</v>
      </c>
      <c r="AY386" s="70"/>
      <c r="AZ386" s="70"/>
      <c r="BA386" s="70"/>
      <c r="BB386" s="70"/>
      <c r="BC386" s="58" t="s">
        <v>469</v>
      </c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  <c r="BQ386" s="58"/>
      <c r="BR386" s="58"/>
    </row>
    <row r="387">
      <c r="A387" s="59">
        <v>45826.0</v>
      </c>
      <c r="B387" s="64" t="s">
        <v>451</v>
      </c>
      <c r="C387" s="107">
        <v>45826.0</v>
      </c>
      <c r="D387" s="107">
        <v>45826.0</v>
      </c>
      <c r="E387" s="66" t="s">
        <v>452</v>
      </c>
      <c r="F387" s="108" t="s">
        <v>1328</v>
      </c>
      <c r="G387" s="77"/>
      <c r="H387" s="66" t="s">
        <v>492</v>
      </c>
      <c r="I387" s="66" t="s">
        <v>533</v>
      </c>
      <c r="J387" s="66" t="s">
        <v>486</v>
      </c>
      <c r="K387" s="66" t="s">
        <v>486</v>
      </c>
      <c r="L387" s="66">
        <v>22.0</v>
      </c>
      <c r="M387" s="66">
        <v>22.0</v>
      </c>
      <c r="N387" s="66" t="s">
        <v>457</v>
      </c>
      <c r="O387" s="66">
        <v>24.0</v>
      </c>
      <c r="P387" s="117" t="s">
        <v>1329</v>
      </c>
      <c r="Q387" s="64" t="s">
        <v>459</v>
      </c>
      <c r="R387" s="64" t="s">
        <v>459</v>
      </c>
      <c r="S387" s="118">
        <v>429.0</v>
      </c>
      <c r="T387" s="64">
        <v>4719.0</v>
      </c>
      <c r="U387" s="117">
        <v>429.0</v>
      </c>
      <c r="V387" s="66">
        <v>4719.0</v>
      </c>
      <c r="W387" s="66">
        <v>4719.0</v>
      </c>
      <c r="X387" s="65" t="s">
        <v>460</v>
      </c>
      <c r="Y387" s="66" t="s">
        <v>461</v>
      </c>
      <c r="Z387" s="66" t="s">
        <v>462</v>
      </c>
      <c r="AA387" s="66" t="s">
        <v>463</v>
      </c>
      <c r="AB387" s="66" t="s">
        <v>464</v>
      </c>
      <c r="AC387" s="66" t="s">
        <v>451</v>
      </c>
      <c r="AD387" s="64" t="s">
        <v>529</v>
      </c>
      <c r="AE387" s="64" t="s">
        <v>530</v>
      </c>
      <c r="AF387" s="64" t="s">
        <v>530</v>
      </c>
      <c r="AG387" s="64" t="s">
        <v>467</v>
      </c>
      <c r="AH387" s="64" t="s">
        <v>467</v>
      </c>
      <c r="AI387" s="66">
        <v>510.0</v>
      </c>
      <c r="AJ387" s="66">
        <v>23.5</v>
      </c>
      <c r="AK387" s="67">
        <v>11985.0</v>
      </c>
      <c r="AL387" s="63"/>
      <c r="AM387" s="63"/>
      <c r="AN387" s="64">
        <v>23.5</v>
      </c>
      <c r="AO387" s="64" t="s">
        <v>468</v>
      </c>
      <c r="AP387" s="63"/>
      <c r="AQ387" s="63"/>
      <c r="AR387" s="63"/>
      <c r="AS387" s="63"/>
      <c r="AT387" s="63"/>
      <c r="AU387" s="63"/>
      <c r="AV387" s="68"/>
      <c r="AW387" s="58" t="s">
        <v>512</v>
      </c>
      <c r="AX387" s="69">
        <v>11985.0</v>
      </c>
      <c r="AY387" s="70"/>
      <c r="AZ387" s="70"/>
      <c r="BA387" s="70"/>
      <c r="BB387" s="70"/>
      <c r="BC387" s="58" t="s">
        <v>469</v>
      </c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8"/>
      <c r="BR387" s="58"/>
    </row>
    <row r="388">
      <c r="A388" s="115">
        <v>45826.0</v>
      </c>
      <c r="B388" s="66" t="s">
        <v>451</v>
      </c>
      <c r="C388" s="61">
        <v>45826.0</v>
      </c>
      <c r="D388" s="61">
        <v>45826.0</v>
      </c>
      <c r="E388" s="64" t="s">
        <v>452</v>
      </c>
      <c r="F388" s="116" t="s">
        <v>1330</v>
      </c>
      <c r="G388" s="63"/>
      <c r="H388" s="64" t="s">
        <v>538</v>
      </c>
      <c r="I388" s="64" t="s">
        <v>539</v>
      </c>
      <c r="J388" s="64" t="s">
        <v>456</v>
      </c>
      <c r="K388" s="64" t="s">
        <v>456</v>
      </c>
      <c r="L388" s="64">
        <v>32.0</v>
      </c>
      <c r="M388" s="64">
        <v>32.0</v>
      </c>
      <c r="N388" s="64" t="s">
        <v>540</v>
      </c>
      <c r="O388" s="64">
        <v>24.0</v>
      </c>
      <c r="P388" s="118" t="s">
        <v>1331</v>
      </c>
      <c r="Q388" s="66" t="s">
        <v>459</v>
      </c>
      <c r="R388" s="66" t="s">
        <v>459</v>
      </c>
      <c r="S388" s="117">
        <v>152.0</v>
      </c>
      <c r="T388" s="64">
        <v>1672.0</v>
      </c>
      <c r="U388" s="118">
        <v>152.0</v>
      </c>
      <c r="V388" s="64">
        <v>1672.0</v>
      </c>
      <c r="W388" s="64">
        <v>1672.0</v>
      </c>
      <c r="X388" s="65" t="s">
        <v>460</v>
      </c>
      <c r="Y388" s="64" t="s">
        <v>461</v>
      </c>
      <c r="Z388" s="64" t="s">
        <v>462</v>
      </c>
      <c r="AA388" s="64" t="s">
        <v>463</v>
      </c>
      <c r="AB388" s="64" t="s">
        <v>464</v>
      </c>
      <c r="AC388" s="64" t="s">
        <v>451</v>
      </c>
      <c r="AD388" s="66" t="s">
        <v>541</v>
      </c>
      <c r="AE388" s="66" t="s">
        <v>490</v>
      </c>
      <c r="AF388" s="66" t="s">
        <v>490</v>
      </c>
      <c r="AG388" s="64" t="s">
        <v>467</v>
      </c>
      <c r="AH388" s="64" t="s">
        <v>467</v>
      </c>
      <c r="AI388" s="66">
        <v>325.0</v>
      </c>
      <c r="AJ388" s="66">
        <v>28.4</v>
      </c>
      <c r="AK388" s="67">
        <v>9213.75</v>
      </c>
      <c r="AL388" s="63"/>
      <c r="AM388" s="63"/>
      <c r="AN388" s="64">
        <v>28.35</v>
      </c>
      <c r="AO388" s="64" t="s">
        <v>468</v>
      </c>
      <c r="AP388" s="63"/>
      <c r="AQ388" s="63"/>
      <c r="AR388" s="63"/>
      <c r="AS388" s="63"/>
      <c r="AT388" s="63"/>
      <c r="AU388" s="63"/>
      <c r="AV388" s="68"/>
      <c r="AW388" s="58" t="s">
        <v>512</v>
      </c>
      <c r="AX388" s="69">
        <v>9213.75</v>
      </c>
      <c r="AY388" s="70"/>
      <c r="AZ388" s="70"/>
      <c r="BA388" s="70"/>
      <c r="BB388" s="70"/>
      <c r="BC388" s="58" t="s">
        <v>469</v>
      </c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</row>
    <row r="389">
      <c r="A389" s="59">
        <v>45826.0</v>
      </c>
      <c r="B389" s="64" t="s">
        <v>451</v>
      </c>
      <c r="C389" s="107">
        <v>45826.0</v>
      </c>
      <c r="D389" s="107">
        <v>45826.0</v>
      </c>
      <c r="E389" s="66" t="s">
        <v>452</v>
      </c>
      <c r="F389" s="108" t="s">
        <v>1332</v>
      </c>
      <c r="G389" s="77"/>
      <c r="H389" s="66" t="s">
        <v>521</v>
      </c>
      <c r="I389" s="66" t="s">
        <v>615</v>
      </c>
      <c r="J389" s="66" t="s">
        <v>486</v>
      </c>
      <c r="K389" s="66" t="s">
        <v>486</v>
      </c>
      <c r="L389" s="66">
        <v>22.0</v>
      </c>
      <c r="M389" s="66">
        <v>22.0</v>
      </c>
      <c r="N389" s="66" t="s">
        <v>457</v>
      </c>
      <c r="O389" s="66">
        <v>24.0</v>
      </c>
      <c r="P389" s="117" t="s">
        <v>1333</v>
      </c>
      <c r="Q389" s="66" t="s">
        <v>459</v>
      </c>
      <c r="R389" s="66" t="s">
        <v>459</v>
      </c>
      <c r="S389" s="117">
        <v>290.0</v>
      </c>
      <c r="T389" s="64">
        <v>3190.0</v>
      </c>
      <c r="U389" s="117">
        <v>290.0</v>
      </c>
      <c r="V389" s="64">
        <v>3190.0</v>
      </c>
      <c r="W389" s="64">
        <v>3190.0</v>
      </c>
      <c r="X389" s="76" t="s">
        <v>460</v>
      </c>
      <c r="Y389" s="64" t="s">
        <v>461</v>
      </c>
      <c r="Z389" s="64" t="s">
        <v>462</v>
      </c>
      <c r="AA389" s="64" t="s">
        <v>463</v>
      </c>
      <c r="AB389" s="66" t="s">
        <v>464</v>
      </c>
      <c r="AC389" s="66" t="s">
        <v>451</v>
      </c>
      <c r="AD389" s="66" t="s">
        <v>678</v>
      </c>
      <c r="AE389" s="66" t="s">
        <v>639</v>
      </c>
      <c r="AF389" s="66" t="s">
        <v>639</v>
      </c>
      <c r="AG389" s="64" t="s">
        <v>467</v>
      </c>
      <c r="AH389" s="64" t="s">
        <v>467</v>
      </c>
      <c r="AI389" s="64">
        <v>805.0</v>
      </c>
      <c r="AJ389" s="64">
        <v>23.5</v>
      </c>
      <c r="AK389" s="67">
        <v>18917.5</v>
      </c>
      <c r="AL389" s="63"/>
      <c r="AM389" s="63"/>
      <c r="AN389" s="64">
        <v>23.5</v>
      </c>
      <c r="AO389" s="64" t="s">
        <v>468</v>
      </c>
      <c r="AP389" s="63"/>
      <c r="AQ389" s="63"/>
      <c r="AR389" s="63"/>
      <c r="AS389" s="63"/>
      <c r="AT389" s="63"/>
      <c r="AU389" s="63"/>
      <c r="AV389" s="68"/>
      <c r="AW389" s="58" t="s">
        <v>512</v>
      </c>
      <c r="AX389" s="69">
        <v>18917.5</v>
      </c>
      <c r="AY389" s="70"/>
      <c r="AZ389" s="70"/>
      <c r="BA389" s="70"/>
      <c r="BB389" s="70"/>
      <c r="BC389" s="58" t="s">
        <v>469</v>
      </c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</row>
    <row r="390">
      <c r="A390" s="115">
        <v>45826.0</v>
      </c>
      <c r="B390" s="66" t="s">
        <v>451</v>
      </c>
      <c r="C390" s="61">
        <v>45826.0</v>
      </c>
      <c r="D390" s="61">
        <v>45826.0</v>
      </c>
      <c r="E390" s="64" t="s">
        <v>452</v>
      </c>
      <c r="F390" s="116" t="s">
        <v>1334</v>
      </c>
      <c r="G390" s="63"/>
      <c r="H390" s="64" t="s">
        <v>521</v>
      </c>
      <c r="I390" s="64" t="s">
        <v>914</v>
      </c>
      <c r="J390" s="64" t="s">
        <v>456</v>
      </c>
      <c r="K390" s="64" t="s">
        <v>456</v>
      </c>
      <c r="L390" s="64">
        <v>22.0</v>
      </c>
      <c r="M390" s="64">
        <v>22.0</v>
      </c>
      <c r="N390" s="64" t="s">
        <v>457</v>
      </c>
      <c r="O390" s="64">
        <v>24.0</v>
      </c>
      <c r="P390" s="118" t="s">
        <v>1335</v>
      </c>
      <c r="Q390" s="64" t="s">
        <v>459</v>
      </c>
      <c r="R390" s="64" t="s">
        <v>459</v>
      </c>
      <c r="S390" s="118">
        <v>113.0</v>
      </c>
      <c r="T390" s="64">
        <v>1243.0</v>
      </c>
      <c r="U390" s="118">
        <v>113.0</v>
      </c>
      <c r="V390" s="64">
        <v>1243.0</v>
      </c>
      <c r="W390" s="64">
        <v>1243.0</v>
      </c>
      <c r="X390" s="76" t="s">
        <v>460</v>
      </c>
      <c r="Y390" s="64" t="s">
        <v>461</v>
      </c>
      <c r="Z390" s="64" t="s">
        <v>462</v>
      </c>
      <c r="AA390" s="64" t="s">
        <v>463</v>
      </c>
      <c r="AB390" s="64" t="s">
        <v>464</v>
      </c>
      <c r="AC390" s="64" t="s">
        <v>451</v>
      </c>
      <c r="AD390" s="66" t="s">
        <v>557</v>
      </c>
      <c r="AE390" s="64" t="s">
        <v>525</v>
      </c>
      <c r="AF390" s="64" t="s">
        <v>525</v>
      </c>
      <c r="AG390" s="64" t="s">
        <v>467</v>
      </c>
      <c r="AH390" s="64" t="s">
        <v>467</v>
      </c>
      <c r="AI390" s="66">
        <v>800.0</v>
      </c>
      <c r="AJ390" s="64">
        <v>21.5</v>
      </c>
      <c r="AK390" s="67">
        <v>17200.0</v>
      </c>
      <c r="AL390" s="63"/>
      <c r="AM390" s="63"/>
      <c r="AN390" s="64">
        <v>21.5</v>
      </c>
      <c r="AO390" s="64" t="s">
        <v>468</v>
      </c>
      <c r="AP390" s="63"/>
      <c r="AQ390" s="63"/>
      <c r="AR390" s="63"/>
      <c r="AS390" s="63"/>
      <c r="AT390" s="63"/>
      <c r="AU390" s="63"/>
      <c r="AV390" s="68"/>
      <c r="AW390" s="58" t="s">
        <v>512</v>
      </c>
      <c r="AX390" s="69">
        <v>17200.0</v>
      </c>
      <c r="AY390" s="70"/>
      <c r="AZ390" s="70"/>
      <c r="BA390" s="70"/>
      <c r="BB390" s="70"/>
      <c r="BC390" s="58" t="s">
        <v>469</v>
      </c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</row>
    <row r="391">
      <c r="A391" s="59">
        <v>45826.0</v>
      </c>
      <c r="B391" s="64" t="s">
        <v>451</v>
      </c>
      <c r="C391" s="107">
        <v>45826.0</v>
      </c>
      <c r="D391" s="107">
        <v>45826.0</v>
      </c>
      <c r="E391" s="66" t="s">
        <v>452</v>
      </c>
      <c r="F391" s="103" t="s">
        <v>1336</v>
      </c>
      <c r="G391" s="77"/>
      <c r="H391" s="66" t="s">
        <v>771</v>
      </c>
      <c r="I391" s="66" t="s">
        <v>772</v>
      </c>
      <c r="J391" s="66" t="s">
        <v>456</v>
      </c>
      <c r="K391" s="66" t="s">
        <v>456</v>
      </c>
      <c r="L391" s="66">
        <v>22.0</v>
      </c>
      <c r="M391" s="66">
        <v>22.0</v>
      </c>
      <c r="N391" s="66" t="s">
        <v>457</v>
      </c>
      <c r="O391" s="66">
        <v>24.0</v>
      </c>
      <c r="P391" s="117" t="s">
        <v>1337</v>
      </c>
      <c r="Q391" s="64" t="s">
        <v>459</v>
      </c>
      <c r="R391" s="64" t="s">
        <v>459</v>
      </c>
      <c r="S391" s="118">
        <v>235.0</v>
      </c>
      <c r="T391" s="64">
        <v>2585.0</v>
      </c>
      <c r="U391" s="117">
        <v>235.0</v>
      </c>
      <c r="V391" s="66">
        <v>2585.0</v>
      </c>
      <c r="W391" s="66">
        <v>2585.0</v>
      </c>
      <c r="X391" s="65" t="s">
        <v>460</v>
      </c>
      <c r="Y391" s="66" t="s">
        <v>461</v>
      </c>
      <c r="Z391" s="66" t="s">
        <v>462</v>
      </c>
      <c r="AA391" s="66" t="s">
        <v>463</v>
      </c>
      <c r="AB391" s="66" t="s">
        <v>464</v>
      </c>
      <c r="AC391" s="66" t="s">
        <v>451</v>
      </c>
      <c r="AD391" s="64" t="s">
        <v>561</v>
      </c>
      <c r="AE391" s="64" t="s">
        <v>562</v>
      </c>
      <c r="AF391" s="64" t="s">
        <v>562</v>
      </c>
      <c r="AG391" s="64" t="s">
        <v>467</v>
      </c>
      <c r="AH391" s="64" t="s">
        <v>467</v>
      </c>
      <c r="AI391" s="60">
        <v>325.0</v>
      </c>
      <c r="AJ391" s="64">
        <v>21.5</v>
      </c>
      <c r="AK391" s="67">
        <v>6987.5</v>
      </c>
      <c r="AL391" s="63"/>
      <c r="AM391" s="63"/>
      <c r="AN391" s="64">
        <v>21.5</v>
      </c>
      <c r="AO391" s="64" t="s">
        <v>468</v>
      </c>
      <c r="AP391" s="63"/>
      <c r="AQ391" s="63"/>
      <c r="AR391" s="63"/>
      <c r="AS391" s="63"/>
      <c r="AT391" s="63"/>
      <c r="AU391" s="63"/>
      <c r="AV391" s="63"/>
      <c r="AW391" s="58" t="s">
        <v>512</v>
      </c>
      <c r="AX391" s="69">
        <v>6987.5</v>
      </c>
      <c r="AY391" s="70"/>
      <c r="AZ391" s="70"/>
      <c r="BA391" s="70"/>
      <c r="BB391" s="70"/>
      <c r="BC391" s="58" t="s">
        <v>469</v>
      </c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</row>
    <row r="392">
      <c r="A392" s="115">
        <v>45826.0</v>
      </c>
      <c r="B392" s="66" t="s">
        <v>451</v>
      </c>
      <c r="C392" s="61">
        <v>45826.0</v>
      </c>
      <c r="D392" s="61">
        <v>45826.0</v>
      </c>
      <c r="E392" s="64" t="s">
        <v>452</v>
      </c>
      <c r="F392" s="116" t="s">
        <v>1338</v>
      </c>
      <c r="G392" s="63"/>
      <c r="H392" s="64" t="s">
        <v>771</v>
      </c>
      <c r="I392" s="64" t="s">
        <v>775</v>
      </c>
      <c r="J392" s="64" t="s">
        <v>456</v>
      </c>
      <c r="K392" s="64" t="s">
        <v>486</v>
      </c>
      <c r="L392" s="64">
        <v>22.0</v>
      </c>
      <c r="M392" s="64">
        <v>22.0</v>
      </c>
      <c r="N392" s="64" t="s">
        <v>457</v>
      </c>
      <c r="O392" s="64">
        <v>24.0</v>
      </c>
      <c r="P392" s="118" t="s">
        <v>1339</v>
      </c>
      <c r="Q392" s="66" t="s">
        <v>459</v>
      </c>
      <c r="R392" s="66" t="s">
        <v>459</v>
      </c>
      <c r="S392" s="117">
        <v>220.0</v>
      </c>
      <c r="T392" s="64">
        <v>2420.0</v>
      </c>
      <c r="U392" s="118">
        <v>220.0</v>
      </c>
      <c r="V392" s="64">
        <v>2420.0</v>
      </c>
      <c r="W392" s="64">
        <v>2420.0</v>
      </c>
      <c r="X392" s="65" t="s">
        <v>460</v>
      </c>
      <c r="Y392" s="64" t="s">
        <v>461</v>
      </c>
      <c r="Z392" s="64" t="s">
        <v>462</v>
      </c>
      <c r="AA392" s="64" t="s">
        <v>463</v>
      </c>
      <c r="AB392" s="64" t="s">
        <v>464</v>
      </c>
      <c r="AC392" s="64" t="s">
        <v>451</v>
      </c>
      <c r="AD392" s="66" t="s">
        <v>566</v>
      </c>
      <c r="AE392" s="66" t="s">
        <v>567</v>
      </c>
      <c r="AF392" s="66" t="s">
        <v>567</v>
      </c>
      <c r="AG392" s="64" t="s">
        <v>467</v>
      </c>
      <c r="AH392" s="64" t="s">
        <v>467</v>
      </c>
      <c r="AI392" s="64">
        <v>475.0</v>
      </c>
      <c r="AJ392" s="66">
        <v>21.5</v>
      </c>
      <c r="AK392" s="67">
        <v>10212.5</v>
      </c>
      <c r="AL392" s="63"/>
      <c r="AM392" s="63"/>
      <c r="AN392" s="64">
        <v>21.5</v>
      </c>
      <c r="AO392" s="64" t="s">
        <v>468</v>
      </c>
      <c r="AP392" s="63"/>
      <c r="AQ392" s="63"/>
      <c r="AR392" s="63"/>
      <c r="AS392" s="63"/>
      <c r="AT392" s="63"/>
      <c r="AU392" s="63"/>
      <c r="AV392" s="63"/>
      <c r="AW392" s="58" t="s">
        <v>512</v>
      </c>
      <c r="AX392" s="69">
        <v>10212.5</v>
      </c>
      <c r="AY392" s="70"/>
      <c r="AZ392" s="70"/>
      <c r="BA392" s="70"/>
      <c r="BB392" s="70"/>
      <c r="BC392" s="58" t="s">
        <v>469</v>
      </c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</row>
    <row r="393">
      <c r="A393" s="59">
        <v>45826.0</v>
      </c>
      <c r="B393" s="64" t="s">
        <v>451</v>
      </c>
      <c r="C393" s="107">
        <v>45826.0</v>
      </c>
      <c r="D393" s="107">
        <v>45826.0</v>
      </c>
      <c r="E393" s="66" t="s">
        <v>452</v>
      </c>
      <c r="F393" s="103" t="s">
        <v>1340</v>
      </c>
      <c r="G393" s="77"/>
      <c r="H393" s="66" t="s">
        <v>1245</v>
      </c>
      <c r="I393" s="110" t="s">
        <v>1246</v>
      </c>
      <c r="J393" s="111" t="s">
        <v>486</v>
      </c>
      <c r="K393" s="111" t="s">
        <v>456</v>
      </c>
      <c r="L393" s="66">
        <v>22.0</v>
      </c>
      <c r="M393" s="66">
        <v>22.0</v>
      </c>
      <c r="N393" s="66" t="s">
        <v>457</v>
      </c>
      <c r="O393" s="66">
        <v>24.0</v>
      </c>
      <c r="P393" s="117" t="s">
        <v>1341</v>
      </c>
      <c r="Q393" s="64" t="s">
        <v>459</v>
      </c>
      <c r="R393" s="64" t="s">
        <v>459</v>
      </c>
      <c r="S393" s="118">
        <v>315.0</v>
      </c>
      <c r="T393" s="64">
        <v>3465.0</v>
      </c>
      <c r="U393" s="117">
        <v>315.0</v>
      </c>
      <c r="V393" s="66">
        <v>3465.0</v>
      </c>
      <c r="W393" s="66">
        <v>3465.0</v>
      </c>
      <c r="X393" s="65" t="s">
        <v>460</v>
      </c>
      <c r="Y393" s="66" t="s">
        <v>461</v>
      </c>
      <c r="Z393" s="66" t="s">
        <v>462</v>
      </c>
      <c r="AA393" s="66" t="s">
        <v>463</v>
      </c>
      <c r="AB393" s="66" t="s">
        <v>464</v>
      </c>
      <c r="AC393" s="66" t="s">
        <v>451</v>
      </c>
      <c r="AD393" s="64" t="s">
        <v>566</v>
      </c>
      <c r="AE393" s="64" t="s">
        <v>567</v>
      </c>
      <c r="AF393" s="64" t="s">
        <v>567</v>
      </c>
      <c r="AG393" s="64" t="s">
        <v>467</v>
      </c>
      <c r="AH393" s="64" t="s">
        <v>467</v>
      </c>
      <c r="AI393" s="64">
        <v>475.0</v>
      </c>
      <c r="AJ393" s="66">
        <v>23.5</v>
      </c>
      <c r="AK393" s="67">
        <v>11162.5</v>
      </c>
      <c r="AL393" s="63"/>
      <c r="AM393" s="63"/>
      <c r="AN393" s="64">
        <v>23.5</v>
      </c>
      <c r="AO393" s="64" t="s">
        <v>468</v>
      </c>
      <c r="AP393" s="63"/>
      <c r="AQ393" s="63"/>
      <c r="AR393" s="63"/>
      <c r="AS393" s="63"/>
      <c r="AT393" s="63"/>
      <c r="AU393" s="63"/>
      <c r="AV393" s="63"/>
      <c r="AW393" s="58" t="s">
        <v>512</v>
      </c>
      <c r="AX393" s="69">
        <v>11162.5</v>
      </c>
      <c r="AY393" s="70"/>
      <c r="AZ393" s="70"/>
      <c r="BA393" s="70"/>
      <c r="BB393" s="70"/>
      <c r="BC393" s="58" t="s">
        <v>469</v>
      </c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</row>
    <row r="394">
      <c r="A394" s="115">
        <v>45826.0</v>
      </c>
      <c r="B394" s="66" t="s">
        <v>451</v>
      </c>
      <c r="C394" s="61">
        <v>45826.0</v>
      </c>
      <c r="D394" s="61">
        <v>45826.0</v>
      </c>
      <c r="E394" s="64" t="s">
        <v>452</v>
      </c>
      <c r="F394" s="104" t="s">
        <v>1342</v>
      </c>
      <c r="G394" s="63"/>
      <c r="H394" s="64" t="s">
        <v>492</v>
      </c>
      <c r="I394" s="64" t="s">
        <v>626</v>
      </c>
      <c r="J394" s="64" t="s">
        <v>456</v>
      </c>
      <c r="K394" s="64" t="s">
        <v>486</v>
      </c>
      <c r="L394" s="64">
        <v>22.0</v>
      </c>
      <c r="M394" s="64">
        <v>22.0</v>
      </c>
      <c r="N394" s="64" t="s">
        <v>457</v>
      </c>
      <c r="O394" s="64">
        <v>24.0</v>
      </c>
      <c r="P394" s="118" t="s">
        <v>1343</v>
      </c>
      <c r="Q394" s="66" t="s">
        <v>459</v>
      </c>
      <c r="R394" s="66" t="s">
        <v>459</v>
      </c>
      <c r="S394" s="117">
        <v>213.0</v>
      </c>
      <c r="T394" s="64">
        <v>2343.0</v>
      </c>
      <c r="U394" s="118">
        <v>213.0</v>
      </c>
      <c r="V394" s="64">
        <v>2343.0</v>
      </c>
      <c r="W394" s="64">
        <v>2343.0</v>
      </c>
      <c r="X394" s="65" t="s">
        <v>460</v>
      </c>
      <c r="Y394" s="64" t="s">
        <v>461</v>
      </c>
      <c r="Z394" s="64" t="s">
        <v>462</v>
      </c>
      <c r="AA394" s="64" t="s">
        <v>463</v>
      </c>
      <c r="AB394" s="64" t="s">
        <v>464</v>
      </c>
      <c r="AC394" s="64" t="s">
        <v>451</v>
      </c>
      <c r="AD394" s="66" t="s">
        <v>571</v>
      </c>
      <c r="AE394" s="66" t="s">
        <v>572</v>
      </c>
      <c r="AF394" s="66" t="s">
        <v>572</v>
      </c>
      <c r="AG394" s="64" t="s">
        <v>467</v>
      </c>
      <c r="AH394" s="64" t="s">
        <v>467</v>
      </c>
      <c r="AI394" s="66">
        <v>655.0</v>
      </c>
      <c r="AJ394" s="66">
        <v>21.5</v>
      </c>
      <c r="AK394" s="67">
        <v>14082.5</v>
      </c>
      <c r="AL394" s="63"/>
      <c r="AM394" s="63"/>
      <c r="AN394" s="64">
        <v>21.5</v>
      </c>
      <c r="AO394" s="64" t="s">
        <v>468</v>
      </c>
      <c r="AP394" s="63"/>
      <c r="AQ394" s="63"/>
      <c r="AR394" s="63"/>
      <c r="AS394" s="63"/>
      <c r="AT394" s="63"/>
      <c r="AU394" s="63"/>
      <c r="AV394" s="68"/>
      <c r="AW394" s="58" t="s">
        <v>512</v>
      </c>
      <c r="AX394" s="69">
        <v>14082.5</v>
      </c>
      <c r="AY394" s="70"/>
      <c r="AZ394" s="70"/>
      <c r="BA394" s="70"/>
      <c r="BB394" s="70"/>
      <c r="BC394" s="58" t="s">
        <v>469</v>
      </c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</row>
    <row r="395">
      <c r="A395" s="59">
        <v>45826.0</v>
      </c>
      <c r="B395" s="64" t="s">
        <v>451</v>
      </c>
      <c r="C395" s="107">
        <v>45826.0</v>
      </c>
      <c r="D395" s="107">
        <v>45826.0</v>
      </c>
      <c r="E395" s="66" t="s">
        <v>452</v>
      </c>
      <c r="F395" s="103" t="s">
        <v>1344</v>
      </c>
      <c r="G395" s="77"/>
      <c r="H395" s="66" t="s">
        <v>472</v>
      </c>
      <c r="I395" s="66" t="s">
        <v>632</v>
      </c>
      <c r="J395" s="66" t="s">
        <v>456</v>
      </c>
      <c r="K395" s="66" t="s">
        <v>456</v>
      </c>
      <c r="L395" s="66">
        <v>22.0</v>
      </c>
      <c r="M395" s="66">
        <v>22.0</v>
      </c>
      <c r="N395" s="66" t="s">
        <v>457</v>
      </c>
      <c r="O395" s="66">
        <v>24.0</v>
      </c>
      <c r="P395" s="117" t="s">
        <v>1345</v>
      </c>
      <c r="Q395" s="64" t="s">
        <v>459</v>
      </c>
      <c r="R395" s="64" t="s">
        <v>459</v>
      </c>
      <c r="S395" s="118">
        <v>138.0</v>
      </c>
      <c r="T395" s="64">
        <v>1518.0</v>
      </c>
      <c r="U395" s="117">
        <v>138.0</v>
      </c>
      <c r="V395" s="66">
        <v>1518.0</v>
      </c>
      <c r="W395" s="66">
        <v>1518.0</v>
      </c>
      <c r="X395" s="65" t="s">
        <v>460</v>
      </c>
      <c r="Y395" s="66" t="s">
        <v>461</v>
      </c>
      <c r="Z395" s="66" t="s">
        <v>462</v>
      </c>
      <c r="AA395" s="66" t="s">
        <v>463</v>
      </c>
      <c r="AB395" s="66" t="s">
        <v>464</v>
      </c>
      <c r="AC395" s="66" t="s">
        <v>451</v>
      </c>
      <c r="AD395" s="64" t="s">
        <v>577</v>
      </c>
      <c r="AE395" s="64" t="s">
        <v>578</v>
      </c>
      <c r="AF395" s="64" t="s">
        <v>578</v>
      </c>
      <c r="AG395" s="64" t="s">
        <v>467</v>
      </c>
      <c r="AH395" s="64" t="s">
        <v>467</v>
      </c>
      <c r="AI395" s="66">
        <v>396.0</v>
      </c>
      <c r="AJ395" s="64">
        <v>21.5</v>
      </c>
      <c r="AK395" s="67">
        <v>8514.0</v>
      </c>
      <c r="AL395" s="63"/>
      <c r="AM395" s="63"/>
      <c r="AN395" s="64">
        <v>21.5</v>
      </c>
      <c r="AO395" s="64" t="s">
        <v>468</v>
      </c>
      <c r="AP395" s="63"/>
      <c r="AQ395" s="63"/>
      <c r="AR395" s="63"/>
      <c r="AS395" s="63"/>
      <c r="AT395" s="63"/>
      <c r="AU395" s="63"/>
      <c r="AV395" s="63"/>
      <c r="AW395" s="58" t="s">
        <v>512</v>
      </c>
      <c r="AX395" s="69">
        <v>8514.0</v>
      </c>
      <c r="AY395" s="70"/>
      <c r="AZ395" s="70"/>
      <c r="BA395" s="70"/>
      <c r="BB395" s="70"/>
      <c r="BC395" s="58" t="s">
        <v>469</v>
      </c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</row>
    <row r="396">
      <c r="A396" s="115">
        <v>45826.0</v>
      </c>
      <c r="B396" s="66" t="s">
        <v>451</v>
      </c>
      <c r="C396" s="61">
        <v>45826.0</v>
      </c>
      <c r="D396" s="61">
        <v>45826.0</v>
      </c>
      <c r="E396" s="64" t="s">
        <v>452</v>
      </c>
      <c r="F396" s="116" t="s">
        <v>1346</v>
      </c>
      <c r="G396" s="63"/>
      <c r="H396" s="64" t="s">
        <v>472</v>
      </c>
      <c r="I396" s="64" t="s">
        <v>891</v>
      </c>
      <c r="J396" s="64" t="s">
        <v>456</v>
      </c>
      <c r="K396" s="64" t="s">
        <v>456</v>
      </c>
      <c r="L396" s="64">
        <v>22.0</v>
      </c>
      <c r="M396" s="64">
        <v>22.0</v>
      </c>
      <c r="N396" s="64" t="s">
        <v>457</v>
      </c>
      <c r="O396" s="64">
        <v>24.0</v>
      </c>
      <c r="P396" s="119">
        <v>2.46E8</v>
      </c>
      <c r="Q396" s="64" t="s">
        <v>459</v>
      </c>
      <c r="R396" s="64" t="s">
        <v>459</v>
      </c>
      <c r="S396" s="118">
        <v>73.0</v>
      </c>
      <c r="T396" s="64">
        <v>803.0</v>
      </c>
      <c r="U396" s="118">
        <v>73.0</v>
      </c>
      <c r="V396" s="64">
        <v>803.0</v>
      </c>
      <c r="W396" s="64">
        <v>803.0</v>
      </c>
      <c r="X396" s="65" t="s">
        <v>460</v>
      </c>
      <c r="Y396" s="64" t="s">
        <v>461</v>
      </c>
      <c r="Z396" s="64" t="s">
        <v>462</v>
      </c>
      <c r="AA396" s="64" t="s">
        <v>463</v>
      </c>
      <c r="AB396" s="64" t="s">
        <v>464</v>
      </c>
      <c r="AC396" s="64" t="s">
        <v>451</v>
      </c>
      <c r="AD396" s="66" t="s">
        <v>634</v>
      </c>
      <c r="AE396" s="66" t="s">
        <v>617</v>
      </c>
      <c r="AF396" s="66" t="s">
        <v>617</v>
      </c>
      <c r="AG396" s="64" t="s">
        <v>467</v>
      </c>
      <c r="AH396" s="64" t="s">
        <v>467</v>
      </c>
      <c r="AI396" s="64">
        <v>330.0</v>
      </c>
      <c r="AJ396" s="64">
        <v>21.5</v>
      </c>
      <c r="AK396" s="67">
        <v>7095.0</v>
      </c>
      <c r="AL396" s="63"/>
      <c r="AM396" s="63"/>
      <c r="AN396" s="64">
        <v>21.5</v>
      </c>
      <c r="AO396" s="64" t="s">
        <v>468</v>
      </c>
      <c r="AP396" s="63"/>
      <c r="AQ396" s="63"/>
      <c r="AR396" s="63"/>
      <c r="AS396" s="63"/>
      <c r="AT396" s="63"/>
      <c r="AU396" s="63"/>
      <c r="AV396" s="63"/>
      <c r="AW396" s="58" t="s">
        <v>512</v>
      </c>
      <c r="AX396" s="69">
        <v>7095.0</v>
      </c>
      <c r="AY396" s="70"/>
      <c r="AZ396" s="70"/>
      <c r="BA396" s="70"/>
      <c r="BB396" s="70"/>
      <c r="BC396" s="58" t="s">
        <v>469</v>
      </c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</row>
    <row r="397">
      <c r="A397" s="59">
        <v>45826.0</v>
      </c>
      <c r="B397" s="64" t="s">
        <v>451</v>
      </c>
      <c r="C397" s="107">
        <v>45826.0</v>
      </c>
      <c r="D397" s="107">
        <v>45826.0</v>
      </c>
      <c r="E397" s="66" t="s">
        <v>452</v>
      </c>
      <c r="F397" s="103" t="s">
        <v>1347</v>
      </c>
      <c r="G397" s="77"/>
      <c r="H397" s="66" t="s">
        <v>472</v>
      </c>
      <c r="I397" s="66" t="s">
        <v>479</v>
      </c>
      <c r="J397" s="66" t="s">
        <v>456</v>
      </c>
      <c r="K397" s="66" t="s">
        <v>456</v>
      </c>
      <c r="L397" s="66">
        <v>22.0</v>
      </c>
      <c r="M397" s="66">
        <v>22.0</v>
      </c>
      <c r="N397" s="66" t="s">
        <v>457</v>
      </c>
      <c r="O397" s="66">
        <v>24.0</v>
      </c>
      <c r="P397" s="117" t="s">
        <v>1348</v>
      </c>
      <c r="Q397" s="66" t="s">
        <v>459</v>
      </c>
      <c r="R397" s="66" t="s">
        <v>459</v>
      </c>
      <c r="S397" s="117">
        <v>60.0</v>
      </c>
      <c r="T397" s="64">
        <v>660.0</v>
      </c>
      <c r="U397" s="117">
        <v>60.0</v>
      </c>
      <c r="V397" s="66">
        <v>660.0</v>
      </c>
      <c r="W397" s="66">
        <v>660.0</v>
      </c>
      <c r="X397" s="65" t="s">
        <v>460</v>
      </c>
      <c r="Y397" s="66" t="s">
        <v>461</v>
      </c>
      <c r="Z397" s="66" t="s">
        <v>462</v>
      </c>
      <c r="AA397" s="66" t="s">
        <v>463</v>
      </c>
      <c r="AB397" s="66" t="s">
        <v>464</v>
      </c>
      <c r="AC397" s="66" t="s">
        <v>451</v>
      </c>
      <c r="AD397" s="64" t="s">
        <v>638</v>
      </c>
      <c r="AE397" s="64" t="s">
        <v>536</v>
      </c>
      <c r="AF397" s="64" t="s">
        <v>536</v>
      </c>
      <c r="AG397" s="64" t="s">
        <v>467</v>
      </c>
      <c r="AH397" s="64" t="s">
        <v>467</v>
      </c>
      <c r="AI397" s="66">
        <v>510.0</v>
      </c>
      <c r="AJ397" s="66">
        <v>21.5</v>
      </c>
      <c r="AK397" s="67">
        <v>10965.0</v>
      </c>
      <c r="AL397" s="63"/>
      <c r="AM397" s="63"/>
      <c r="AN397" s="64">
        <v>21.5</v>
      </c>
      <c r="AO397" s="64" t="s">
        <v>468</v>
      </c>
      <c r="AP397" s="63"/>
      <c r="AQ397" s="63"/>
      <c r="AR397" s="63"/>
      <c r="AS397" s="63"/>
      <c r="AT397" s="63"/>
      <c r="AU397" s="63"/>
      <c r="AV397" s="68"/>
      <c r="AW397" s="58" t="s">
        <v>512</v>
      </c>
      <c r="AX397" s="69">
        <v>10965.0</v>
      </c>
      <c r="AY397" s="70"/>
      <c r="AZ397" s="70"/>
      <c r="BA397" s="70"/>
      <c r="BB397" s="70"/>
      <c r="BC397" s="58" t="s">
        <v>469</v>
      </c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</row>
    <row r="398">
      <c r="A398" s="115">
        <v>45827.0</v>
      </c>
      <c r="B398" s="66" t="s">
        <v>451</v>
      </c>
      <c r="C398" s="61">
        <v>45827.0</v>
      </c>
      <c r="D398" s="61">
        <v>45827.0</v>
      </c>
      <c r="E398" s="64" t="s">
        <v>452</v>
      </c>
      <c r="F398" s="104" t="s">
        <v>1349</v>
      </c>
      <c r="G398" s="63"/>
      <c r="H398" s="64" t="s">
        <v>454</v>
      </c>
      <c r="I398" s="64" t="s">
        <v>586</v>
      </c>
      <c r="J398" s="64" t="s">
        <v>456</v>
      </c>
      <c r="K398" s="64" t="s">
        <v>456</v>
      </c>
      <c r="L398" s="64">
        <v>22.0</v>
      </c>
      <c r="M398" s="64">
        <v>22.0</v>
      </c>
      <c r="N398" s="64" t="s">
        <v>457</v>
      </c>
      <c r="O398" s="64">
        <v>24.0</v>
      </c>
      <c r="P398" s="118" t="s">
        <v>1308</v>
      </c>
      <c r="Q398" s="64" t="s">
        <v>459</v>
      </c>
      <c r="R398" s="64" t="s">
        <v>459</v>
      </c>
      <c r="S398" s="118">
        <v>317.0</v>
      </c>
      <c r="T398" s="64">
        <v>3487.0</v>
      </c>
      <c r="U398" s="118">
        <v>317.0</v>
      </c>
      <c r="V398" s="64">
        <v>3487.0</v>
      </c>
      <c r="W398" s="64">
        <v>3487.0</v>
      </c>
      <c r="X398" s="65" t="s">
        <v>460</v>
      </c>
      <c r="Y398" s="64" t="s">
        <v>461</v>
      </c>
      <c r="Z398" s="64" t="s">
        <v>462</v>
      </c>
      <c r="AA398" s="64" t="s">
        <v>463</v>
      </c>
      <c r="AB398" s="64" t="s">
        <v>464</v>
      </c>
      <c r="AC398" s="64" t="s">
        <v>451</v>
      </c>
      <c r="AD398" s="66" t="s">
        <v>465</v>
      </c>
      <c r="AE398" s="66" t="s">
        <v>579</v>
      </c>
      <c r="AF398" s="66" t="s">
        <v>579</v>
      </c>
      <c r="AG398" s="64" t="s">
        <v>467</v>
      </c>
      <c r="AH398" s="64" t="s">
        <v>467</v>
      </c>
      <c r="AI398" s="66">
        <v>735.0</v>
      </c>
      <c r="AJ398" s="66">
        <v>21.5</v>
      </c>
      <c r="AK398" s="67">
        <v>15802.5</v>
      </c>
      <c r="AL398" s="63"/>
      <c r="AM398" s="63"/>
      <c r="AN398" s="64">
        <v>21.5</v>
      </c>
      <c r="AO398" s="60" t="s">
        <v>468</v>
      </c>
      <c r="AP398" s="63"/>
      <c r="AQ398" s="63"/>
      <c r="AR398" s="63"/>
      <c r="AS398" s="63"/>
      <c r="AT398" s="63"/>
      <c r="AU398" s="63"/>
      <c r="AV398" s="68"/>
      <c r="AW398" s="58" t="s">
        <v>512</v>
      </c>
      <c r="AX398" s="69">
        <v>15802.5</v>
      </c>
      <c r="AY398" s="70"/>
      <c r="AZ398" s="70"/>
      <c r="BA398" s="70"/>
      <c r="BB398" s="70"/>
      <c r="BC398" s="58" t="s">
        <v>469</v>
      </c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</row>
    <row r="399">
      <c r="A399" s="115">
        <v>45827.0</v>
      </c>
      <c r="B399" s="66" t="s">
        <v>451</v>
      </c>
      <c r="C399" s="61">
        <v>45827.0</v>
      </c>
      <c r="D399" s="61">
        <v>45827.0</v>
      </c>
      <c r="E399" s="60" t="s">
        <v>452</v>
      </c>
      <c r="F399" s="108" t="s">
        <v>1350</v>
      </c>
      <c r="G399" s="63"/>
      <c r="H399" s="64" t="s">
        <v>472</v>
      </c>
      <c r="I399" s="64" t="s">
        <v>473</v>
      </c>
      <c r="J399" s="64" t="s">
        <v>456</v>
      </c>
      <c r="K399" s="64" t="s">
        <v>456</v>
      </c>
      <c r="L399" s="66">
        <v>22.0</v>
      </c>
      <c r="M399" s="66">
        <v>22.0</v>
      </c>
      <c r="N399" s="66" t="s">
        <v>457</v>
      </c>
      <c r="O399" s="66">
        <v>24.0</v>
      </c>
      <c r="P399" s="118" t="s">
        <v>1310</v>
      </c>
      <c r="Q399" s="64" t="s">
        <v>459</v>
      </c>
      <c r="R399" s="64" t="s">
        <v>459</v>
      </c>
      <c r="S399" s="118">
        <v>186.0</v>
      </c>
      <c r="T399" s="64">
        <v>2046.0</v>
      </c>
      <c r="U399" s="118">
        <v>186.0</v>
      </c>
      <c r="V399" s="64">
        <v>2046.0</v>
      </c>
      <c r="W399" s="64">
        <v>2046.0</v>
      </c>
      <c r="X399" s="65" t="s">
        <v>460</v>
      </c>
      <c r="Y399" s="64" t="s">
        <v>461</v>
      </c>
      <c r="Z399" s="64" t="s">
        <v>462</v>
      </c>
      <c r="AA399" s="64" t="s">
        <v>463</v>
      </c>
      <c r="AB399" s="64" t="s">
        <v>464</v>
      </c>
      <c r="AC399" s="60" t="s">
        <v>451</v>
      </c>
      <c r="AD399" s="60" t="s">
        <v>475</v>
      </c>
      <c r="AE399" s="64" t="s">
        <v>476</v>
      </c>
      <c r="AF399" s="64" t="s">
        <v>476</v>
      </c>
      <c r="AG399" s="64" t="s">
        <v>467</v>
      </c>
      <c r="AH399" s="64" t="s">
        <v>467</v>
      </c>
      <c r="AI399" s="64">
        <v>650.0</v>
      </c>
      <c r="AJ399" s="66">
        <v>21.5</v>
      </c>
      <c r="AK399" s="67">
        <v>13975.0</v>
      </c>
      <c r="AL399" s="63"/>
      <c r="AM399" s="63"/>
      <c r="AN399" s="64">
        <v>21.5</v>
      </c>
      <c r="AO399" s="64" t="s">
        <v>468</v>
      </c>
      <c r="AP399" s="63"/>
      <c r="AQ399" s="63"/>
      <c r="AR399" s="63"/>
      <c r="AS399" s="63"/>
      <c r="AT399" s="63"/>
      <c r="AU399" s="63"/>
      <c r="AV399" s="63"/>
      <c r="AW399" s="58" t="s">
        <v>512</v>
      </c>
      <c r="AX399" s="69">
        <v>13975.0</v>
      </c>
      <c r="AY399" s="70"/>
      <c r="AZ399" s="70"/>
      <c r="BA399" s="70"/>
      <c r="BB399" s="70"/>
      <c r="BC399" s="58" t="s">
        <v>469</v>
      </c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</row>
    <row r="400">
      <c r="A400" s="59">
        <v>45827.0</v>
      </c>
      <c r="B400" s="64" t="s">
        <v>451</v>
      </c>
      <c r="C400" s="61">
        <v>45827.0</v>
      </c>
      <c r="D400" s="61">
        <v>45827.0</v>
      </c>
      <c r="E400" s="60" t="s">
        <v>452</v>
      </c>
      <c r="F400" s="104" t="s">
        <v>1351</v>
      </c>
      <c r="G400" s="63"/>
      <c r="H400" s="64" t="s">
        <v>472</v>
      </c>
      <c r="I400" s="64" t="s">
        <v>590</v>
      </c>
      <c r="J400" s="64" t="s">
        <v>456</v>
      </c>
      <c r="K400" s="64" t="s">
        <v>456</v>
      </c>
      <c r="L400" s="66">
        <v>22.0</v>
      </c>
      <c r="M400" s="66">
        <v>22.0</v>
      </c>
      <c r="N400" s="66" t="s">
        <v>457</v>
      </c>
      <c r="O400" s="66">
        <v>24.0</v>
      </c>
      <c r="P400" s="117" t="s">
        <v>1312</v>
      </c>
      <c r="Q400" s="66" t="s">
        <v>459</v>
      </c>
      <c r="R400" s="66" t="s">
        <v>459</v>
      </c>
      <c r="S400" s="117">
        <v>203.0</v>
      </c>
      <c r="T400" s="64">
        <v>2233.0</v>
      </c>
      <c r="U400" s="118">
        <v>203.0</v>
      </c>
      <c r="V400" s="64">
        <v>2233.0</v>
      </c>
      <c r="W400" s="64">
        <v>2233.0</v>
      </c>
      <c r="X400" s="65" t="s">
        <v>460</v>
      </c>
      <c r="Y400" s="64" t="s">
        <v>461</v>
      </c>
      <c r="Z400" s="64" t="s">
        <v>462</v>
      </c>
      <c r="AA400" s="64" t="s">
        <v>463</v>
      </c>
      <c r="AB400" s="64" t="s">
        <v>464</v>
      </c>
      <c r="AC400" s="60" t="s">
        <v>451</v>
      </c>
      <c r="AD400" s="64" t="s">
        <v>481</v>
      </c>
      <c r="AE400" s="64" t="s">
        <v>482</v>
      </c>
      <c r="AF400" s="64" t="s">
        <v>482</v>
      </c>
      <c r="AG400" s="64" t="s">
        <v>467</v>
      </c>
      <c r="AH400" s="64" t="s">
        <v>467</v>
      </c>
      <c r="AI400" s="64">
        <v>655.0</v>
      </c>
      <c r="AJ400" s="64">
        <v>21.5</v>
      </c>
      <c r="AK400" s="67">
        <v>14082.5</v>
      </c>
      <c r="AL400" s="63"/>
      <c r="AM400" s="63"/>
      <c r="AN400" s="64">
        <v>21.5</v>
      </c>
      <c r="AO400" s="64" t="s">
        <v>468</v>
      </c>
      <c r="AP400" s="63"/>
      <c r="AQ400" s="63"/>
      <c r="AR400" s="63"/>
      <c r="AS400" s="63"/>
      <c r="AT400" s="63"/>
      <c r="AU400" s="63"/>
      <c r="AV400" s="68"/>
      <c r="AW400" s="58" t="s">
        <v>512</v>
      </c>
      <c r="AX400" s="69">
        <v>14082.5</v>
      </c>
      <c r="AY400" s="70"/>
      <c r="AZ400" s="70"/>
      <c r="BA400" s="70"/>
      <c r="BB400" s="70"/>
      <c r="BC400" s="58" t="s">
        <v>469</v>
      </c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8"/>
      <c r="BR400" s="58"/>
    </row>
    <row r="401">
      <c r="A401" s="115">
        <v>45827.0</v>
      </c>
      <c r="B401" s="66" t="s">
        <v>451</v>
      </c>
      <c r="C401" s="61">
        <v>45827.0</v>
      </c>
      <c r="D401" s="61">
        <v>45827.0</v>
      </c>
      <c r="E401" s="60" t="s">
        <v>452</v>
      </c>
      <c r="F401" s="108" t="s">
        <v>1352</v>
      </c>
      <c r="G401" s="63"/>
      <c r="H401" s="64" t="s">
        <v>472</v>
      </c>
      <c r="I401" s="64" t="s">
        <v>575</v>
      </c>
      <c r="J401" s="64" t="s">
        <v>486</v>
      </c>
      <c r="K401" s="64" t="s">
        <v>486</v>
      </c>
      <c r="L401" s="66">
        <v>22.0</v>
      </c>
      <c r="M401" s="66">
        <v>22.0</v>
      </c>
      <c r="N401" s="66" t="s">
        <v>457</v>
      </c>
      <c r="O401" s="66">
        <v>24.0</v>
      </c>
      <c r="P401" s="118" t="s">
        <v>1314</v>
      </c>
      <c r="Q401" s="64" t="s">
        <v>459</v>
      </c>
      <c r="R401" s="64" t="s">
        <v>459</v>
      </c>
      <c r="S401" s="118">
        <v>106.0</v>
      </c>
      <c r="T401" s="64">
        <v>1166.0</v>
      </c>
      <c r="U401" s="117">
        <v>106.0</v>
      </c>
      <c r="V401" s="64">
        <v>1166.0</v>
      </c>
      <c r="W401" s="64">
        <v>1166.0</v>
      </c>
      <c r="X401" s="65" t="s">
        <v>460</v>
      </c>
      <c r="Y401" s="64" t="s">
        <v>461</v>
      </c>
      <c r="Z401" s="64" t="s">
        <v>462</v>
      </c>
      <c r="AA401" s="64" t="s">
        <v>463</v>
      </c>
      <c r="AB401" s="64" t="s">
        <v>464</v>
      </c>
      <c r="AC401" s="60" t="s">
        <v>451</v>
      </c>
      <c r="AD401" s="64" t="s">
        <v>481</v>
      </c>
      <c r="AE401" s="64" t="s">
        <v>598</v>
      </c>
      <c r="AF401" s="64" t="s">
        <v>598</v>
      </c>
      <c r="AG401" s="64" t="s">
        <v>467</v>
      </c>
      <c r="AH401" s="64" t="s">
        <v>467</v>
      </c>
      <c r="AI401" s="64">
        <v>655.0</v>
      </c>
      <c r="AJ401" s="64">
        <v>23.5</v>
      </c>
      <c r="AK401" s="67">
        <v>15392.5</v>
      </c>
      <c r="AL401" s="63"/>
      <c r="AM401" s="63"/>
      <c r="AN401" s="64">
        <v>23.5</v>
      </c>
      <c r="AO401" s="64" t="s">
        <v>468</v>
      </c>
      <c r="AP401" s="63"/>
      <c r="AQ401" s="63"/>
      <c r="AR401" s="63"/>
      <c r="AS401" s="63"/>
      <c r="AT401" s="63"/>
      <c r="AU401" s="63"/>
      <c r="AV401" s="68"/>
      <c r="AW401" s="58" t="s">
        <v>512</v>
      </c>
      <c r="AX401" s="69">
        <v>15392.5</v>
      </c>
      <c r="AY401" s="70"/>
      <c r="AZ401" s="70"/>
      <c r="BA401" s="70"/>
      <c r="BB401" s="70"/>
      <c r="BC401" s="58" t="s">
        <v>469</v>
      </c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</row>
    <row r="402">
      <c r="A402" s="59">
        <v>45827.0</v>
      </c>
      <c r="B402" s="64" t="s">
        <v>451</v>
      </c>
      <c r="C402" s="61">
        <v>45827.0</v>
      </c>
      <c r="D402" s="61">
        <v>45827.0</v>
      </c>
      <c r="E402" s="60" t="s">
        <v>452</v>
      </c>
      <c r="F402" s="104" t="s">
        <v>1353</v>
      </c>
      <c r="G402" s="63"/>
      <c r="H402" s="64" t="s">
        <v>492</v>
      </c>
      <c r="I402" s="64" t="s">
        <v>493</v>
      </c>
      <c r="J402" s="64" t="s">
        <v>456</v>
      </c>
      <c r="K402" s="64" t="s">
        <v>456</v>
      </c>
      <c r="L402" s="64">
        <v>28.0</v>
      </c>
      <c r="M402" s="64">
        <v>28.0</v>
      </c>
      <c r="N402" s="64" t="s">
        <v>457</v>
      </c>
      <c r="O402" s="64">
        <v>24.0</v>
      </c>
      <c r="P402" s="117" t="s">
        <v>1316</v>
      </c>
      <c r="Q402" s="66" t="s">
        <v>459</v>
      </c>
      <c r="R402" s="66" t="s">
        <v>459</v>
      </c>
      <c r="S402" s="117">
        <v>540.0</v>
      </c>
      <c r="T402" s="64">
        <v>5940.0</v>
      </c>
      <c r="U402" s="118">
        <v>540.0</v>
      </c>
      <c r="V402" s="64">
        <v>5940.0</v>
      </c>
      <c r="W402" s="64">
        <v>5940.0</v>
      </c>
      <c r="X402" s="65" t="s">
        <v>460</v>
      </c>
      <c r="Y402" s="64" t="s">
        <v>461</v>
      </c>
      <c r="Z402" s="64" t="s">
        <v>462</v>
      </c>
      <c r="AA402" s="64" t="s">
        <v>463</v>
      </c>
      <c r="AB402" s="64" t="s">
        <v>464</v>
      </c>
      <c r="AC402" s="60" t="s">
        <v>451</v>
      </c>
      <c r="AD402" s="64" t="s">
        <v>495</v>
      </c>
      <c r="AE402" s="64" t="s">
        <v>496</v>
      </c>
      <c r="AF402" s="64" t="s">
        <v>496</v>
      </c>
      <c r="AG402" s="64" t="s">
        <v>467</v>
      </c>
      <c r="AH402" s="64" t="s">
        <v>467</v>
      </c>
      <c r="AI402" s="64">
        <v>570.0</v>
      </c>
      <c r="AJ402" s="64">
        <v>23.5</v>
      </c>
      <c r="AK402" s="67">
        <v>13395.0</v>
      </c>
      <c r="AL402" s="63"/>
      <c r="AM402" s="63"/>
      <c r="AN402" s="64">
        <v>23.5</v>
      </c>
      <c r="AO402" s="64" t="s">
        <v>468</v>
      </c>
      <c r="AP402" s="63"/>
      <c r="AQ402" s="63"/>
      <c r="AR402" s="63"/>
      <c r="AS402" s="63"/>
      <c r="AT402" s="63"/>
      <c r="AU402" s="63"/>
      <c r="AV402" s="63"/>
      <c r="AW402" s="58" t="s">
        <v>512</v>
      </c>
      <c r="AX402" s="69">
        <v>13395.0</v>
      </c>
      <c r="AY402" s="70"/>
      <c r="AZ402" s="70"/>
      <c r="BA402" s="70"/>
      <c r="BB402" s="70"/>
      <c r="BC402" s="58" t="s">
        <v>469</v>
      </c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8"/>
      <c r="BR402" s="58"/>
    </row>
    <row r="403">
      <c r="A403" s="115">
        <v>45827.0</v>
      </c>
      <c r="B403" s="66" t="s">
        <v>451</v>
      </c>
      <c r="C403" s="61">
        <v>45827.0</v>
      </c>
      <c r="D403" s="61">
        <v>45827.0</v>
      </c>
      <c r="E403" s="60" t="s">
        <v>452</v>
      </c>
      <c r="F403" s="104" t="s">
        <v>1354</v>
      </c>
      <c r="G403" s="63"/>
      <c r="H403" s="64" t="s">
        <v>498</v>
      </c>
      <c r="I403" s="64" t="s">
        <v>691</v>
      </c>
      <c r="J403" s="64" t="s">
        <v>456</v>
      </c>
      <c r="K403" s="64" t="s">
        <v>456</v>
      </c>
      <c r="L403" s="66">
        <v>22.0</v>
      </c>
      <c r="M403" s="66">
        <v>22.0</v>
      </c>
      <c r="N403" s="66" t="s">
        <v>457</v>
      </c>
      <c r="O403" s="66">
        <v>24.0</v>
      </c>
      <c r="P403" s="118" t="s">
        <v>1318</v>
      </c>
      <c r="Q403" s="64" t="s">
        <v>459</v>
      </c>
      <c r="R403" s="64" t="s">
        <v>459</v>
      </c>
      <c r="S403" s="118">
        <v>171.0</v>
      </c>
      <c r="T403" s="64">
        <v>1881.0</v>
      </c>
      <c r="U403" s="118">
        <v>171.0</v>
      </c>
      <c r="V403" s="64">
        <v>1881.0</v>
      </c>
      <c r="W403" s="64">
        <v>1881.0</v>
      </c>
      <c r="X403" s="65" t="s">
        <v>460</v>
      </c>
      <c r="Y403" s="64" t="s">
        <v>461</v>
      </c>
      <c r="Z403" s="64" t="s">
        <v>462</v>
      </c>
      <c r="AA403" s="64" t="s">
        <v>463</v>
      </c>
      <c r="AB403" s="64" t="s">
        <v>464</v>
      </c>
      <c r="AC403" s="60" t="s">
        <v>451</v>
      </c>
      <c r="AD403" s="64" t="s">
        <v>501</v>
      </c>
      <c r="AE403" s="64" t="s">
        <v>502</v>
      </c>
      <c r="AF403" s="64" t="s">
        <v>502</v>
      </c>
      <c r="AG403" s="64" t="s">
        <v>467</v>
      </c>
      <c r="AH403" s="64" t="s">
        <v>467</v>
      </c>
      <c r="AI403" s="64">
        <v>380.0</v>
      </c>
      <c r="AJ403" s="64">
        <v>21.5</v>
      </c>
      <c r="AK403" s="67">
        <v>8170.0</v>
      </c>
      <c r="AL403" s="63"/>
      <c r="AM403" s="63"/>
      <c r="AN403" s="64">
        <v>21.5</v>
      </c>
      <c r="AO403" s="64" t="s">
        <v>468</v>
      </c>
      <c r="AP403" s="63"/>
      <c r="AQ403" s="63"/>
      <c r="AR403" s="63"/>
      <c r="AS403" s="63"/>
      <c r="AT403" s="63"/>
      <c r="AU403" s="63"/>
      <c r="AV403" s="68"/>
      <c r="AW403" s="58" t="s">
        <v>512</v>
      </c>
      <c r="AX403" s="69">
        <v>8170.0</v>
      </c>
      <c r="AY403" s="70"/>
      <c r="AZ403" s="70"/>
      <c r="BA403" s="70"/>
      <c r="BB403" s="70"/>
      <c r="BC403" s="58" t="s">
        <v>469</v>
      </c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8"/>
      <c r="BP403" s="58"/>
      <c r="BQ403" s="58"/>
      <c r="BR403" s="58"/>
    </row>
    <row r="404">
      <c r="A404" s="59">
        <v>45827.0</v>
      </c>
      <c r="B404" s="64" t="s">
        <v>451</v>
      </c>
      <c r="C404" s="61">
        <v>45827.0</v>
      </c>
      <c r="D404" s="61">
        <v>45827.0</v>
      </c>
      <c r="E404" s="60" t="s">
        <v>452</v>
      </c>
      <c r="F404" s="120" t="s">
        <v>1355</v>
      </c>
      <c r="G404" s="63"/>
      <c r="H404" s="64" t="s">
        <v>454</v>
      </c>
      <c r="I404" s="64" t="s">
        <v>641</v>
      </c>
      <c r="J404" s="64" t="s">
        <v>486</v>
      </c>
      <c r="K404" s="64" t="s">
        <v>486</v>
      </c>
      <c r="L404" s="66">
        <v>22.0</v>
      </c>
      <c r="M404" s="66">
        <v>22.0</v>
      </c>
      <c r="N404" s="66" t="s">
        <v>457</v>
      </c>
      <c r="O404" s="66">
        <v>24.0</v>
      </c>
      <c r="P404" s="117" t="s">
        <v>1320</v>
      </c>
      <c r="Q404" s="66" t="s">
        <v>459</v>
      </c>
      <c r="R404" s="66" t="s">
        <v>459</v>
      </c>
      <c r="S404" s="117">
        <v>127.0</v>
      </c>
      <c r="T404" s="64">
        <v>1397.0</v>
      </c>
      <c r="U404" s="117">
        <v>127.0</v>
      </c>
      <c r="V404" s="64">
        <v>1397.0</v>
      </c>
      <c r="W404" s="64">
        <v>1397.0</v>
      </c>
      <c r="X404" s="65" t="s">
        <v>460</v>
      </c>
      <c r="Y404" s="64" t="s">
        <v>461</v>
      </c>
      <c r="Z404" s="64" t="s">
        <v>462</v>
      </c>
      <c r="AA404" s="64" t="s">
        <v>463</v>
      </c>
      <c r="AB404" s="64" t="s">
        <v>464</v>
      </c>
      <c r="AC404" s="60" t="s">
        <v>451</v>
      </c>
      <c r="AD404" s="60" t="s">
        <v>519</v>
      </c>
      <c r="AE404" s="64" t="s">
        <v>519</v>
      </c>
      <c r="AF404" s="64" t="s">
        <v>519</v>
      </c>
      <c r="AG404" s="64" t="s">
        <v>467</v>
      </c>
      <c r="AH404" s="64" t="s">
        <v>467</v>
      </c>
      <c r="AI404" s="64">
        <v>780.0</v>
      </c>
      <c r="AJ404" s="64">
        <v>23.5</v>
      </c>
      <c r="AK404" s="67">
        <v>18330.0</v>
      </c>
      <c r="AL404" s="63"/>
      <c r="AM404" s="63"/>
      <c r="AN404" s="64">
        <v>23.5</v>
      </c>
      <c r="AO404" s="64" t="s">
        <v>468</v>
      </c>
      <c r="AP404" s="63"/>
      <c r="AQ404" s="63"/>
      <c r="AR404" s="63"/>
      <c r="AS404" s="63"/>
      <c r="AT404" s="63"/>
      <c r="AU404" s="63"/>
      <c r="AV404" s="68"/>
      <c r="AW404" s="58" t="s">
        <v>512</v>
      </c>
      <c r="AX404" s="69">
        <v>18330.0</v>
      </c>
      <c r="AY404" s="70"/>
      <c r="AZ404" s="70"/>
      <c r="BA404" s="70"/>
      <c r="BB404" s="70"/>
      <c r="BC404" s="58" t="s">
        <v>469</v>
      </c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</row>
    <row r="405">
      <c r="A405" s="115">
        <v>45827.0</v>
      </c>
      <c r="B405" s="66" t="s">
        <v>451</v>
      </c>
      <c r="C405" s="61">
        <v>45827.0</v>
      </c>
      <c r="D405" s="61">
        <v>45827.0</v>
      </c>
      <c r="E405" s="60" t="s">
        <v>452</v>
      </c>
      <c r="F405" s="121" t="s">
        <v>1356</v>
      </c>
      <c r="G405" s="63"/>
      <c r="H405" s="64" t="s">
        <v>504</v>
      </c>
      <c r="I405" s="64" t="s">
        <v>505</v>
      </c>
      <c r="J405" s="64" t="s">
        <v>456</v>
      </c>
      <c r="K405" s="64" t="s">
        <v>456</v>
      </c>
      <c r="L405" s="66">
        <v>22.0</v>
      </c>
      <c r="M405" s="66">
        <v>22.0</v>
      </c>
      <c r="N405" s="66" t="s">
        <v>457</v>
      </c>
      <c r="O405" s="66">
        <v>24.0</v>
      </c>
      <c r="P405" s="118" t="s">
        <v>1322</v>
      </c>
      <c r="Q405" s="64" t="s">
        <v>459</v>
      </c>
      <c r="R405" s="64" t="s">
        <v>459</v>
      </c>
      <c r="S405" s="118">
        <v>152.0</v>
      </c>
      <c r="T405" s="64">
        <v>1672.0</v>
      </c>
      <c r="U405" s="118">
        <v>152.0</v>
      </c>
      <c r="V405" s="64">
        <v>1672.0</v>
      </c>
      <c r="W405" s="64">
        <v>1672.0</v>
      </c>
      <c r="X405" s="65" t="s">
        <v>460</v>
      </c>
      <c r="Y405" s="64" t="s">
        <v>461</v>
      </c>
      <c r="Z405" s="64" t="s">
        <v>462</v>
      </c>
      <c r="AA405" s="64" t="s">
        <v>463</v>
      </c>
      <c r="AB405" s="64" t="s">
        <v>464</v>
      </c>
      <c r="AC405" s="60" t="s">
        <v>451</v>
      </c>
      <c r="AD405" s="66" t="s">
        <v>507</v>
      </c>
      <c r="AE405" s="64" t="s">
        <v>508</v>
      </c>
      <c r="AF405" s="64" t="s">
        <v>508</v>
      </c>
      <c r="AG405" s="64" t="s">
        <v>467</v>
      </c>
      <c r="AH405" s="64" t="s">
        <v>467</v>
      </c>
      <c r="AI405" s="66">
        <v>790.0</v>
      </c>
      <c r="AJ405" s="66">
        <v>21.5</v>
      </c>
      <c r="AK405" s="67">
        <v>16985.0</v>
      </c>
      <c r="AL405" s="63"/>
      <c r="AM405" s="63"/>
      <c r="AN405" s="64">
        <v>21.5</v>
      </c>
      <c r="AO405" s="64" t="s">
        <v>468</v>
      </c>
      <c r="AP405" s="63"/>
      <c r="AQ405" s="63"/>
      <c r="AR405" s="63"/>
      <c r="AS405" s="73">
        <v>0.5</v>
      </c>
      <c r="AT405" s="64">
        <v>8492.5</v>
      </c>
      <c r="AU405" s="60" t="s">
        <v>510</v>
      </c>
      <c r="AV405" s="74" t="s">
        <v>511</v>
      </c>
      <c r="AW405" s="58" t="s">
        <v>512</v>
      </c>
      <c r="AX405" s="69">
        <v>8492.5</v>
      </c>
      <c r="AY405" s="70"/>
      <c r="AZ405" s="70"/>
      <c r="BA405" s="69">
        <v>8492.5</v>
      </c>
      <c r="BB405" s="70"/>
      <c r="BC405" s="58" t="s">
        <v>469</v>
      </c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8"/>
      <c r="BR405" s="58"/>
    </row>
    <row r="406">
      <c r="A406" s="59">
        <v>45827.0</v>
      </c>
      <c r="B406" s="64" t="s">
        <v>451</v>
      </c>
      <c r="C406" s="61">
        <v>45827.0</v>
      </c>
      <c r="D406" s="61">
        <v>45827.0</v>
      </c>
      <c r="E406" s="60" t="s">
        <v>452</v>
      </c>
      <c r="F406" s="104" t="s">
        <v>1357</v>
      </c>
      <c r="G406" s="63"/>
      <c r="H406" s="64" t="s">
        <v>504</v>
      </c>
      <c r="I406" s="64" t="s">
        <v>515</v>
      </c>
      <c r="J406" s="64" t="s">
        <v>456</v>
      </c>
      <c r="K406" s="64" t="s">
        <v>456</v>
      </c>
      <c r="L406" s="66">
        <v>22.0</v>
      </c>
      <c r="M406" s="66">
        <v>22.0</v>
      </c>
      <c r="N406" s="66" t="s">
        <v>457</v>
      </c>
      <c r="O406" s="66">
        <v>24.0</v>
      </c>
      <c r="P406" s="122">
        <v>2.46E8</v>
      </c>
      <c r="Q406" s="66" t="s">
        <v>459</v>
      </c>
      <c r="R406" s="66" t="s">
        <v>459</v>
      </c>
      <c r="S406" s="117">
        <v>121.0</v>
      </c>
      <c r="T406" s="64">
        <v>1331.0</v>
      </c>
      <c r="U406" s="117">
        <v>121.0</v>
      </c>
      <c r="V406" s="64">
        <v>1331.0</v>
      </c>
      <c r="W406" s="64">
        <v>1331.0</v>
      </c>
      <c r="X406" s="65" t="s">
        <v>460</v>
      </c>
      <c r="Y406" s="64" t="s">
        <v>461</v>
      </c>
      <c r="Z406" s="64" t="s">
        <v>462</v>
      </c>
      <c r="AA406" s="64" t="s">
        <v>463</v>
      </c>
      <c r="AB406" s="64" t="s">
        <v>464</v>
      </c>
      <c r="AC406" s="60" t="s">
        <v>451</v>
      </c>
      <c r="AD406" s="64" t="s">
        <v>517</v>
      </c>
      <c r="AE406" s="64" t="s">
        <v>518</v>
      </c>
      <c r="AF406" s="64" t="s">
        <v>518</v>
      </c>
      <c r="AG406" s="64" t="s">
        <v>467</v>
      </c>
      <c r="AH406" s="64" t="s">
        <v>467</v>
      </c>
      <c r="AI406" s="64">
        <v>815.0</v>
      </c>
      <c r="AJ406" s="64">
        <v>21.5</v>
      </c>
      <c r="AK406" s="67">
        <v>17522.5</v>
      </c>
      <c r="AL406" s="63"/>
      <c r="AM406" s="63"/>
      <c r="AN406" s="64">
        <v>21.5</v>
      </c>
      <c r="AO406" s="64" t="s">
        <v>468</v>
      </c>
      <c r="AP406" s="63"/>
      <c r="AQ406" s="63"/>
      <c r="AR406" s="63"/>
      <c r="AS406" s="63"/>
      <c r="AT406" s="63"/>
      <c r="AU406" s="63"/>
      <c r="AV406" s="68"/>
      <c r="AW406" s="58" t="s">
        <v>512</v>
      </c>
      <c r="AX406" s="69">
        <v>17522.5</v>
      </c>
      <c r="AY406" s="70"/>
      <c r="AZ406" s="70"/>
      <c r="BA406" s="70"/>
      <c r="BB406" s="70"/>
      <c r="BC406" s="58" t="s">
        <v>469</v>
      </c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8"/>
      <c r="BR406" s="58"/>
    </row>
    <row r="407">
      <c r="A407" s="115">
        <v>45827.0</v>
      </c>
      <c r="B407" s="66" t="s">
        <v>451</v>
      </c>
      <c r="C407" s="61">
        <v>45827.0</v>
      </c>
      <c r="D407" s="61">
        <v>45827.0</v>
      </c>
      <c r="E407" s="60" t="s">
        <v>452</v>
      </c>
      <c r="F407" s="121" t="s">
        <v>1358</v>
      </c>
      <c r="G407" s="63"/>
      <c r="H407" s="64" t="s">
        <v>521</v>
      </c>
      <c r="I407" s="64" t="s">
        <v>713</v>
      </c>
      <c r="J407" s="64" t="s">
        <v>456</v>
      </c>
      <c r="K407" s="64" t="s">
        <v>456</v>
      </c>
      <c r="L407" s="66">
        <v>22.0</v>
      </c>
      <c r="M407" s="66">
        <v>22.0</v>
      </c>
      <c r="N407" s="66" t="s">
        <v>457</v>
      </c>
      <c r="O407" s="66">
        <v>24.0</v>
      </c>
      <c r="P407" s="118" t="s">
        <v>1325</v>
      </c>
      <c r="Q407" s="64" t="s">
        <v>459</v>
      </c>
      <c r="R407" s="64" t="s">
        <v>459</v>
      </c>
      <c r="S407" s="118">
        <v>234.0</v>
      </c>
      <c r="T407" s="64">
        <v>2574.0</v>
      </c>
      <c r="U407" s="118">
        <v>234.0</v>
      </c>
      <c r="V407" s="64">
        <v>2574.0</v>
      </c>
      <c r="W407" s="64">
        <v>2574.0</v>
      </c>
      <c r="X407" s="65" t="s">
        <v>460</v>
      </c>
      <c r="Y407" s="64" t="s">
        <v>461</v>
      </c>
      <c r="Z407" s="64" t="s">
        <v>462</v>
      </c>
      <c r="AA407" s="64" t="s">
        <v>463</v>
      </c>
      <c r="AB407" s="64" t="s">
        <v>464</v>
      </c>
      <c r="AC407" s="60" t="s">
        <v>451</v>
      </c>
      <c r="AD407" s="66" t="s">
        <v>524</v>
      </c>
      <c r="AE407" s="64" t="s">
        <v>483</v>
      </c>
      <c r="AF407" s="64" t="s">
        <v>483</v>
      </c>
      <c r="AG407" s="64" t="s">
        <v>467</v>
      </c>
      <c r="AH407" s="64" t="s">
        <v>467</v>
      </c>
      <c r="AI407" s="66">
        <v>600.0</v>
      </c>
      <c r="AJ407" s="66">
        <v>21.5</v>
      </c>
      <c r="AK407" s="67">
        <v>12900.0</v>
      </c>
      <c r="AL407" s="63"/>
      <c r="AM407" s="63"/>
      <c r="AN407" s="64">
        <v>21.5</v>
      </c>
      <c r="AO407" s="64" t="s">
        <v>468</v>
      </c>
      <c r="AP407" s="63"/>
      <c r="AQ407" s="63"/>
      <c r="AR407" s="63"/>
      <c r="AS407" s="63"/>
      <c r="AT407" s="63"/>
      <c r="AU407" s="63"/>
      <c r="AV407" s="68"/>
      <c r="AW407" s="58" t="s">
        <v>512</v>
      </c>
      <c r="AX407" s="69">
        <v>12900.0</v>
      </c>
      <c r="AY407" s="70"/>
      <c r="AZ407" s="70"/>
      <c r="BA407" s="70"/>
      <c r="BB407" s="70"/>
      <c r="BC407" s="58" t="s">
        <v>469</v>
      </c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</row>
    <row r="408">
      <c r="A408" s="59">
        <v>45827.0</v>
      </c>
      <c r="B408" s="64" t="s">
        <v>451</v>
      </c>
      <c r="C408" s="61">
        <v>45827.0</v>
      </c>
      <c r="D408" s="61">
        <v>45827.0</v>
      </c>
      <c r="E408" s="60" t="s">
        <v>452</v>
      </c>
      <c r="F408" s="108" t="s">
        <v>1359</v>
      </c>
      <c r="G408" s="63"/>
      <c r="H408" s="64" t="s">
        <v>492</v>
      </c>
      <c r="I408" s="64" t="s">
        <v>527</v>
      </c>
      <c r="J408" s="64" t="s">
        <v>456</v>
      </c>
      <c r="K408" s="64" t="s">
        <v>456</v>
      </c>
      <c r="L408" s="66">
        <v>22.0</v>
      </c>
      <c r="M408" s="66">
        <v>22.0</v>
      </c>
      <c r="N408" s="66" t="s">
        <v>457</v>
      </c>
      <c r="O408" s="66">
        <v>24.0</v>
      </c>
      <c r="P408" s="117" t="s">
        <v>1327</v>
      </c>
      <c r="Q408" s="66" t="s">
        <v>459</v>
      </c>
      <c r="R408" s="66" t="s">
        <v>459</v>
      </c>
      <c r="S408" s="117">
        <v>216.0</v>
      </c>
      <c r="T408" s="64">
        <v>2376.0</v>
      </c>
      <c r="U408" s="117">
        <v>216.0</v>
      </c>
      <c r="V408" s="64">
        <v>2376.0</v>
      </c>
      <c r="W408" s="64">
        <v>2376.0</v>
      </c>
      <c r="X408" s="65" t="s">
        <v>460</v>
      </c>
      <c r="Y408" s="64" t="s">
        <v>461</v>
      </c>
      <c r="Z408" s="64" t="s">
        <v>462</v>
      </c>
      <c r="AA408" s="64" t="s">
        <v>463</v>
      </c>
      <c r="AB408" s="64" t="s">
        <v>464</v>
      </c>
      <c r="AC408" s="60" t="s">
        <v>451</v>
      </c>
      <c r="AD408" s="60" t="s">
        <v>529</v>
      </c>
      <c r="AE408" s="64" t="s">
        <v>535</v>
      </c>
      <c r="AF408" s="64" t="s">
        <v>535</v>
      </c>
      <c r="AG408" s="64" t="s">
        <v>467</v>
      </c>
      <c r="AH408" s="64" t="s">
        <v>467</v>
      </c>
      <c r="AI408" s="66">
        <v>510.0</v>
      </c>
      <c r="AJ408" s="66">
        <v>21.5</v>
      </c>
      <c r="AK408" s="67">
        <v>10965.0</v>
      </c>
      <c r="AL408" s="63"/>
      <c r="AM408" s="63"/>
      <c r="AN408" s="64">
        <v>21.5</v>
      </c>
      <c r="AO408" s="64" t="s">
        <v>468</v>
      </c>
      <c r="AP408" s="63"/>
      <c r="AQ408" s="63"/>
      <c r="AR408" s="63"/>
      <c r="AS408" s="63"/>
      <c r="AT408" s="63"/>
      <c r="AU408" s="63"/>
      <c r="AV408" s="68"/>
      <c r="AW408" s="58" t="s">
        <v>512</v>
      </c>
      <c r="AX408" s="69">
        <v>10965.0</v>
      </c>
      <c r="AY408" s="70"/>
      <c r="AZ408" s="70"/>
      <c r="BA408" s="70"/>
      <c r="BB408" s="70"/>
      <c r="BC408" s="58" t="s">
        <v>469</v>
      </c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8"/>
      <c r="BP408" s="58"/>
      <c r="BQ408" s="58"/>
      <c r="BR408" s="58"/>
    </row>
    <row r="409">
      <c r="A409" s="59">
        <v>45827.0</v>
      </c>
      <c r="B409" s="64" t="s">
        <v>451</v>
      </c>
      <c r="C409" s="61">
        <v>45827.0</v>
      </c>
      <c r="D409" s="61">
        <v>45827.0</v>
      </c>
      <c r="E409" s="60" t="s">
        <v>452</v>
      </c>
      <c r="F409" s="108" t="s">
        <v>1360</v>
      </c>
      <c r="G409" s="63"/>
      <c r="H409" s="64" t="s">
        <v>538</v>
      </c>
      <c r="I409" s="64" t="s">
        <v>539</v>
      </c>
      <c r="J409" s="64" t="s">
        <v>456</v>
      </c>
      <c r="K409" s="64" t="s">
        <v>456</v>
      </c>
      <c r="L409" s="64">
        <v>32.0</v>
      </c>
      <c r="M409" s="64">
        <v>32.0</v>
      </c>
      <c r="N409" s="64" t="s">
        <v>540</v>
      </c>
      <c r="O409" s="64">
        <v>24.0</v>
      </c>
      <c r="P409" s="122">
        <v>2.46E8</v>
      </c>
      <c r="Q409" s="66" t="s">
        <v>459</v>
      </c>
      <c r="R409" s="66" t="s">
        <v>459</v>
      </c>
      <c r="S409" s="117">
        <v>165.0</v>
      </c>
      <c r="T409" s="64">
        <v>1815.0</v>
      </c>
      <c r="U409" s="117">
        <v>165.0</v>
      </c>
      <c r="V409" s="64">
        <v>1815.0</v>
      </c>
      <c r="W409" s="64">
        <v>1815.0</v>
      </c>
      <c r="X409" s="65" t="s">
        <v>460</v>
      </c>
      <c r="Y409" s="64" t="s">
        <v>461</v>
      </c>
      <c r="Z409" s="64" t="s">
        <v>462</v>
      </c>
      <c r="AA409" s="64" t="s">
        <v>463</v>
      </c>
      <c r="AB409" s="64" t="s">
        <v>464</v>
      </c>
      <c r="AC409" s="60" t="s">
        <v>451</v>
      </c>
      <c r="AD409" s="64" t="s">
        <v>541</v>
      </c>
      <c r="AE409" s="64" t="s">
        <v>490</v>
      </c>
      <c r="AF409" s="64" t="s">
        <v>490</v>
      </c>
      <c r="AG409" s="64" t="s">
        <v>467</v>
      </c>
      <c r="AH409" s="64" t="s">
        <v>467</v>
      </c>
      <c r="AI409" s="66">
        <v>325.0</v>
      </c>
      <c r="AJ409" s="66">
        <v>28.4</v>
      </c>
      <c r="AK409" s="67">
        <v>9213.75</v>
      </c>
      <c r="AL409" s="63"/>
      <c r="AM409" s="63"/>
      <c r="AN409" s="64">
        <v>28.35</v>
      </c>
      <c r="AO409" s="64" t="s">
        <v>468</v>
      </c>
      <c r="AP409" s="63"/>
      <c r="AQ409" s="63"/>
      <c r="AR409" s="63"/>
      <c r="AS409" s="63"/>
      <c r="AT409" s="63"/>
      <c r="AU409" s="63"/>
      <c r="AV409" s="68"/>
      <c r="AW409" s="58" t="s">
        <v>512</v>
      </c>
      <c r="AX409" s="69">
        <v>9213.75</v>
      </c>
      <c r="AY409" s="70"/>
      <c r="AZ409" s="70"/>
      <c r="BA409" s="70"/>
      <c r="BB409" s="70"/>
      <c r="BC409" s="58" t="s">
        <v>469</v>
      </c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8"/>
      <c r="BR409" s="58"/>
    </row>
    <row r="410">
      <c r="A410" s="115">
        <v>45827.0</v>
      </c>
      <c r="B410" s="66" t="s">
        <v>451</v>
      </c>
      <c r="C410" s="61">
        <v>45827.0</v>
      </c>
      <c r="D410" s="61">
        <v>45827.0</v>
      </c>
      <c r="E410" s="60" t="s">
        <v>452</v>
      </c>
      <c r="F410" s="104" t="s">
        <v>1361</v>
      </c>
      <c r="G410" s="63"/>
      <c r="H410" s="64" t="s">
        <v>1218</v>
      </c>
      <c r="I410" s="64" t="s">
        <v>1362</v>
      </c>
      <c r="J410" s="64" t="s">
        <v>456</v>
      </c>
      <c r="K410" s="64" t="s">
        <v>456</v>
      </c>
      <c r="L410" s="66">
        <v>22.0</v>
      </c>
      <c r="M410" s="66">
        <v>22.0</v>
      </c>
      <c r="N410" s="66" t="s">
        <v>457</v>
      </c>
      <c r="O410" s="66">
        <v>24.0</v>
      </c>
      <c r="P410" s="118" t="s">
        <v>1363</v>
      </c>
      <c r="Q410" s="64" t="s">
        <v>459</v>
      </c>
      <c r="R410" s="64" t="s">
        <v>459</v>
      </c>
      <c r="S410" s="118">
        <v>163.0</v>
      </c>
      <c r="T410" s="64">
        <v>1793.0</v>
      </c>
      <c r="U410" s="118">
        <v>163.0</v>
      </c>
      <c r="V410" s="64">
        <v>1793.0</v>
      </c>
      <c r="W410" s="64">
        <v>1793.0</v>
      </c>
      <c r="X410" s="65" t="s">
        <v>460</v>
      </c>
      <c r="Y410" s="64" t="s">
        <v>461</v>
      </c>
      <c r="Z410" s="64" t="s">
        <v>462</v>
      </c>
      <c r="AA410" s="64" t="s">
        <v>463</v>
      </c>
      <c r="AB410" s="64" t="s">
        <v>464</v>
      </c>
      <c r="AC410" s="60" t="s">
        <v>451</v>
      </c>
      <c r="AD410" s="60" t="s">
        <v>544</v>
      </c>
      <c r="AE410" s="64" t="s">
        <v>573</v>
      </c>
      <c r="AF410" s="64" t="s">
        <v>573</v>
      </c>
      <c r="AG410" s="64" t="s">
        <v>467</v>
      </c>
      <c r="AH410" s="64" t="s">
        <v>467</v>
      </c>
      <c r="AI410" s="64">
        <v>440.0</v>
      </c>
      <c r="AJ410" s="64">
        <v>21.5</v>
      </c>
      <c r="AK410" s="67">
        <v>9460.0</v>
      </c>
      <c r="AL410" s="63"/>
      <c r="AM410" s="63"/>
      <c r="AN410" s="64">
        <v>21.5</v>
      </c>
      <c r="AO410" s="60" t="s">
        <v>468</v>
      </c>
      <c r="AP410" s="63"/>
      <c r="AQ410" s="63"/>
      <c r="AR410" s="63"/>
      <c r="AS410" s="63"/>
      <c r="AT410" s="63"/>
      <c r="AU410" s="63"/>
      <c r="AV410" s="63"/>
      <c r="AW410" s="58" t="s">
        <v>443</v>
      </c>
      <c r="AX410" s="85">
        <v>9460.0</v>
      </c>
      <c r="AY410" s="70"/>
      <c r="AZ410" s="70"/>
      <c r="BA410" s="70"/>
      <c r="BB410" s="70"/>
      <c r="BC410" s="58" t="s">
        <v>469</v>
      </c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</row>
    <row r="411">
      <c r="A411" s="59">
        <v>45827.0</v>
      </c>
      <c r="B411" s="64" t="s">
        <v>451</v>
      </c>
      <c r="C411" s="61">
        <v>45827.0</v>
      </c>
      <c r="D411" s="61">
        <v>45827.0</v>
      </c>
      <c r="E411" s="60" t="s">
        <v>452</v>
      </c>
      <c r="F411" s="108" t="s">
        <v>1364</v>
      </c>
      <c r="G411" s="63"/>
      <c r="H411" s="64" t="s">
        <v>454</v>
      </c>
      <c r="I411" s="64" t="s">
        <v>1265</v>
      </c>
      <c r="J411" s="64" t="s">
        <v>486</v>
      </c>
      <c r="K411" s="64" t="s">
        <v>486</v>
      </c>
      <c r="L411" s="66">
        <v>22.0</v>
      </c>
      <c r="M411" s="66">
        <v>22.0</v>
      </c>
      <c r="N411" s="66" t="s">
        <v>457</v>
      </c>
      <c r="O411" s="66">
        <v>24.0</v>
      </c>
      <c r="P411" s="117" t="s">
        <v>1331</v>
      </c>
      <c r="Q411" s="66" t="s">
        <v>459</v>
      </c>
      <c r="R411" s="66" t="s">
        <v>459</v>
      </c>
      <c r="S411" s="117">
        <v>152.0</v>
      </c>
      <c r="T411" s="64">
        <v>1672.0</v>
      </c>
      <c r="U411" s="117">
        <v>152.0</v>
      </c>
      <c r="V411" s="64">
        <v>1672.0</v>
      </c>
      <c r="W411" s="64">
        <v>1672.0</v>
      </c>
      <c r="X411" s="65" t="s">
        <v>460</v>
      </c>
      <c r="Y411" s="64" t="s">
        <v>461</v>
      </c>
      <c r="Z411" s="64" t="s">
        <v>462</v>
      </c>
      <c r="AA411" s="64" t="s">
        <v>463</v>
      </c>
      <c r="AB411" s="64" t="s">
        <v>464</v>
      </c>
      <c r="AC411" s="60" t="s">
        <v>451</v>
      </c>
      <c r="AD411" s="60" t="s">
        <v>765</v>
      </c>
      <c r="AE411" s="64" t="s">
        <v>663</v>
      </c>
      <c r="AF411" s="64" t="s">
        <v>663</v>
      </c>
      <c r="AG411" s="64" t="s">
        <v>467</v>
      </c>
      <c r="AH411" s="64" t="s">
        <v>467</v>
      </c>
      <c r="AI411" s="64">
        <v>330.0</v>
      </c>
      <c r="AJ411" s="64">
        <v>23.5</v>
      </c>
      <c r="AK411" s="67">
        <v>7755.0</v>
      </c>
      <c r="AL411" s="63"/>
      <c r="AM411" s="63"/>
      <c r="AN411" s="64">
        <v>23.5</v>
      </c>
      <c r="AO411" s="64" t="s">
        <v>468</v>
      </c>
      <c r="AP411" s="63"/>
      <c r="AQ411" s="63"/>
      <c r="AR411" s="63"/>
      <c r="AS411" s="63"/>
      <c r="AT411" s="63"/>
      <c r="AU411" s="63"/>
      <c r="AV411" s="63"/>
      <c r="AW411" s="58" t="s">
        <v>512</v>
      </c>
      <c r="AX411" s="69">
        <v>7755.0</v>
      </c>
      <c r="AY411" s="70"/>
      <c r="AZ411" s="70"/>
      <c r="BA411" s="70"/>
      <c r="BB411" s="70"/>
      <c r="BC411" s="58" t="s">
        <v>469</v>
      </c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  <c r="BQ411" s="58"/>
      <c r="BR411" s="58"/>
    </row>
    <row r="412">
      <c r="A412" s="115">
        <v>45827.0</v>
      </c>
      <c r="B412" s="66" t="s">
        <v>451</v>
      </c>
      <c r="C412" s="61">
        <v>45827.0</v>
      </c>
      <c r="D412" s="61">
        <v>45827.0</v>
      </c>
      <c r="E412" s="60" t="s">
        <v>452</v>
      </c>
      <c r="F412" s="104" t="s">
        <v>1365</v>
      </c>
      <c r="G412" s="63"/>
      <c r="H412" s="64" t="s">
        <v>521</v>
      </c>
      <c r="I412" s="64" t="s">
        <v>619</v>
      </c>
      <c r="J412" s="64" t="s">
        <v>486</v>
      </c>
      <c r="K412" s="64" t="s">
        <v>486</v>
      </c>
      <c r="L412" s="66">
        <v>22.0</v>
      </c>
      <c r="M412" s="66">
        <v>22.0</v>
      </c>
      <c r="N412" s="66" t="s">
        <v>457</v>
      </c>
      <c r="O412" s="66">
        <v>24.0</v>
      </c>
      <c r="P412" s="117" t="s">
        <v>1333</v>
      </c>
      <c r="Q412" s="66" t="s">
        <v>459</v>
      </c>
      <c r="R412" s="66" t="s">
        <v>459</v>
      </c>
      <c r="S412" s="117">
        <v>290.0</v>
      </c>
      <c r="T412" s="64">
        <v>3190.0</v>
      </c>
      <c r="U412" s="117">
        <v>290.0</v>
      </c>
      <c r="V412" s="64">
        <v>3190.0</v>
      </c>
      <c r="W412" s="64">
        <v>3190.0</v>
      </c>
      <c r="X412" s="76" t="s">
        <v>460</v>
      </c>
      <c r="Y412" s="64" t="s">
        <v>461</v>
      </c>
      <c r="Z412" s="64" t="s">
        <v>462</v>
      </c>
      <c r="AA412" s="64" t="s">
        <v>463</v>
      </c>
      <c r="AB412" s="64" t="s">
        <v>464</v>
      </c>
      <c r="AC412" s="60" t="s">
        <v>451</v>
      </c>
      <c r="AD412" s="66" t="s">
        <v>678</v>
      </c>
      <c r="AE412" s="64" t="s">
        <v>639</v>
      </c>
      <c r="AF412" s="64" t="s">
        <v>639</v>
      </c>
      <c r="AG412" s="64" t="s">
        <v>467</v>
      </c>
      <c r="AH412" s="64" t="s">
        <v>467</v>
      </c>
      <c r="AI412" s="64">
        <v>805.0</v>
      </c>
      <c r="AJ412" s="64">
        <v>23.5</v>
      </c>
      <c r="AK412" s="67">
        <v>18917.5</v>
      </c>
      <c r="AL412" s="63"/>
      <c r="AM412" s="63"/>
      <c r="AN412" s="64">
        <v>23.5</v>
      </c>
      <c r="AO412" s="64" t="s">
        <v>468</v>
      </c>
      <c r="AP412" s="63"/>
      <c r="AQ412" s="63"/>
      <c r="AR412" s="63"/>
      <c r="AS412" s="63"/>
      <c r="AT412" s="63"/>
      <c r="AU412" s="63"/>
      <c r="AV412" s="68"/>
      <c r="AW412" s="58" t="s">
        <v>512</v>
      </c>
      <c r="AX412" s="69">
        <v>18917.5</v>
      </c>
      <c r="AY412" s="70"/>
      <c r="AZ412" s="70"/>
      <c r="BA412" s="70"/>
      <c r="BB412" s="70"/>
      <c r="BC412" s="58" t="s">
        <v>469</v>
      </c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8"/>
      <c r="BR412" s="58"/>
    </row>
    <row r="413">
      <c r="A413" s="61">
        <v>45827.0</v>
      </c>
      <c r="B413" s="64" t="s">
        <v>451</v>
      </c>
      <c r="C413" s="61">
        <v>45827.0</v>
      </c>
      <c r="D413" s="61">
        <v>45827.0</v>
      </c>
      <c r="E413" s="60" t="s">
        <v>452</v>
      </c>
      <c r="F413" s="108" t="s">
        <v>1366</v>
      </c>
      <c r="G413" s="63"/>
      <c r="H413" s="64" t="s">
        <v>521</v>
      </c>
      <c r="I413" s="64" t="s">
        <v>769</v>
      </c>
      <c r="J413" s="64" t="s">
        <v>456</v>
      </c>
      <c r="K413" s="64" t="s">
        <v>456</v>
      </c>
      <c r="L413" s="66">
        <v>22.0</v>
      </c>
      <c r="M413" s="66">
        <v>22.0</v>
      </c>
      <c r="N413" s="66" t="s">
        <v>457</v>
      </c>
      <c r="O413" s="66">
        <v>24.0</v>
      </c>
      <c r="P413" s="118" t="s">
        <v>1335</v>
      </c>
      <c r="Q413" s="64" t="s">
        <v>459</v>
      </c>
      <c r="R413" s="64" t="s">
        <v>459</v>
      </c>
      <c r="S413" s="118">
        <v>113.0</v>
      </c>
      <c r="T413" s="64">
        <v>1243.0</v>
      </c>
      <c r="U413" s="118">
        <v>113.0</v>
      </c>
      <c r="V413" s="64">
        <v>1243.0</v>
      </c>
      <c r="W413" s="64">
        <v>1243.0</v>
      </c>
      <c r="X413" s="76" t="s">
        <v>460</v>
      </c>
      <c r="Y413" s="64" t="s">
        <v>461</v>
      </c>
      <c r="Z413" s="64" t="s">
        <v>462</v>
      </c>
      <c r="AA413" s="64" t="s">
        <v>463</v>
      </c>
      <c r="AB413" s="64" t="s">
        <v>464</v>
      </c>
      <c r="AC413" s="60" t="s">
        <v>451</v>
      </c>
      <c r="AD413" s="66" t="s">
        <v>557</v>
      </c>
      <c r="AE413" s="64" t="s">
        <v>525</v>
      </c>
      <c r="AF413" s="64" t="s">
        <v>525</v>
      </c>
      <c r="AG413" s="64" t="s">
        <v>467</v>
      </c>
      <c r="AH413" s="64" t="s">
        <v>467</v>
      </c>
      <c r="AI413" s="66">
        <v>800.0</v>
      </c>
      <c r="AJ413" s="64">
        <v>21.5</v>
      </c>
      <c r="AK413" s="67">
        <v>17200.0</v>
      </c>
      <c r="AL413" s="63"/>
      <c r="AM413" s="63"/>
      <c r="AN413" s="64">
        <v>21.5</v>
      </c>
      <c r="AO413" s="64" t="s">
        <v>468</v>
      </c>
      <c r="AP413" s="63"/>
      <c r="AQ413" s="63"/>
      <c r="AR413" s="63"/>
      <c r="AS413" s="63"/>
      <c r="AT413" s="63"/>
      <c r="AU413" s="63"/>
      <c r="AV413" s="68"/>
      <c r="AW413" s="58" t="s">
        <v>512</v>
      </c>
      <c r="AX413" s="69">
        <v>17200.0</v>
      </c>
      <c r="AY413" s="70"/>
      <c r="AZ413" s="70"/>
      <c r="BA413" s="70"/>
      <c r="BB413" s="70"/>
      <c r="BC413" s="58" t="s">
        <v>469</v>
      </c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8"/>
      <c r="BR413" s="58"/>
    </row>
    <row r="414">
      <c r="A414" s="115">
        <v>45827.0</v>
      </c>
      <c r="B414" s="66" t="s">
        <v>451</v>
      </c>
      <c r="C414" s="61">
        <v>45827.0</v>
      </c>
      <c r="D414" s="61">
        <v>45827.0</v>
      </c>
      <c r="E414" s="60" t="s">
        <v>452</v>
      </c>
      <c r="F414" s="116" t="s">
        <v>1367</v>
      </c>
      <c r="G414" s="63"/>
      <c r="H414" s="64" t="s">
        <v>771</v>
      </c>
      <c r="I414" s="64" t="s">
        <v>772</v>
      </c>
      <c r="J414" s="64" t="s">
        <v>456</v>
      </c>
      <c r="K414" s="64" t="s">
        <v>456</v>
      </c>
      <c r="L414" s="66">
        <v>22.0</v>
      </c>
      <c r="M414" s="66">
        <v>22.0</v>
      </c>
      <c r="N414" s="66" t="s">
        <v>457</v>
      </c>
      <c r="O414" s="66">
        <v>24.0</v>
      </c>
      <c r="P414" s="118" t="s">
        <v>1337</v>
      </c>
      <c r="Q414" s="64" t="s">
        <v>459</v>
      </c>
      <c r="R414" s="64" t="s">
        <v>459</v>
      </c>
      <c r="S414" s="118">
        <v>235.0</v>
      </c>
      <c r="T414" s="64">
        <v>2585.0</v>
      </c>
      <c r="U414" s="118">
        <v>235.0</v>
      </c>
      <c r="V414" s="64">
        <v>2585.0</v>
      </c>
      <c r="W414" s="64">
        <v>2585.0</v>
      </c>
      <c r="X414" s="65" t="s">
        <v>460</v>
      </c>
      <c r="Y414" s="64" t="s">
        <v>461</v>
      </c>
      <c r="Z414" s="64" t="s">
        <v>462</v>
      </c>
      <c r="AA414" s="64" t="s">
        <v>463</v>
      </c>
      <c r="AB414" s="64" t="s">
        <v>464</v>
      </c>
      <c r="AC414" s="60" t="s">
        <v>451</v>
      </c>
      <c r="AD414" s="60" t="s">
        <v>561</v>
      </c>
      <c r="AE414" s="64" t="s">
        <v>562</v>
      </c>
      <c r="AF414" s="64" t="s">
        <v>562</v>
      </c>
      <c r="AG414" s="64" t="s">
        <v>467</v>
      </c>
      <c r="AH414" s="64" t="s">
        <v>467</v>
      </c>
      <c r="AI414" s="60">
        <v>325.0</v>
      </c>
      <c r="AJ414" s="64">
        <v>21.5</v>
      </c>
      <c r="AK414" s="67">
        <v>6987.5</v>
      </c>
      <c r="AL414" s="63"/>
      <c r="AM414" s="63"/>
      <c r="AN414" s="64">
        <v>21.5</v>
      </c>
      <c r="AO414" s="64" t="s">
        <v>468</v>
      </c>
      <c r="AP414" s="63"/>
      <c r="AQ414" s="63"/>
      <c r="AR414" s="63"/>
      <c r="AS414" s="63"/>
      <c r="AT414" s="63"/>
      <c r="AU414" s="63"/>
      <c r="AV414" s="63"/>
      <c r="AW414" s="58" t="s">
        <v>512</v>
      </c>
      <c r="AX414" s="69">
        <v>6987.5</v>
      </c>
      <c r="AY414" s="70"/>
      <c r="AZ414" s="70"/>
      <c r="BA414" s="70"/>
      <c r="BB414" s="70"/>
      <c r="BC414" s="58" t="s">
        <v>469</v>
      </c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8"/>
      <c r="BR414" s="58"/>
    </row>
    <row r="415">
      <c r="A415" s="59">
        <v>45827.0</v>
      </c>
      <c r="B415" s="64" t="s">
        <v>451</v>
      </c>
      <c r="C415" s="61">
        <v>45827.0</v>
      </c>
      <c r="D415" s="61">
        <v>45827.0</v>
      </c>
      <c r="E415" s="60" t="s">
        <v>452</v>
      </c>
      <c r="F415" s="103" t="s">
        <v>1368</v>
      </c>
      <c r="G415" s="63"/>
      <c r="H415" s="64" t="s">
        <v>771</v>
      </c>
      <c r="I415" s="64" t="s">
        <v>775</v>
      </c>
      <c r="J415" s="64" t="s">
        <v>456</v>
      </c>
      <c r="K415" s="64" t="s">
        <v>456</v>
      </c>
      <c r="L415" s="66">
        <v>22.0</v>
      </c>
      <c r="M415" s="66">
        <v>22.0</v>
      </c>
      <c r="N415" s="66" t="s">
        <v>457</v>
      </c>
      <c r="O415" s="66">
        <v>24.0</v>
      </c>
      <c r="P415" s="117" t="s">
        <v>1339</v>
      </c>
      <c r="Q415" s="66" t="s">
        <v>459</v>
      </c>
      <c r="R415" s="66" t="s">
        <v>459</v>
      </c>
      <c r="S415" s="117">
        <v>220.0</v>
      </c>
      <c r="T415" s="64">
        <v>2420.0</v>
      </c>
      <c r="U415" s="117">
        <v>220.0</v>
      </c>
      <c r="V415" s="64">
        <v>2420.0</v>
      </c>
      <c r="W415" s="64">
        <v>2420.0</v>
      </c>
      <c r="X415" s="65" t="s">
        <v>460</v>
      </c>
      <c r="Y415" s="64" t="s">
        <v>461</v>
      </c>
      <c r="Z415" s="64" t="s">
        <v>462</v>
      </c>
      <c r="AA415" s="64" t="s">
        <v>463</v>
      </c>
      <c r="AB415" s="64" t="s">
        <v>464</v>
      </c>
      <c r="AC415" s="60" t="s">
        <v>451</v>
      </c>
      <c r="AD415" s="64" t="s">
        <v>566</v>
      </c>
      <c r="AE415" s="64" t="s">
        <v>567</v>
      </c>
      <c r="AF415" s="64" t="s">
        <v>567</v>
      </c>
      <c r="AG415" s="64" t="s">
        <v>467</v>
      </c>
      <c r="AH415" s="64" t="s">
        <v>467</v>
      </c>
      <c r="AI415" s="64">
        <v>475.0</v>
      </c>
      <c r="AJ415" s="66">
        <v>21.5</v>
      </c>
      <c r="AK415" s="67">
        <v>10212.5</v>
      </c>
      <c r="AL415" s="63"/>
      <c r="AM415" s="63"/>
      <c r="AN415" s="64">
        <v>21.5</v>
      </c>
      <c r="AO415" s="64" t="s">
        <v>468</v>
      </c>
      <c r="AP415" s="63"/>
      <c r="AQ415" s="63"/>
      <c r="AR415" s="63"/>
      <c r="AS415" s="63"/>
      <c r="AT415" s="63"/>
      <c r="AU415" s="63"/>
      <c r="AV415" s="63"/>
      <c r="AW415" s="58" t="s">
        <v>512</v>
      </c>
      <c r="AX415" s="69">
        <v>10212.5</v>
      </c>
      <c r="AY415" s="70"/>
      <c r="AZ415" s="70"/>
      <c r="BA415" s="70"/>
      <c r="BB415" s="70"/>
      <c r="BC415" s="58" t="s">
        <v>469</v>
      </c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  <c r="BN415" s="58"/>
      <c r="BO415" s="58"/>
      <c r="BP415" s="58"/>
      <c r="BQ415" s="58"/>
      <c r="BR415" s="58"/>
    </row>
    <row r="416">
      <c r="A416" s="115">
        <v>45827.0</v>
      </c>
      <c r="B416" s="66" t="s">
        <v>451</v>
      </c>
      <c r="C416" s="61">
        <v>45827.0</v>
      </c>
      <c r="D416" s="61">
        <v>45827.0</v>
      </c>
      <c r="E416" s="60" t="s">
        <v>452</v>
      </c>
      <c r="F416" s="104" t="s">
        <v>1369</v>
      </c>
      <c r="G416" s="63"/>
      <c r="H416" s="64" t="s">
        <v>492</v>
      </c>
      <c r="I416" s="64" t="s">
        <v>569</v>
      </c>
      <c r="J416" s="64" t="s">
        <v>456</v>
      </c>
      <c r="K416" s="64" t="s">
        <v>456</v>
      </c>
      <c r="L416" s="66">
        <v>22.0</v>
      </c>
      <c r="M416" s="66">
        <v>22.0</v>
      </c>
      <c r="N416" s="66" t="s">
        <v>457</v>
      </c>
      <c r="O416" s="66">
        <v>24.0</v>
      </c>
      <c r="P416" s="118" t="s">
        <v>1341</v>
      </c>
      <c r="Q416" s="64" t="s">
        <v>459</v>
      </c>
      <c r="R416" s="64" t="s">
        <v>459</v>
      </c>
      <c r="S416" s="118">
        <v>315.0</v>
      </c>
      <c r="T416" s="64">
        <v>3465.0</v>
      </c>
      <c r="U416" s="118">
        <v>315.0</v>
      </c>
      <c r="V416" s="64">
        <v>3465.0</v>
      </c>
      <c r="W416" s="64">
        <v>3465.0</v>
      </c>
      <c r="X416" s="65" t="s">
        <v>460</v>
      </c>
      <c r="Y416" s="64" t="s">
        <v>461</v>
      </c>
      <c r="Z416" s="64" t="s">
        <v>462</v>
      </c>
      <c r="AA416" s="64" t="s">
        <v>463</v>
      </c>
      <c r="AB416" s="64" t="s">
        <v>464</v>
      </c>
      <c r="AC416" s="60" t="s">
        <v>451</v>
      </c>
      <c r="AD416" s="64" t="s">
        <v>571</v>
      </c>
      <c r="AE416" s="64" t="s">
        <v>572</v>
      </c>
      <c r="AF416" s="64" t="s">
        <v>572</v>
      </c>
      <c r="AG416" s="64" t="s">
        <v>467</v>
      </c>
      <c r="AH416" s="64" t="s">
        <v>467</v>
      </c>
      <c r="AI416" s="66">
        <v>655.0</v>
      </c>
      <c r="AJ416" s="66">
        <v>21.5</v>
      </c>
      <c r="AK416" s="67">
        <v>14082.5</v>
      </c>
      <c r="AL416" s="63"/>
      <c r="AM416" s="63"/>
      <c r="AN416" s="64">
        <v>21.5</v>
      </c>
      <c r="AO416" s="64" t="s">
        <v>468</v>
      </c>
      <c r="AP416" s="63"/>
      <c r="AQ416" s="63"/>
      <c r="AR416" s="63"/>
      <c r="AS416" s="63"/>
      <c r="AT416" s="63"/>
      <c r="AU416" s="63"/>
      <c r="AV416" s="68"/>
      <c r="AW416" s="58" t="s">
        <v>512</v>
      </c>
      <c r="AX416" s="69">
        <v>14082.5</v>
      </c>
      <c r="AY416" s="70"/>
      <c r="AZ416" s="70"/>
      <c r="BA416" s="70"/>
      <c r="BB416" s="70"/>
      <c r="BC416" s="58" t="s">
        <v>469</v>
      </c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8"/>
      <c r="BR416" s="58"/>
    </row>
    <row r="417">
      <c r="A417" s="59">
        <v>45827.0</v>
      </c>
      <c r="B417" s="64" t="s">
        <v>451</v>
      </c>
      <c r="C417" s="61">
        <v>45827.0</v>
      </c>
      <c r="D417" s="61">
        <v>45827.0</v>
      </c>
      <c r="E417" s="60" t="s">
        <v>452</v>
      </c>
      <c r="F417" s="108" t="s">
        <v>1370</v>
      </c>
      <c r="G417" s="63"/>
      <c r="H417" s="64" t="s">
        <v>472</v>
      </c>
      <c r="I417" s="64" t="s">
        <v>1371</v>
      </c>
      <c r="J417" s="64" t="s">
        <v>456</v>
      </c>
      <c r="K417" s="64" t="s">
        <v>456</v>
      </c>
      <c r="L417" s="66">
        <v>22.0</v>
      </c>
      <c r="M417" s="66">
        <v>22.0</v>
      </c>
      <c r="N417" s="66" t="s">
        <v>457</v>
      </c>
      <c r="O417" s="66">
        <v>24.0</v>
      </c>
      <c r="P417" s="117" t="s">
        <v>1343</v>
      </c>
      <c r="Q417" s="66" t="s">
        <v>459</v>
      </c>
      <c r="R417" s="66" t="s">
        <v>459</v>
      </c>
      <c r="S417" s="117">
        <v>213.0</v>
      </c>
      <c r="T417" s="64">
        <v>2343.0</v>
      </c>
      <c r="U417" s="117">
        <v>213.0</v>
      </c>
      <c r="V417" s="64">
        <v>2343.0</v>
      </c>
      <c r="W417" s="64">
        <v>2343.0</v>
      </c>
      <c r="X417" s="65" t="s">
        <v>460</v>
      </c>
      <c r="Y417" s="64" t="s">
        <v>461</v>
      </c>
      <c r="Z417" s="64" t="s">
        <v>462</v>
      </c>
      <c r="AA417" s="64" t="s">
        <v>463</v>
      </c>
      <c r="AB417" s="64" t="s">
        <v>464</v>
      </c>
      <c r="AC417" s="60" t="s">
        <v>451</v>
      </c>
      <c r="AD417" s="66" t="s">
        <v>577</v>
      </c>
      <c r="AE417" s="64" t="s">
        <v>578</v>
      </c>
      <c r="AF417" s="64" t="s">
        <v>578</v>
      </c>
      <c r="AG417" s="64" t="s">
        <v>467</v>
      </c>
      <c r="AH417" s="64" t="s">
        <v>467</v>
      </c>
      <c r="AI417" s="66">
        <v>396.0</v>
      </c>
      <c r="AJ417" s="64">
        <v>21.5</v>
      </c>
      <c r="AK417" s="67">
        <v>8514.0</v>
      </c>
      <c r="AL417" s="63"/>
      <c r="AM417" s="63"/>
      <c r="AN417" s="64">
        <v>21.5</v>
      </c>
      <c r="AO417" s="64" t="s">
        <v>468</v>
      </c>
      <c r="AP417" s="63"/>
      <c r="AQ417" s="63"/>
      <c r="AR417" s="63"/>
      <c r="AS417" s="63"/>
      <c r="AT417" s="63"/>
      <c r="AU417" s="63"/>
      <c r="AV417" s="63"/>
      <c r="AW417" s="58" t="s">
        <v>512</v>
      </c>
      <c r="AX417" s="69">
        <v>8514.0</v>
      </c>
      <c r="AY417" s="70"/>
      <c r="AZ417" s="70"/>
      <c r="BA417" s="70"/>
      <c r="BB417" s="70"/>
      <c r="BC417" s="58" t="s">
        <v>469</v>
      </c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8"/>
      <c r="BR417" s="58"/>
    </row>
    <row r="418">
      <c r="A418" s="115">
        <v>45827.0</v>
      </c>
      <c r="B418" s="66" t="s">
        <v>451</v>
      </c>
      <c r="C418" s="61">
        <v>45827.0</v>
      </c>
      <c r="D418" s="61">
        <v>45827.0</v>
      </c>
      <c r="E418" s="60" t="s">
        <v>452</v>
      </c>
      <c r="F418" s="116" t="s">
        <v>1372</v>
      </c>
      <c r="G418" s="63"/>
      <c r="H418" s="64" t="s">
        <v>472</v>
      </c>
      <c r="I418" s="64" t="s">
        <v>581</v>
      </c>
      <c r="J418" s="64" t="s">
        <v>456</v>
      </c>
      <c r="K418" s="64" t="s">
        <v>456</v>
      </c>
      <c r="L418" s="66">
        <v>22.0</v>
      </c>
      <c r="M418" s="66">
        <v>22.0</v>
      </c>
      <c r="N418" s="66" t="s">
        <v>457</v>
      </c>
      <c r="O418" s="66">
        <v>24.0</v>
      </c>
      <c r="P418" s="118" t="s">
        <v>1345</v>
      </c>
      <c r="Q418" s="64" t="s">
        <v>459</v>
      </c>
      <c r="R418" s="64" t="s">
        <v>459</v>
      </c>
      <c r="S418" s="118">
        <v>138.0</v>
      </c>
      <c r="T418" s="64">
        <v>1518.0</v>
      </c>
      <c r="U418" s="118">
        <v>138.0</v>
      </c>
      <c r="V418" s="64">
        <v>1518.0</v>
      </c>
      <c r="W418" s="64">
        <v>1518.0</v>
      </c>
      <c r="X418" s="65" t="s">
        <v>460</v>
      </c>
      <c r="Y418" s="64" t="s">
        <v>461</v>
      </c>
      <c r="Z418" s="64" t="s">
        <v>462</v>
      </c>
      <c r="AA418" s="64" t="s">
        <v>463</v>
      </c>
      <c r="AB418" s="64" t="s">
        <v>464</v>
      </c>
      <c r="AC418" s="60" t="s">
        <v>451</v>
      </c>
      <c r="AD418" s="60" t="s">
        <v>638</v>
      </c>
      <c r="AE418" s="64" t="s">
        <v>531</v>
      </c>
      <c r="AF418" s="64" t="s">
        <v>531</v>
      </c>
      <c r="AG418" s="64" t="s">
        <v>467</v>
      </c>
      <c r="AH418" s="64" t="s">
        <v>467</v>
      </c>
      <c r="AI418" s="66">
        <v>510.0</v>
      </c>
      <c r="AJ418" s="66">
        <v>21.5</v>
      </c>
      <c r="AK418" s="67">
        <v>10965.0</v>
      </c>
      <c r="AL418" s="63"/>
      <c r="AM418" s="63"/>
      <c r="AN418" s="64">
        <v>21.5</v>
      </c>
      <c r="AO418" s="64" t="s">
        <v>468</v>
      </c>
      <c r="AP418" s="63"/>
      <c r="AQ418" s="63"/>
      <c r="AR418" s="63"/>
      <c r="AS418" s="63"/>
      <c r="AT418" s="63"/>
      <c r="AU418" s="63"/>
      <c r="AV418" s="68"/>
      <c r="AW418" s="58" t="s">
        <v>512</v>
      </c>
      <c r="AX418" s="69">
        <v>10965.0</v>
      </c>
      <c r="AY418" s="70"/>
      <c r="AZ418" s="70"/>
      <c r="BA418" s="70"/>
      <c r="BB418" s="70"/>
      <c r="BC418" s="58" t="s">
        <v>469</v>
      </c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8"/>
      <c r="BR418" s="58"/>
    </row>
    <row r="419">
      <c r="A419" s="59">
        <v>45827.0</v>
      </c>
      <c r="B419" s="64" t="s">
        <v>451</v>
      </c>
      <c r="C419" s="61">
        <v>45827.0</v>
      </c>
      <c r="D419" s="61">
        <v>45827.0</v>
      </c>
      <c r="E419" s="60" t="s">
        <v>452</v>
      </c>
      <c r="F419" s="116" t="s">
        <v>1373</v>
      </c>
      <c r="G419" s="63"/>
      <c r="H419" s="64" t="s">
        <v>472</v>
      </c>
      <c r="I419" s="64" t="s">
        <v>891</v>
      </c>
      <c r="J419" s="64" t="s">
        <v>456</v>
      </c>
      <c r="K419" s="64" t="s">
        <v>456</v>
      </c>
      <c r="L419" s="66">
        <v>22.0</v>
      </c>
      <c r="M419" s="66">
        <v>22.0</v>
      </c>
      <c r="N419" s="66" t="s">
        <v>457</v>
      </c>
      <c r="O419" s="66">
        <v>24.0</v>
      </c>
      <c r="P419" s="122">
        <v>2.46E8</v>
      </c>
      <c r="Q419" s="66" t="s">
        <v>459</v>
      </c>
      <c r="R419" s="66" t="s">
        <v>459</v>
      </c>
      <c r="S419" s="117">
        <v>73.0</v>
      </c>
      <c r="T419" s="64">
        <v>803.0</v>
      </c>
      <c r="U419" s="117">
        <v>73.0</v>
      </c>
      <c r="V419" s="64">
        <v>803.0</v>
      </c>
      <c r="W419" s="64">
        <v>803.0</v>
      </c>
      <c r="X419" s="65" t="s">
        <v>460</v>
      </c>
      <c r="Y419" s="64" t="s">
        <v>461</v>
      </c>
      <c r="Z419" s="64" t="s">
        <v>462</v>
      </c>
      <c r="AA419" s="64" t="s">
        <v>463</v>
      </c>
      <c r="AB419" s="64" t="s">
        <v>464</v>
      </c>
      <c r="AC419" s="60" t="s">
        <v>451</v>
      </c>
      <c r="AD419" s="64" t="s">
        <v>634</v>
      </c>
      <c r="AE419" s="64" t="s">
        <v>617</v>
      </c>
      <c r="AF419" s="64" t="s">
        <v>617</v>
      </c>
      <c r="AG419" s="64" t="s">
        <v>467</v>
      </c>
      <c r="AH419" s="64" t="s">
        <v>467</v>
      </c>
      <c r="AI419" s="64">
        <v>330.0</v>
      </c>
      <c r="AJ419" s="64">
        <v>21.5</v>
      </c>
      <c r="AK419" s="67">
        <v>7095.0</v>
      </c>
      <c r="AL419" s="63"/>
      <c r="AM419" s="63"/>
      <c r="AN419" s="64">
        <v>21.5</v>
      </c>
      <c r="AO419" s="64" t="s">
        <v>468</v>
      </c>
      <c r="AP419" s="63"/>
      <c r="AQ419" s="63"/>
      <c r="AR419" s="63"/>
      <c r="AS419" s="63"/>
      <c r="AT419" s="63"/>
      <c r="AU419" s="63"/>
      <c r="AV419" s="63"/>
      <c r="AW419" s="58" t="s">
        <v>512</v>
      </c>
      <c r="AX419" s="69">
        <v>7095.0</v>
      </c>
      <c r="AY419" s="70"/>
      <c r="AZ419" s="70"/>
      <c r="BA419" s="70"/>
      <c r="BB419" s="70"/>
      <c r="BC419" s="58" t="s">
        <v>469</v>
      </c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  <c r="BN419" s="58"/>
      <c r="BO419" s="58"/>
      <c r="BP419" s="58"/>
      <c r="BQ419" s="58"/>
      <c r="BR419" s="58"/>
    </row>
    <row r="420">
      <c r="A420" s="115">
        <v>45828.0</v>
      </c>
      <c r="B420" s="66" t="s">
        <v>451</v>
      </c>
      <c r="C420" s="61">
        <v>45828.0</v>
      </c>
      <c r="D420" s="61">
        <v>45828.0</v>
      </c>
      <c r="E420" s="60" t="s">
        <v>452</v>
      </c>
      <c r="F420" s="103" t="s">
        <v>1374</v>
      </c>
      <c r="G420" s="63"/>
      <c r="H420" s="64" t="s">
        <v>454</v>
      </c>
      <c r="I420" s="64" t="s">
        <v>706</v>
      </c>
      <c r="J420" s="64" t="s">
        <v>456</v>
      </c>
      <c r="K420" s="64" t="s">
        <v>456</v>
      </c>
      <c r="L420" s="66">
        <v>22.0</v>
      </c>
      <c r="M420" s="66">
        <v>22.0</v>
      </c>
      <c r="N420" s="66" t="s">
        <v>457</v>
      </c>
      <c r="O420" s="66">
        <v>24.0</v>
      </c>
      <c r="P420" s="64" t="s">
        <v>1375</v>
      </c>
      <c r="Q420" s="64" t="s">
        <v>459</v>
      </c>
      <c r="R420" s="64" t="s">
        <v>459</v>
      </c>
      <c r="S420" s="66">
        <v>321.0</v>
      </c>
      <c r="T420" s="64">
        <v>3531.0</v>
      </c>
      <c r="U420" s="66">
        <v>321.0</v>
      </c>
      <c r="V420" s="64">
        <v>3531.0</v>
      </c>
      <c r="W420" s="64">
        <v>3531.0</v>
      </c>
      <c r="X420" s="65" t="s">
        <v>460</v>
      </c>
      <c r="Y420" s="64" t="s">
        <v>461</v>
      </c>
      <c r="Z420" s="64" t="s">
        <v>462</v>
      </c>
      <c r="AA420" s="64" t="s">
        <v>463</v>
      </c>
      <c r="AB420" s="64" t="s">
        <v>464</v>
      </c>
      <c r="AC420" s="60" t="s">
        <v>451</v>
      </c>
      <c r="AD420" s="66" t="s">
        <v>465</v>
      </c>
      <c r="AE420" s="66" t="s">
        <v>579</v>
      </c>
      <c r="AF420" s="66" t="s">
        <v>579</v>
      </c>
      <c r="AG420" s="64" t="s">
        <v>467</v>
      </c>
      <c r="AH420" s="64" t="s">
        <v>467</v>
      </c>
      <c r="AI420" s="66">
        <v>735.0</v>
      </c>
      <c r="AJ420" s="66">
        <v>21.5</v>
      </c>
      <c r="AK420" s="67">
        <v>15802.5</v>
      </c>
      <c r="AL420" s="63"/>
      <c r="AM420" s="63"/>
      <c r="AN420" s="64">
        <v>21.5</v>
      </c>
      <c r="AO420" s="60" t="s">
        <v>468</v>
      </c>
      <c r="AP420" s="63"/>
      <c r="AQ420" s="63"/>
      <c r="AR420" s="63"/>
      <c r="AS420" s="63"/>
      <c r="AT420" s="63"/>
      <c r="AU420" s="63"/>
      <c r="AV420" s="68"/>
      <c r="AW420" s="58" t="s">
        <v>512</v>
      </c>
      <c r="AX420" s="69">
        <v>15802.5</v>
      </c>
      <c r="AY420" s="70"/>
      <c r="AZ420" s="70"/>
      <c r="BA420" s="70"/>
      <c r="BB420" s="70"/>
      <c r="BC420" s="58" t="s">
        <v>469</v>
      </c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8"/>
      <c r="BR420" s="58"/>
    </row>
    <row r="421">
      <c r="A421" s="115">
        <v>45828.0</v>
      </c>
      <c r="B421" s="66" t="s">
        <v>451</v>
      </c>
      <c r="C421" s="61">
        <v>45828.0</v>
      </c>
      <c r="D421" s="61">
        <v>45828.0</v>
      </c>
      <c r="E421" s="60" t="s">
        <v>452</v>
      </c>
      <c r="F421" s="103" t="s">
        <v>1376</v>
      </c>
      <c r="G421" s="63"/>
      <c r="H421" s="64" t="s">
        <v>472</v>
      </c>
      <c r="I421" s="64" t="s">
        <v>588</v>
      </c>
      <c r="J421" s="64" t="s">
        <v>456</v>
      </c>
      <c r="K421" s="64" t="s">
        <v>456</v>
      </c>
      <c r="L421" s="66">
        <v>22.0</v>
      </c>
      <c r="M421" s="66">
        <v>22.0</v>
      </c>
      <c r="N421" s="66" t="s">
        <v>457</v>
      </c>
      <c r="O421" s="66">
        <v>24.0</v>
      </c>
      <c r="P421" s="64" t="s">
        <v>1377</v>
      </c>
      <c r="Q421" s="64" t="s">
        <v>459</v>
      </c>
      <c r="R421" s="64" t="s">
        <v>459</v>
      </c>
      <c r="S421" s="66">
        <v>212.0</v>
      </c>
      <c r="T421" s="64">
        <v>2332.0</v>
      </c>
      <c r="U421" s="66">
        <v>212.0</v>
      </c>
      <c r="V421" s="64">
        <v>2332.0</v>
      </c>
      <c r="W421" s="64">
        <v>2332.0</v>
      </c>
      <c r="X421" s="65" t="s">
        <v>460</v>
      </c>
      <c r="Y421" s="64" t="s">
        <v>461</v>
      </c>
      <c r="Z421" s="64" t="s">
        <v>462</v>
      </c>
      <c r="AA421" s="64" t="s">
        <v>463</v>
      </c>
      <c r="AB421" s="64" t="s">
        <v>464</v>
      </c>
      <c r="AC421" s="60" t="s">
        <v>451</v>
      </c>
      <c r="AD421" s="66" t="s">
        <v>475</v>
      </c>
      <c r="AE421" s="66" t="s">
        <v>476</v>
      </c>
      <c r="AF421" s="66" t="s">
        <v>476</v>
      </c>
      <c r="AG421" s="64" t="s">
        <v>467</v>
      </c>
      <c r="AH421" s="64" t="s">
        <v>467</v>
      </c>
      <c r="AI421" s="64">
        <v>650.0</v>
      </c>
      <c r="AJ421" s="66">
        <v>21.5</v>
      </c>
      <c r="AK421" s="67">
        <v>13975.0</v>
      </c>
      <c r="AL421" s="63"/>
      <c r="AM421" s="63"/>
      <c r="AN421" s="64">
        <v>21.5</v>
      </c>
      <c r="AO421" s="64" t="s">
        <v>468</v>
      </c>
      <c r="AP421" s="63"/>
      <c r="AQ421" s="63"/>
      <c r="AR421" s="63"/>
      <c r="AS421" s="63"/>
      <c r="AT421" s="63"/>
      <c r="AU421" s="63"/>
      <c r="AV421" s="63"/>
      <c r="AW421" s="58" t="s">
        <v>512</v>
      </c>
      <c r="AX421" s="69">
        <v>13975.0</v>
      </c>
      <c r="AY421" s="70"/>
      <c r="AZ421" s="70"/>
      <c r="BA421" s="70"/>
      <c r="BB421" s="70"/>
      <c r="BC421" s="58" t="s">
        <v>469</v>
      </c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8"/>
      <c r="BR421" s="58"/>
    </row>
    <row r="422">
      <c r="A422" s="59">
        <v>45828.0</v>
      </c>
      <c r="B422" s="64" t="s">
        <v>451</v>
      </c>
      <c r="C422" s="61">
        <v>45828.0</v>
      </c>
      <c r="D422" s="61">
        <v>45828.0</v>
      </c>
      <c r="E422" s="60" t="s">
        <v>452</v>
      </c>
      <c r="F422" s="116" t="s">
        <v>1378</v>
      </c>
      <c r="G422" s="63"/>
      <c r="H422" s="64" t="s">
        <v>472</v>
      </c>
      <c r="I422" s="64" t="s">
        <v>479</v>
      </c>
      <c r="J422" s="64" t="s">
        <v>456</v>
      </c>
      <c r="K422" s="64" t="s">
        <v>456</v>
      </c>
      <c r="L422" s="66">
        <v>22.0</v>
      </c>
      <c r="M422" s="66">
        <v>22.0</v>
      </c>
      <c r="N422" s="66" t="s">
        <v>457</v>
      </c>
      <c r="O422" s="66">
        <v>24.0</v>
      </c>
      <c r="P422" s="64" t="s">
        <v>1379</v>
      </c>
      <c r="Q422" s="64" t="s">
        <v>459</v>
      </c>
      <c r="R422" s="64" t="s">
        <v>459</v>
      </c>
      <c r="S422" s="64">
        <v>250.0</v>
      </c>
      <c r="T422" s="64">
        <v>2750.0</v>
      </c>
      <c r="U422" s="64">
        <v>250.0</v>
      </c>
      <c r="V422" s="64">
        <v>2750.0</v>
      </c>
      <c r="W422" s="64">
        <v>2750.0</v>
      </c>
      <c r="X422" s="65" t="s">
        <v>460</v>
      </c>
      <c r="Y422" s="64" t="s">
        <v>461</v>
      </c>
      <c r="Z422" s="64" t="s">
        <v>462</v>
      </c>
      <c r="AA422" s="64" t="s">
        <v>463</v>
      </c>
      <c r="AB422" s="64" t="s">
        <v>464</v>
      </c>
      <c r="AC422" s="60" t="s">
        <v>451</v>
      </c>
      <c r="AD422" s="66" t="s">
        <v>481</v>
      </c>
      <c r="AE422" s="66" t="s">
        <v>482</v>
      </c>
      <c r="AF422" s="66" t="s">
        <v>482</v>
      </c>
      <c r="AG422" s="64" t="s">
        <v>467</v>
      </c>
      <c r="AH422" s="64" t="s">
        <v>467</v>
      </c>
      <c r="AI422" s="64">
        <v>655.0</v>
      </c>
      <c r="AJ422" s="64">
        <v>21.5</v>
      </c>
      <c r="AK422" s="67">
        <v>14082.5</v>
      </c>
      <c r="AL422" s="63"/>
      <c r="AM422" s="63"/>
      <c r="AN422" s="64">
        <v>21.5</v>
      </c>
      <c r="AO422" s="64" t="s">
        <v>468</v>
      </c>
      <c r="AP422" s="63"/>
      <c r="AQ422" s="63"/>
      <c r="AR422" s="63"/>
      <c r="AS422" s="63"/>
      <c r="AT422" s="63"/>
      <c r="AU422" s="63"/>
      <c r="AV422" s="68"/>
      <c r="AW422" s="58" t="s">
        <v>512</v>
      </c>
      <c r="AX422" s="69">
        <v>14082.5</v>
      </c>
      <c r="AY422" s="70"/>
      <c r="AZ422" s="70"/>
      <c r="BA422" s="70"/>
      <c r="BB422" s="70"/>
      <c r="BC422" s="58" t="s">
        <v>469</v>
      </c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8"/>
      <c r="BR422" s="58"/>
    </row>
    <row r="423">
      <c r="A423" s="115">
        <v>45828.0</v>
      </c>
      <c r="B423" s="66" t="s">
        <v>451</v>
      </c>
      <c r="C423" s="61">
        <v>45828.0</v>
      </c>
      <c r="D423" s="61">
        <v>45828.0</v>
      </c>
      <c r="E423" s="60" t="s">
        <v>452</v>
      </c>
      <c r="F423" s="102" t="s">
        <v>1380</v>
      </c>
      <c r="G423" s="63"/>
      <c r="H423" s="64" t="s">
        <v>472</v>
      </c>
      <c r="I423" s="64" t="s">
        <v>629</v>
      </c>
      <c r="J423" s="64" t="s">
        <v>486</v>
      </c>
      <c r="K423" s="64" t="s">
        <v>486</v>
      </c>
      <c r="L423" s="66">
        <v>22.0</v>
      </c>
      <c r="M423" s="66">
        <v>22.0</v>
      </c>
      <c r="N423" s="66" t="s">
        <v>457</v>
      </c>
      <c r="O423" s="66">
        <v>24.0</v>
      </c>
      <c r="P423" s="64" t="s">
        <v>1381</v>
      </c>
      <c r="Q423" s="64" t="s">
        <v>459</v>
      </c>
      <c r="R423" s="64" t="s">
        <v>459</v>
      </c>
      <c r="S423" s="66">
        <v>291.0</v>
      </c>
      <c r="T423" s="64">
        <v>3201.0</v>
      </c>
      <c r="U423" s="66">
        <v>291.0</v>
      </c>
      <c r="V423" s="64">
        <v>3201.0</v>
      </c>
      <c r="W423" s="64">
        <v>3201.0</v>
      </c>
      <c r="X423" s="65" t="s">
        <v>460</v>
      </c>
      <c r="Y423" s="64" t="s">
        <v>461</v>
      </c>
      <c r="Z423" s="64" t="s">
        <v>462</v>
      </c>
      <c r="AA423" s="64" t="s">
        <v>463</v>
      </c>
      <c r="AB423" s="64" t="s">
        <v>464</v>
      </c>
      <c r="AC423" s="60" t="s">
        <v>451</v>
      </c>
      <c r="AD423" s="64" t="s">
        <v>481</v>
      </c>
      <c r="AE423" s="64" t="s">
        <v>598</v>
      </c>
      <c r="AF423" s="64" t="s">
        <v>598</v>
      </c>
      <c r="AG423" s="64" t="s">
        <v>467</v>
      </c>
      <c r="AH423" s="64" t="s">
        <v>467</v>
      </c>
      <c r="AI423" s="64">
        <v>655.0</v>
      </c>
      <c r="AJ423" s="64">
        <v>23.5</v>
      </c>
      <c r="AK423" s="67">
        <v>15392.5</v>
      </c>
      <c r="AL423" s="63"/>
      <c r="AM423" s="63"/>
      <c r="AN423" s="64">
        <v>23.5</v>
      </c>
      <c r="AO423" s="64" t="s">
        <v>468</v>
      </c>
      <c r="AP423" s="63"/>
      <c r="AQ423" s="63"/>
      <c r="AR423" s="63"/>
      <c r="AS423" s="63"/>
      <c r="AT423" s="63"/>
      <c r="AU423" s="63"/>
      <c r="AV423" s="68"/>
      <c r="AW423" s="58" t="s">
        <v>512</v>
      </c>
      <c r="AX423" s="69">
        <v>15392.5</v>
      </c>
      <c r="AY423" s="70"/>
      <c r="AZ423" s="70"/>
      <c r="BA423" s="70"/>
      <c r="BB423" s="70"/>
      <c r="BC423" s="58" t="s">
        <v>469</v>
      </c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8"/>
      <c r="BR423" s="58"/>
    </row>
    <row r="424">
      <c r="A424" s="59">
        <v>45828.0</v>
      </c>
      <c r="B424" s="64" t="s">
        <v>451</v>
      </c>
      <c r="C424" s="61">
        <v>45828.0</v>
      </c>
      <c r="D424" s="61">
        <v>45828.0</v>
      </c>
      <c r="E424" s="60" t="s">
        <v>452</v>
      </c>
      <c r="F424" s="101" t="s">
        <v>1382</v>
      </c>
      <c r="G424" s="63"/>
      <c r="H424" s="64" t="s">
        <v>492</v>
      </c>
      <c r="I424" s="64" t="s">
        <v>593</v>
      </c>
      <c r="J424" s="64" t="s">
        <v>456</v>
      </c>
      <c r="K424" s="64" t="s">
        <v>456</v>
      </c>
      <c r="L424" s="64">
        <v>28.0</v>
      </c>
      <c r="M424" s="64">
        <v>28.0</v>
      </c>
      <c r="N424" s="64" t="s">
        <v>457</v>
      </c>
      <c r="O424" s="64">
        <v>24.0</v>
      </c>
      <c r="P424" s="64" t="s">
        <v>1383</v>
      </c>
      <c r="Q424" s="64" t="s">
        <v>459</v>
      </c>
      <c r="R424" s="64" t="s">
        <v>459</v>
      </c>
      <c r="S424" s="64">
        <v>414.0</v>
      </c>
      <c r="T424" s="64">
        <v>4554.0</v>
      </c>
      <c r="U424" s="64">
        <v>414.0</v>
      </c>
      <c r="V424" s="64">
        <v>4554.0</v>
      </c>
      <c r="W424" s="64">
        <v>4554.0</v>
      </c>
      <c r="X424" s="65" t="s">
        <v>460</v>
      </c>
      <c r="Y424" s="64" t="s">
        <v>461</v>
      </c>
      <c r="Z424" s="64" t="s">
        <v>462</v>
      </c>
      <c r="AA424" s="64" t="s">
        <v>463</v>
      </c>
      <c r="AB424" s="64" t="s">
        <v>464</v>
      </c>
      <c r="AC424" s="60" t="s">
        <v>451</v>
      </c>
      <c r="AD424" s="64" t="s">
        <v>495</v>
      </c>
      <c r="AE424" s="64" t="s">
        <v>496</v>
      </c>
      <c r="AF424" s="64" t="s">
        <v>496</v>
      </c>
      <c r="AG424" s="64" t="s">
        <v>467</v>
      </c>
      <c r="AH424" s="64" t="s">
        <v>467</v>
      </c>
      <c r="AI424" s="64">
        <v>570.0</v>
      </c>
      <c r="AJ424" s="64">
        <v>23.5</v>
      </c>
      <c r="AK424" s="67">
        <v>13395.0</v>
      </c>
      <c r="AL424" s="63"/>
      <c r="AM424" s="63"/>
      <c r="AN424" s="64">
        <v>23.5</v>
      </c>
      <c r="AO424" s="64" t="s">
        <v>468</v>
      </c>
      <c r="AP424" s="63"/>
      <c r="AQ424" s="63"/>
      <c r="AR424" s="63"/>
      <c r="AS424" s="63"/>
      <c r="AT424" s="63"/>
      <c r="AU424" s="63"/>
      <c r="AV424" s="63"/>
      <c r="AW424" s="58" t="s">
        <v>512</v>
      </c>
      <c r="AX424" s="69">
        <v>13395.0</v>
      </c>
      <c r="AY424" s="70"/>
      <c r="AZ424" s="70"/>
      <c r="BA424" s="70"/>
      <c r="BB424" s="70"/>
      <c r="BC424" s="58" t="s">
        <v>469</v>
      </c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8"/>
      <c r="BR424" s="58"/>
    </row>
    <row r="425">
      <c r="A425" s="115">
        <v>45828.0</v>
      </c>
      <c r="B425" s="66" t="s">
        <v>451</v>
      </c>
      <c r="C425" s="61">
        <v>45828.0</v>
      </c>
      <c r="D425" s="61">
        <v>45828.0</v>
      </c>
      <c r="E425" s="60" t="s">
        <v>452</v>
      </c>
      <c r="F425" s="116" t="s">
        <v>1384</v>
      </c>
      <c r="G425" s="63"/>
      <c r="H425" s="64" t="s">
        <v>1218</v>
      </c>
      <c r="I425" s="64" t="s">
        <v>1246</v>
      </c>
      <c r="J425" s="64" t="s">
        <v>456</v>
      </c>
      <c r="K425" s="64" t="s">
        <v>456</v>
      </c>
      <c r="L425" s="66">
        <v>22.0</v>
      </c>
      <c r="M425" s="66">
        <v>22.0</v>
      </c>
      <c r="N425" s="66" t="s">
        <v>457</v>
      </c>
      <c r="O425" s="66">
        <v>24.0</v>
      </c>
      <c r="P425" s="64" t="s">
        <v>1385</v>
      </c>
      <c r="Q425" s="64" t="s">
        <v>459</v>
      </c>
      <c r="R425" s="64" t="s">
        <v>459</v>
      </c>
      <c r="S425" s="64">
        <v>252.0</v>
      </c>
      <c r="T425" s="64">
        <v>2772.0</v>
      </c>
      <c r="U425" s="64">
        <v>252.0</v>
      </c>
      <c r="V425" s="64">
        <v>2772.0</v>
      </c>
      <c r="W425" s="64">
        <v>2772.0</v>
      </c>
      <c r="X425" s="65" t="s">
        <v>460</v>
      </c>
      <c r="Y425" s="64" t="s">
        <v>461</v>
      </c>
      <c r="Z425" s="64" t="s">
        <v>462</v>
      </c>
      <c r="AA425" s="64" t="s">
        <v>463</v>
      </c>
      <c r="AB425" s="64" t="s">
        <v>464</v>
      </c>
      <c r="AC425" s="60" t="s">
        <v>451</v>
      </c>
      <c r="AD425" s="64" t="s">
        <v>501</v>
      </c>
      <c r="AE425" s="64" t="s">
        <v>502</v>
      </c>
      <c r="AF425" s="64" t="s">
        <v>502</v>
      </c>
      <c r="AG425" s="64" t="s">
        <v>467</v>
      </c>
      <c r="AH425" s="64" t="s">
        <v>467</v>
      </c>
      <c r="AI425" s="64">
        <v>380.0</v>
      </c>
      <c r="AJ425" s="64">
        <v>21.5</v>
      </c>
      <c r="AK425" s="67">
        <v>8170.0</v>
      </c>
      <c r="AL425" s="63"/>
      <c r="AM425" s="63"/>
      <c r="AN425" s="64">
        <v>21.5</v>
      </c>
      <c r="AO425" s="64" t="s">
        <v>468</v>
      </c>
      <c r="AP425" s="63"/>
      <c r="AQ425" s="63"/>
      <c r="AR425" s="63"/>
      <c r="AS425" s="63"/>
      <c r="AT425" s="63"/>
      <c r="AU425" s="63"/>
      <c r="AV425" s="68"/>
      <c r="AW425" s="58" t="s">
        <v>512</v>
      </c>
      <c r="AX425" s="69">
        <v>8170.0</v>
      </c>
      <c r="AY425" s="70"/>
      <c r="AZ425" s="70"/>
      <c r="BA425" s="70"/>
      <c r="BB425" s="70"/>
      <c r="BC425" s="58" t="s">
        <v>469</v>
      </c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8"/>
      <c r="BR425" s="58"/>
    </row>
    <row r="426">
      <c r="A426" s="115">
        <v>45828.0</v>
      </c>
      <c r="B426" s="66" t="s">
        <v>451</v>
      </c>
      <c r="C426" s="61">
        <v>45828.0</v>
      </c>
      <c r="D426" s="61">
        <v>45828.0</v>
      </c>
      <c r="E426" s="60" t="s">
        <v>452</v>
      </c>
      <c r="F426" s="116" t="s">
        <v>1386</v>
      </c>
      <c r="G426" s="63"/>
      <c r="H426" s="64" t="s">
        <v>504</v>
      </c>
      <c r="I426" s="64" t="s">
        <v>603</v>
      </c>
      <c r="J426" s="64" t="s">
        <v>456</v>
      </c>
      <c r="K426" s="64" t="s">
        <v>456</v>
      </c>
      <c r="L426" s="66">
        <v>22.0</v>
      </c>
      <c r="M426" s="66">
        <v>22.0</v>
      </c>
      <c r="N426" s="66" t="s">
        <v>457</v>
      </c>
      <c r="O426" s="66">
        <v>24.0</v>
      </c>
      <c r="P426" s="64" t="s">
        <v>1387</v>
      </c>
      <c r="Q426" s="64" t="s">
        <v>459</v>
      </c>
      <c r="R426" s="64" t="s">
        <v>459</v>
      </c>
      <c r="S426" s="64">
        <v>171.0</v>
      </c>
      <c r="T426" s="64">
        <v>1881.0</v>
      </c>
      <c r="U426" s="64">
        <v>171.0</v>
      </c>
      <c r="V426" s="64">
        <v>1881.0</v>
      </c>
      <c r="W426" s="64">
        <v>1881.0</v>
      </c>
      <c r="X426" s="65" t="s">
        <v>460</v>
      </c>
      <c r="Y426" s="64" t="s">
        <v>461</v>
      </c>
      <c r="Z426" s="64" t="s">
        <v>462</v>
      </c>
      <c r="AA426" s="64" t="s">
        <v>463</v>
      </c>
      <c r="AB426" s="64" t="s">
        <v>464</v>
      </c>
      <c r="AC426" s="60" t="s">
        <v>451</v>
      </c>
      <c r="AD426" s="64" t="s">
        <v>507</v>
      </c>
      <c r="AE426" s="64" t="s">
        <v>508</v>
      </c>
      <c r="AF426" s="64" t="s">
        <v>508</v>
      </c>
      <c r="AG426" s="64" t="s">
        <v>467</v>
      </c>
      <c r="AH426" s="64" t="s">
        <v>467</v>
      </c>
      <c r="AI426" s="66">
        <v>790.0</v>
      </c>
      <c r="AJ426" s="66">
        <v>21.5</v>
      </c>
      <c r="AK426" s="67">
        <v>16985.0</v>
      </c>
      <c r="AL426" s="63"/>
      <c r="AM426" s="63"/>
      <c r="AN426" s="64">
        <v>21.5</v>
      </c>
      <c r="AO426" s="64" t="s">
        <v>468</v>
      </c>
      <c r="AP426" s="63"/>
      <c r="AQ426" s="63"/>
      <c r="AR426" s="63"/>
      <c r="AS426" s="73">
        <v>0.5</v>
      </c>
      <c r="AT426" s="64">
        <v>8492.5</v>
      </c>
      <c r="AU426" s="60" t="s">
        <v>510</v>
      </c>
      <c r="AV426" s="74" t="s">
        <v>511</v>
      </c>
      <c r="AW426" s="58" t="s">
        <v>512</v>
      </c>
      <c r="AX426" s="69">
        <v>8492.5</v>
      </c>
      <c r="AY426" s="70"/>
      <c r="AZ426" s="70"/>
      <c r="BA426" s="69">
        <v>8492.5</v>
      </c>
      <c r="BB426" s="70"/>
      <c r="BC426" s="58" t="s">
        <v>469</v>
      </c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8"/>
      <c r="BR426" s="58"/>
    </row>
    <row r="427">
      <c r="A427" s="59">
        <v>45828.0</v>
      </c>
      <c r="B427" s="64" t="s">
        <v>451</v>
      </c>
      <c r="C427" s="61">
        <v>45828.0</v>
      </c>
      <c r="D427" s="61">
        <v>45828.0</v>
      </c>
      <c r="E427" s="60" t="s">
        <v>452</v>
      </c>
      <c r="F427" s="103" t="s">
        <v>1388</v>
      </c>
      <c r="G427" s="63"/>
      <c r="H427" s="64" t="s">
        <v>504</v>
      </c>
      <c r="I427" s="64" t="s">
        <v>606</v>
      </c>
      <c r="J427" s="64" t="s">
        <v>456</v>
      </c>
      <c r="K427" s="64" t="s">
        <v>456</v>
      </c>
      <c r="L427" s="66">
        <v>22.0</v>
      </c>
      <c r="M427" s="66">
        <v>22.0</v>
      </c>
      <c r="N427" s="66" t="s">
        <v>457</v>
      </c>
      <c r="O427" s="66">
        <v>24.0</v>
      </c>
      <c r="P427" s="64" t="s">
        <v>1389</v>
      </c>
      <c r="Q427" s="64" t="s">
        <v>459</v>
      </c>
      <c r="R427" s="64" t="s">
        <v>459</v>
      </c>
      <c r="S427" s="66">
        <v>163.0</v>
      </c>
      <c r="T427" s="64">
        <v>1793.0</v>
      </c>
      <c r="U427" s="66">
        <v>163.0</v>
      </c>
      <c r="V427" s="64">
        <v>1793.0</v>
      </c>
      <c r="W427" s="64">
        <v>1793.0</v>
      </c>
      <c r="X427" s="65" t="s">
        <v>460</v>
      </c>
      <c r="Y427" s="64" t="s">
        <v>461</v>
      </c>
      <c r="Z427" s="64" t="s">
        <v>462</v>
      </c>
      <c r="AA427" s="64" t="s">
        <v>463</v>
      </c>
      <c r="AB427" s="64" t="s">
        <v>464</v>
      </c>
      <c r="AC427" s="60" t="s">
        <v>451</v>
      </c>
      <c r="AD427" s="66" t="s">
        <v>517</v>
      </c>
      <c r="AE427" s="66" t="s">
        <v>518</v>
      </c>
      <c r="AF427" s="66" t="s">
        <v>518</v>
      </c>
      <c r="AG427" s="64" t="s">
        <v>467</v>
      </c>
      <c r="AH427" s="64" t="s">
        <v>467</v>
      </c>
      <c r="AI427" s="64">
        <v>815.0</v>
      </c>
      <c r="AJ427" s="64">
        <v>21.5</v>
      </c>
      <c r="AK427" s="67">
        <v>17522.5</v>
      </c>
      <c r="AL427" s="63"/>
      <c r="AM427" s="63"/>
      <c r="AN427" s="64">
        <v>21.5</v>
      </c>
      <c r="AO427" s="64" t="s">
        <v>468</v>
      </c>
      <c r="AP427" s="63"/>
      <c r="AQ427" s="63"/>
      <c r="AR427" s="63"/>
      <c r="AS427" s="63"/>
      <c r="AT427" s="63"/>
      <c r="AU427" s="63"/>
      <c r="AV427" s="68"/>
      <c r="AW427" s="58" t="s">
        <v>512</v>
      </c>
      <c r="AX427" s="69">
        <v>17522.5</v>
      </c>
      <c r="AY427" s="70"/>
      <c r="AZ427" s="70"/>
      <c r="BA427" s="70"/>
      <c r="BB427" s="70"/>
      <c r="BC427" s="58" t="s">
        <v>469</v>
      </c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8"/>
      <c r="BR427" s="58"/>
    </row>
    <row r="428">
      <c r="A428" s="115">
        <v>45828.0</v>
      </c>
      <c r="B428" s="66" t="s">
        <v>451</v>
      </c>
      <c r="C428" s="61">
        <v>45828.0</v>
      </c>
      <c r="D428" s="61">
        <v>45828.0</v>
      </c>
      <c r="E428" s="60" t="s">
        <v>452</v>
      </c>
      <c r="F428" s="116" t="s">
        <v>1390</v>
      </c>
      <c r="G428" s="63"/>
      <c r="H428" s="64" t="s">
        <v>521</v>
      </c>
      <c r="I428" s="64" t="s">
        <v>608</v>
      </c>
      <c r="J428" s="64" t="s">
        <v>456</v>
      </c>
      <c r="K428" s="64" t="s">
        <v>456</v>
      </c>
      <c r="L428" s="66">
        <v>22.0</v>
      </c>
      <c r="M428" s="66">
        <v>22.0</v>
      </c>
      <c r="N428" s="66" t="s">
        <v>457</v>
      </c>
      <c r="O428" s="66">
        <v>24.0</v>
      </c>
      <c r="P428" s="64" t="s">
        <v>1385</v>
      </c>
      <c r="Q428" s="64" t="s">
        <v>459</v>
      </c>
      <c r="R428" s="64" t="s">
        <v>459</v>
      </c>
      <c r="S428" s="64">
        <v>211.0</v>
      </c>
      <c r="T428" s="64">
        <v>2321.0</v>
      </c>
      <c r="U428" s="64">
        <v>211.0</v>
      </c>
      <c r="V428" s="64">
        <v>2321.0</v>
      </c>
      <c r="W428" s="64">
        <v>2321.0</v>
      </c>
      <c r="X428" s="65" t="s">
        <v>460</v>
      </c>
      <c r="Y428" s="64" t="s">
        <v>461</v>
      </c>
      <c r="Z428" s="64" t="s">
        <v>462</v>
      </c>
      <c r="AA428" s="64" t="s">
        <v>463</v>
      </c>
      <c r="AB428" s="64" t="s">
        <v>464</v>
      </c>
      <c r="AC428" s="60" t="s">
        <v>451</v>
      </c>
      <c r="AD428" s="64" t="s">
        <v>524</v>
      </c>
      <c r="AE428" s="64" t="s">
        <v>483</v>
      </c>
      <c r="AF428" s="64" t="s">
        <v>483</v>
      </c>
      <c r="AG428" s="64" t="s">
        <v>467</v>
      </c>
      <c r="AH428" s="64" t="s">
        <v>467</v>
      </c>
      <c r="AI428" s="66">
        <v>600.0</v>
      </c>
      <c r="AJ428" s="66">
        <v>21.5</v>
      </c>
      <c r="AK428" s="67">
        <v>12900.0</v>
      </c>
      <c r="AL428" s="63"/>
      <c r="AM428" s="63"/>
      <c r="AN428" s="64">
        <v>21.5</v>
      </c>
      <c r="AO428" s="64" t="s">
        <v>468</v>
      </c>
      <c r="AP428" s="63"/>
      <c r="AQ428" s="63"/>
      <c r="AR428" s="63"/>
      <c r="AS428" s="63"/>
      <c r="AT428" s="63"/>
      <c r="AU428" s="63"/>
      <c r="AV428" s="68"/>
      <c r="AW428" s="58" t="s">
        <v>512</v>
      </c>
      <c r="AX428" s="69">
        <v>12900.0</v>
      </c>
      <c r="AY428" s="70"/>
      <c r="AZ428" s="70"/>
      <c r="BA428" s="70"/>
      <c r="BB428" s="70"/>
      <c r="BC428" s="58" t="s">
        <v>469</v>
      </c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</row>
    <row r="429">
      <c r="A429" s="59">
        <v>45828.0</v>
      </c>
      <c r="B429" s="64" t="s">
        <v>451</v>
      </c>
      <c r="C429" s="61">
        <v>45828.0</v>
      </c>
      <c r="D429" s="61">
        <v>45828.0</v>
      </c>
      <c r="E429" s="60" t="s">
        <v>452</v>
      </c>
      <c r="F429" s="123" t="s">
        <v>1391</v>
      </c>
      <c r="G429" s="63"/>
      <c r="H429" s="64" t="s">
        <v>492</v>
      </c>
      <c r="I429" s="64" t="s">
        <v>533</v>
      </c>
      <c r="J429" s="64" t="s">
        <v>486</v>
      </c>
      <c r="K429" s="64" t="s">
        <v>486</v>
      </c>
      <c r="L429" s="66">
        <v>22.0</v>
      </c>
      <c r="M429" s="66">
        <v>22.0</v>
      </c>
      <c r="N429" s="66" t="s">
        <v>457</v>
      </c>
      <c r="O429" s="66">
        <v>24.0</v>
      </c>
      <c r="P429" s="64" t="s">
        <v>1392</v>
      </c>
      <c r="Q429" s="64" t="s">
        <v>459</v>
      </c>
      <c r="R429" s="64" t="s">
        <v>459</v>
      </c>
      <c r="S429" s="60">
        <v>244.0</v>
      </c>
      <c r="T429" s="64">
        <v>2684.0</v>
      </c>
      <c r="U429" s="60">
        <v>244.0</v>
      </c>
      <c r="V429" s="64">
        <v>2684.0</v>
      </c>
      <c r="W429" s="64">
        <v>2684.0</v>
      </c>
      <c r="X429" s="65" t="s">
        <v>460</v>
      </c>
      <c r="Y429" s="64" t="s">
        <v>461</v>
      </c>
      <c r="Z429" s="64" t="s">
        <v>462</v>
      </c>
      <c r="AA429" s="64" t="s">
        <v>463</v>
      </c>
      <c r="AB429" s="64" t="s">
        <v>464</v>
      </c>
      <c r="AC429" s="60" t="s">
        <v>451</v>
      </c>
      <c r="AD429" s="60" t="s">
        <v>529</v>
      </c>
      <c r="AE429" s="64" t="s">
        <v>535</v>
      </c>
      <c r="AF429" s="64" t="s">
        <v>535</v>
      </c>
      <c r="AG429" s="64" t="s">
        <v>467</v>
      </c>
      <c r="AH429" s="64" t="s">
        <v>467</v>
      </c>
      <c r="AI429" s="66">
        <v>510.0</v>
      </c>
      <c r="AJ429" s="66">
        <v>23.5</v>
      </c>
      <c r="AK429" s="67">
        <v>11985.0</v>
      </c>
      <c r="AL429" s="63"/>
      <c r="AM429" s="63"/>
      <c r="AN429" s="64">
        <v>23.5</v>
      </c>
      <c r="AO429" s="64" t="s">
        <v>468</v>
      </c>
      <c r="AP429" s="63"/>
      <c r="AQ429" s="63"/>
      <c r="AR429" s="63"/>
      <c r="AS429" s="63"/>
      <c r="AT429" s="63"/>
      <c r="AU429" s="63"/>
      <c r="AV429" s="68"/>
      <c r="AW429" s="58" t="s">
        <v>512</v>
      </c>
      <c r="AX429" s="69">
        <v>11985.0</v>
      </c>
      <c r="AY429" s="70"/>
      <c r="AZ429" s="70"/>
      <c r="BA429" s="70"/>
      <c r="BB429" s="70"/>
      <c r="BC429" s="58" t="s">
        <v>469</v>
      </c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</row>
    <row r="430">
      <c r="A430" s="115">
        <v>45828.0</v>
      </c>
      <c r="B430" s="66" t="s">
        <v>451</v>
      </c>
      <c r="C430" s="61">
        <v>45828.0</v>
      </c>
      <c r="D430" s="61">
        <v>45828.0</v>
      </c>
      <c r="E430" s="60" t="s">
        <v>452</v>
      </c>
      <c r="F430" s="102" t="s">
        <v>1393</v>
      </c>
      <c r="G430" s="63"/>
      <c r="H430" s="64" t="s">
        <v>492</v>
      </c>
      <c r="I430" s="64" t="s">
        <v>527</v>
      </c>
      <c r="J430" s="64" t="s">
        <v>456</v>
      </c>
      <c r="K430" s="64" t="s">
        <v>456</v>
      </c>
      <c r="L430" s="66">
        <v>22.0</v>
      </c>
      <c r="M430" s="66">
        <v>22.0</v>
      </c>
      <c r="N430" s="66" t="s">
        <v>457</v>
      </c>
      <c r="O430" s="66">
        <v>24.0</v>
      </c>
      <c r="P430" s="64" t="s">
        <v>1394</v>
      </c>
      <c r="Q430" s="64" t="s">
        <v>459</v>
      </c>
      <c r="R430" s="64" t="s">
        <v>459</v>
      </c>
      <c r="S430" s="66">
        <v>177.0</v>
      </c>
      <c r="T430" s="64">
        <v>1947.0</v>
      </c>
      <c r="U430" s="66">
        <v>177.0</v>
      </c>
      <c r="V430" s="64">
        <v>1947.0</v>
      </c>
      <c r="W430" s="64">
        <v>1947.0</v>
      </c>
      <c r="X430" s="65" t="s">
        <v>460</v>
      </c>
      <c r="Y430" s="64" t="s">
        <v>461</v>
      </c>
      <c r="Z430" s="64" t="s">
        <v>462</v>
      </c>
      <c r="AA430" s="64" t="s">
        <v>463</v>
      </c>
      <c r="AB430" s="64" t="s">
        <v>464</v>
      </c>
      <c r="AC430" s="60" t="s">
        <v>451</v>
      </c>
      <c r="AD430" s="66" t="s">
        <v>529</v>
      </c>
      <c r="AE430" s="66" t="s">
        <v>530</v>
      </c>
      <c r="AF430" s="66" t="s">
        <v>530</v>
      </c>
      <c r="AG430" s="64" t="s">
        <v>467</v>
      </c>
      <c r="AH430" s="64" t="s">
        <v>467</v>
      </c>
      <c r="AI430" s="66">
        <v>510.0</v>
      </c>
      <c r="AJ430" s="66">
        <v>21.5</v>
      </c>
      <c r="AK430" s="67">
        <v>10965.0</v>
      </c>
      <c r="AL430" s="63"/>
      <c r="AM430" s="63"/>
      <c r="AN430" s="64">
        <v>21.5</v>
      </c>
      <c r="AO430" s="64" t="s">
        <v>468</v>
      </c>
      <c r="AP430" s="63"/>
      <c r="AQ430" s="63"/>
      <c r="AR430" s="63"/>
      <c r="AS430" s="63"/>
      <c r="AT430" s="63"/>
      <c r="AU430" s="63"/>
      <c r="AV430" s="68"/>
      <c r="AW430" s="58" t="s">
        <v>512</v>
      </c>
      <c r="AX430" s="69">
        <v>10965.0</v>
      </c>
      <c r="AY430" s="70"/>
      <c r="AZ430" s="70"/>
      <c r="BA430" s="70"/>
      <c r="BB430" s="70"/>
      <c r="BC430" s="58" t="s">
        <v>469</v>
      </c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</row>
    <row r="431">
      <c r="A431" s="115">
        <v>45828.0</v>
      </c>
      <c r="B431" s="66" t="s">
        <v>451</v>
      </c>
      <c r="C431" s="61">
        <v>45828.0</v>
      </c>
      <c r="D431" s="61">
        <v>45828.0</v>
      </c>
      <c r="E431" s="60" t="s">
        <v>452</v>
      </c>
      <c r="F431" s="103" t="s">
        <v>1395</v>
      </c>
      <c r="G431" s="63"/>
      <c r="H431" s="64" t="s">
        <v>538</v>
      </c>
      <c r="I431" s="64" t="s">
        <v>539</v>
      </c>
      <c r="J431" s="64" t="s">
        <v>456</v>
      </c>
      <c r="K431" s="64" t="s">
        <v>456</v>
      </c>
      <c r="L431" s="64">
        <v>32.0</v>
      </c>
      <c r="M431" s="64">
        <v>32.0</v>
      </c>
      <c r="N431" s="64" t="s">
        <v>540</v>
      </c>
      <c r="O431" s="64">
        <v>24.0</v>
      </c>
      <c r="P431" s="64" t="s">
        <v>1396</v>
      </c>
      <c r="Q431" s="64" t="s">
        <v>459</v>
      </c>
      <c r="R431" s="64" t="s">
        <v>459</v>
      </c>
      <c r="S431" s="66">
        <v>141.0</v>
      </c>
      <c r="T431" s="64">
        <v>1551.0</v>
      </c>
      <c r="U431" s="66">
        <v>141.0</v>
      </c>
      <c r="V431" s="64">
        <v>1551.0</v>
      </c>
      <c r="W431" s="64">
        <v>1551.0</v>
      </c>
      <c r="X431" s="65" t="s">
        <v>460</v>
      </c>
      <c r="Y431" s="64" t="s">
        <v>461</v>
      </c>
      <c r="Z431" s="64" t="s">
        <v>462</v>
      </c>
      <c r="AA431" s="64" t="s">
        <v>463</v>
      </c>
      <c r="AB431" s="64" t="s">
        <v>464</v>
      </c>
      <c r="AC431" s="60" t="s">
        <v>451</v>
      </c>
      <c r="AD431" s="66" t="s">
        <v>541</v>
      </c>
      <c r="AE431" s="66" t="s">
        <v>490</v>
      </c>
      <c r="AF431" s="66" t="s">
        <v>490</v>
      </c>
      <c r="AG431" s="64" t="s">
        <v>467</v>
      </c>
      <c r="AH431" s="64" t="s">
        <v>467</v>
      </c>
      <c r="AI431" s="66">
        <v>325.0</v>
      </c>
      <c r="AJ431" s="66">
        <v>28.4</v>
      </c>
      <c r="AK431" s="67">
        <v>9213.75</v>
      </c>
      <c r="AL431" s="63"/>
      <c r="AM431" s="63"/>
      <c r="AN431" s="64">
        <v>28.35</v>
      </c>
      <c r="AO431" s="64" t="s">
        <v>468</v>
      </c>
      <c r="AP431" s="63"/>
      <c r="AQ431" s="63"/>
      <c r="AR431" s="63"/>
      <c r="AS431" s="63"/>
      <c r="AT431" s="63"/>
      <c r="AU431" s="63"/>
      <c r="AV431" s="68"/>
      <c r="AW431" s="58" t="s">
        <v>512</v>
      </c>
      <c r="AX431" s="69">
        <v>9213.75</v>
      </c>
      <c r="AY431" s="70"/>
      <c r="AZ431" s="70"/>
      <c r="BA431" s="70"/>
      <c r="BB431" s="70"/>
      <c r="BC431" s="58" t="s">
        <v>469</v>
      </c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</row>
    <row r="432">
      <c r="A432" s="59">
        <v>45828.0</v>
      </c>
      <c r="B432" s="64" t="s">
        <v>451</v>
      </c>
      <c r="C432" s="61">
        <v>45828.0</v>
      </c>
      <c r="D432" s="61">
        <v>45828.0</v>
      </c>
      <c r="E432" s="60" t="s">
        <v>452</v>
      </c>
      <c r="F432" s="101" t="s">
        <v>1397</v>
      </c>
      <c r="G432" s="63"/>
      <c r="H432" s="64" t="s">
        <v>521</v>
      </c>
      <c r="I432" s="64" t="s">
        <v>914</v>
      </c>
      <c r="J432" s="64" t="s">
        <v>486</v>
      </c>
      <c r="K432" s="64" t="s">
        <v>486</v>
      </c>
      <c r="L432" s="66">
        <v>22.0</v>
      </c>
      <c r="M432" s="66">
        <v>22.0</v>
      </c>
      <c r="N432" s="66" t="s">
        <v>457</v>
      </c>
      <c r="O432" s="66">
        <v>24.0</v>
      </c>
      <c r="P432" s="75">
        <v>2.46E8</v>
      </c>
      <c r="Q432" s="64" t="s">
        <v>459</v>
      </c>
      <c r="R432" s="64" t="s">
        <v>459</v>
      </c>
      <c r="S432" s="66">
        <v>214.0</v>
      </c>
      <c r="T432" s="64">
        <v>2354.0</v>
      </c>
      <c r="U432" s="66">
        <v>214.0</v>
      </c>
      <c r="V432" s="64">
        <v>2354.0</v>
      </c>
      <c r="W432" s="64">
        <v>2354.0</v>
      </c>
      <c r="X432" s="76" t="s">
        <v>460</v>
      </c>
      <c r="Y432" s="64" t="s">
        <v>461</v>
      </c>
      <c r="Z432" s="64" t="s">
        <v>462</v>
      </c>
      <c r="AA432" s="64" t="s">
        <v>463</v>
      </c>
      <c r="AB432" s="64" t="s">
        <v>464</v>
      </c>
      <c r="AC432" s="60" t="s">
        <v>451</v>
      </c>
      <c r="AD432" s="66" t="s">
        <v>678</v>
      </c>
      <c r="AE432" s="66" t="s">
        <v>639</v>
      </c>
      <c r="AF432" s="66" t="s">
        <v>639</v>
      </c>
      <c r="AG432" s="64" t="s">
        <v>467</v>
      </c>
      <c r="AH432" s="64" t="s">
        <v>467</v>
      </c>
      <c r="AI432" s="64">
        <v>805.0</v>
      </c>
      <c r="AJ432" s="64">
        <v>23.5</v>
      </c>
      <c r="AK432" s="67">
        <v>18917.5</v>
      </c>
      <c r="AL432" s="63"/>
      <c r="AM432" s="63"/>
      <c r="AN432" s="64">
        <v>23.5</v>
      </c>
      <c r="AO432" s="64" t="s">
        <v>468</v>
      </c>
      <c r="AP432" s="63"/>
      <c r="AQ432" s="63"/>
      <c r="AR432" s="63"/>
      <c r="AS432" s="63"/>
      <c r="AT432" s="63"/>
      <c r="AU432" s="63"/>
      <c r="AV432" s="68"/>
      <c r="AW432" s="58" t="s">
        <v>512</v>
      </c>
      <c r="AX432" s="69">
        <v>18917.5</v>
      </c>
      <c r="AY432" s="70"/>
      <c r="AZ432" s="70"/>
      <c r="BA432" s="70"/>
      <c r="BB432" s="70"/>
      <c r="BC432" s="58" t="s">
        <v>469</v>
      </c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</row>
    <row r="433">
      <c r="A433" s="115">
        <v>45828.0</v>
      </c>
      <c r="B433" s="66" t="s">
        <v>451</v>
      </c>
      <c r="C433" s="61">
        <v>45828.0</v>
      </c>
      <c r="D433" s="61">
        <v>45828.0</v>
      </c>
      <c r="E433" s="60" t="s">
        <v>452</v>
      </c>
      <c r="F433" s="103" t="s">
        <v>1398</v>
      </c>
      <c r="G433" s="63"/>
      <c r="H433" s="64" t="s">
        <v>521</v>
      </c>
      <c r="I433" s="64" t="s">
        <v>522</v>
      </c>
      <c r="J433" s="64" t="s">
        <v>456</v>
      </c>
      <c r="K433" s="64" t="s">
        <v>456</v>
      </c>
      <c r="L433" s="66">
        <v>22.0</v>
      </c>
      <c r="M433" s="66">
        <v>22.0</v>
      </c>
      <c r="N433" s="66" t="s">
        <v>457</v>
      </c>
      <c r="O433" s="66">
        <v>24.0</v>
      </c>
      <c r="P433" s="64" t="s">
        <v>1399</v>
      </c>
      <c r="Q433" s="64" t="s">
        <v>459</v>
      </c>
      <c r="R433" s="64" t="s">
        <v>459</v>
      </c>
      <c r="S433" s="64">
        <v>94.0</v>
      </c>
      <c r="T433" s="64">
        <v>1034.0</v>
      </c>
      <c r="U433" s="64">
        <v>94.0</v>
      </c>
      <c r="V433" s="64">
        <v>1034.0</v>
      </c>
      <c r="W433" s="64">
        <v>1034.0</v>
      </c>
      <c r="X433" s="76" t="s">
        <v>460</v>
      </c>
      <c r="Y433" s="64" t="s">
        <v>461</v>
      </c>
      <c r="Z433" s="64" t="s">
        <v>462</v>
      </c>
      <c r="AA433" s="64" t="s">
        <v>463</v>
      </c>
      <c r="AB433" s="64" t="s">
        <v>464</v>
      </c>
      <c r="AC433" s="60" t="s">
        <v>451</v>
      </c>
      <c r="AD433" s="66" t="s">
        <v>557</v>
      </c>
      <c r="AE433" s="64" t="s">
        <v>525</v>
      </c>
      <c r="AF433" s="64" t="s">
        <v>525</v>
      </c>
      <c r="AG433" s="64" t="s">
        <v>467</v>
      </c>
      <c r="AH433" s="64" t="s">
        <v>467</v>
      </c>
      <c r="AI433" s="66">
        <v>800.0</v>
      </c>
      <c r="AJ433" s="64">
        <v>21.5</v>
      </c>
      <c r="AK433" s="67">
        <v>17200.0</v>
      </c>
      <c r="AL433" s="63"/>
      <c r="AM433" s="63"/>
      <c r="AN433" s="64">
        <v>21.5</v>
      </c>
      <c r="AO433" s="64" t="s">
        <v>468</v>
      </c>
      <c r="AP433" s="63"/>
      <c r="AQ433" s="63"/>
      <c r="AR433" s="63"/>
      <c r="AS433" s="63"/>
      <c r="AT433" s="63"/>
      <c r="AU433" s="63"/>
      <c r="AV433" s="68"/>
      <c r="AW433" s="58" t="s">
        <v>512</v>
      </c>
      <c r="AX433" s="69">
        <v>17200.0</v>
      </c>
      <c r="AY433" s="70"/>
      <c r="AZ433" s="70"/>
      <c r="BA433" s="70"/>
      <c r="BB433" s="70"/>
      <c r="BC433" s="58" t="s">
        <v>469</v>
      </c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</row>
    <row r="434">
      <c r="A434" s="59">
        <v>45828.0</v>
      </c>
      <c r="B434" s="64" t="s">
        <v>451</v>
      </c>
      <c r="C434" s="61">
        <v>45828.0</v>
      </c>
      <c r="D434" s="61">
        <v>45828.0</v>
      </c>
      <c r="E434" s="60" t="s">
        <v>452</v>
      </c>
      <c r="F434" s="116" t="s">
        <v>1400</v>
      </c>
      <c r="G434" s="63"/>
      <c r="H434" s="64" t="s">
        <v>771</v>
      </c>
      <c r="I434" s="64" t="s">
        <v>772</v>
      </c>
      <c r="J434" s="64" t="s">
        <v>456</v>
      </c>
      <c r="K434" s="64" t="s">
        <v>456</v>
      </c>
      <c r="L434" s="66">
        <v>22.0</v>
      </c>
      <c r="M434" s="66">
        <v>22.0</v>
      </c>
      <c r="N434" s="66" t="s">
        <v>457</v>
      </c>
      <c r="O434" s="66">
        <v>24.0</v>
      </c>
      <c r="P434" s="75">
        <v>2.46E8</v>
      </c>
      <c r="Q434" s="64" t="s">
        <v>459</v>
      </c>
      <c r="R434" s="64" t="s">
        <v>459</v>
      </c>
      <c r="S434" s="64">
        <v>212.0</v>
      </c>
      <c r="T434" s="64">
        <v>2332.0</v>
      </c>
      <c r="U434" s="64">
        <v>212.0</v>
      </c>
      <c r="V434" s="64">
        <v>2332.0</v>
      </c>
      <c r="W434" s="64">
        <v>2332.0</v>
      </c>
      <c r="X434" s="65" t="s">
        <v>460</v>
      </c>
      <c r="Y434" s="64" t="s">
        <v>461</v>
      </c>
      <c r="Z434" s="64" t="s">
        <v>462</v>
      </c>
      <c r="AA434" s="64" t="s">
        <v>463</v>
      </c>
      <c r="AB434" s="64" t="s">
        <v>464</v>
      </c>
      <c r="AC434" s="60" t="s">
        <v>451</v>
      </c>
      <c r="AD434" s="64" t="s">
        <v>561</v>
      </c>
      <c r="AE434" s="64" t="s">
        <v>562</v>
      </c>
      <c r="AF434" s="64" t="s">
        <v>562</v>
      </c>
      <c r="AG434" s="64" t="s">
        <v>467</v>
      </c>
      <c r="AH434" s="64" t="s">
        <v>467</v>
      </c>
      <c r="AI434" s="60">
        <v>325.0</v>
      </c>
      <c r="AJ434" s="64">
        <v>21.5</v>
      </c>
      <c r="AK434" s="67">
        <v>6987.5</v>
      </c>
      <c r="AL434" s="63"/>
      <c r="AM434" s="63"/>
      <c r="AN434" s="64">
        <v>21.5</v>
      </c>
      <c r="AO434" s="64" t="s">
        <v>468</v>
      </c>
      <c r="AP434" s="63"/>
      <c r="AQ434" s="63"/>
      <c r="AR434" s="63"/>
      <c r="AS434" s="63"/>
      <c r="AT434" s="63"/>
      <c r="AU434" s="63"/>
      <c r="AV434" s="63"/>
      <c r="AW434" s="58" t="s">
        <v>512</v>
      </c>
      <c r="AX434" s="69">
        <v>6987.5</v>
      </c>
      <c r="AY434" s="70"/>
      <c r="AZ434" s="70"/>
      <c r="BA434" s="70"/>
      <c r="BB434" s="70"/>
      <c r="BC434" s="58" t="s">
        <v>469</v>
      </c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</row>
    <row r="435">
      <c r="A435" s="115">
        <v>45828.0</v>
      </c>
      <c r="B435" s="66" t="s">
        <v>451</v>
      </c>
      <c r="C435" s="61">
        <v>45828.0</v>
      </c>
      <c r="D435" s="61">
        <v>45828.0</v>
      </c>
      <c r="E435" s="60" t="s">
        <v>452</v>
      </c>
      <c r="F435" s="103" t="s">
        <v>1401</v>
      </c>
      <c r="G435" s="63"/>
      <c r="H435" s="64" t="s">
        <v>771</v>
      </c>
      <c r="I435" s="64" t="s">
        <v>775</v>
      </c>
      <c r="J435" s="64" t="s">
        <v>456</v>
      </c>
      <c r="K435" s="64" t="s">
        <v>456</v>
      </c>
      <c r="L435" s="66">
        <v>22.0</v>
      </c>
      <c r="M435" s="66">
        <v>22.0</v>
      </c>
      <c r="N435" s="66" t="s">
        <v>457</v>
      </c>
      <c r="O435" s="66">
        <v>24.0</v>
      </c>
      <c r="P435" s="64" t="s">
        <v>1402</v>
      </c>
      <c r="Q435" s="64" t="s">
        <v>459</v>
      </c>
      <c r="R435" s="64" t="s">
        <v>459</v>
      </c>
      <c r="S435" s="66">
        <v>198.0</v>
      </c>
      <c r="T435" s="64">
        <v>2178.0</v>
      </c>
      <c r="U435" s="66">
        <v>198.0</v>
      </c>
      <c r="V435" s="64">
        <v>2178.0</v>
      </c>
      <c r="W435" s="64">
        <v>2178.0</v>
      </c>
      <c r="X435" s="65" t="s">
        <v>460</v>
      </c>
      <c r="Y435" s="64" t="s">
        <v>461</v>
      </c>
      <c r="Z435" s="64" t="s">
        <v>462</v>
      </c>
      <c r="AA435" s="64" t="s">
        <v>463</v>
      </c>
      <c r="AB435" s="64" t="s">
        <v>464</v>
      </c>
      <c r="AC435" s="60" t="s">
        <v>451</v>
      </c>
      <c r="AD435" s="66" t="s">
        <v>566</v>
      </c>
      <c r="AE435" s="66" t="s">
        <v>567</v>
      </c>
      <c r="AF435" s="66" t="s">
        <v>567</v>
      </c>
      <c r="AG435" s="64" t="s">
        <v>467</v>
      </c>
      <c r="AH435" s="64" t="s">
        <v>467</v>
      </c>
      <c r="AI435" s="64">
        <v>475.0</v>
      </c>
      <c r="AJ435" s="66">
        <v>21.5</v>
      </c>
      <c r="AK435" s="67">
        <v>10212.5</v>
      </c>
      <c r="AL435" s="63"/>
      <c r="AM435" s="63"/>
      <c r="AN435" s="64">
        <v>21.5</v>
      </c>
      <c r="AO435" s="64" t="s">
        <v>468</v>
      </c>
      <c r="AP435" s="63"/>
      <c r="AQ435" s="63"/>
      <c r="AR435" s="63"/>
      <c r="AS435" s="63"/>
      <c r="AT435" s="63"/>
      <c r="AU435" s="63"/>
      <c r="AV435" s="63"/>
      <c r="AW435" s="58" t="s">
        <v>512</v>
      </c>
      <c r="AX435" s="69">
        <v>10212.5</v>
      </c>
      <c r="AY435" s="70"/>
      <c r="AZ435" s="70"/>
      <c r="BA435" s="70"/>
      <c r="BB435" s="70"/>
      <c r="BC435" s="58" t="s">
        <v>469</v>
      </c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</row>
    <row r="436">
      <c r="A436" s="59">
        <v>45828.0</v>
      </c>
      <c r="B436" s="64" t="s">
        <v>451</v>
      </c>
      <c r="C436" s="61">
        <v>45828.0</v>
      </c>
      <c r="D436" s="61">
        <v>45828.0</v>
      </c>
      <c r="E436" s="60" t="s">
        <v>452</v>
      </c>
      <c r="F436" s="116" t="s">
        <v>1403</v>
      </c>
      <c r="G436" s="63"/>
      <c r="H436" s="64" t="s">
        <v>492</v>
      </c>
      <c r="I436" s="64" t="s">
        <v>626</v>
      </c>
      <c r="J436" s="64" t="s">
        <v>456</v>
      </c>
      <c r="K436" s="64" t="s">
        <v>456</v>
      </c>
      <c r="L436" s="66">
        <v>22.0</v>
      </c>
      <c r="M436" s="66">
        <v>22.0</v>
      </c>
      <c r="N436" s="66" t="s">
        <v>457</v>
      </c>
      <c r="O436" s="66">
        <v>24.0</v>
      </c>
      <c r="P436" s="64" t="s">
        <v>1404</v>
      </c>
      <c r="Q436" s="64" t="s">
        <v>459</v>
      </c>
      <c r="R436" s="64" t="s">
        <v>459</v>
      </c>
      <c r="S436" s="64">
        <v>213.0</v>
      </c>
      <c r="T436" s="64">
        <v>2343.0</v>
      </c>
      <c r="U436" s="64">
        <v>213.0</v>
      </c>
      <c r="V436" s="64">
        <v>2343.0</v>
      </c>
      <c r="W436" s="64">
        <v>2343.0</v>
      </c>
      <c r="X436" s="65" t="s">
        <v>460</v>
      </c>
      <c r="Y436" s="64" t="s">
        <v>461</v>
      </c>
      <c r="Z436" s="64" t="s">
        <v>462</v>
      </c>
      <c r="AA436" s="64" t="s">
        <v>463</v>
      </c>
      <c r="AB436" s="64" t="s">
        <v>464</v>
      </c>
      <c r="AC436" s="60" t="s">
        <v>451</v>
      </c>
      <c r="AD436" s="64" t="s">
        <v>571</v>
      </c>
      <c r="AE436" s="64" t="s">
        <v>572</v>
      </c>
      <c r="AF436" s="64" t="s">
        <v>572</v>
      </c>
      <c r="AG436" s="64" t="s">
        <v>467</v>
      </c>
      <c r="AH436" s="64" t="s">
        <v>467</v>
      </c>
      <c r="AI436" s="66">
        <v>655.0</v>
      </c>
      <c r="AJ436" s="66">
        <v>21.5</v>
      </c>
      <c r="AK436" s="67">
        <v>14082.5</v>
      </c>
      <c r="AL436" s="63"/>
      <c r="AM436" s="63"/>
      <c r="AN436" s="64">
        <v>21.5</v>
      </c>
      <c r="AO436" s="64" t="s">
        <v>468</v>
      </c>
      <c r="AP436" s="63"/>
      <c r="AQ436" s="63"/>
      <c r="AR436" s="63"/>
      <c r="AS436" s="63"/>
      <c r="AT436" s="63"/>
      <c r="AU436" s="63"/>
      <c r="AV436" s="68"/>
      <c r="AW436" s="58" t="s">
        <v>512</v>
      </c>
      <c r="AX436" s="69">
        <v>14082.5</v>
      </c>
      <c r="AY436" s="70"/>
      <c r="AZ436" s="70"/>
      <c r="BA436" s="70"/>
      <c r="BB436" s="70"/>
      <c r="BC436" s="58" t="s">
        <v>469</v>
      </c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</row>
    <row r="437">
      <c r="A437" s="115">
        <v>45828.0</v>
      </c>
      <c r="B437" s="66" t="s">
        <v>451</v>
      </c>
      <c r="C437" s="61">
        <v>45828.0</v>
      </c>
      <c r="D437" s="61">
        <v>45828.0</v>
      </c>
      <c r="E437" s="60" t="s">
        <v>452</v>
      </c>
      <c r="F437" s="103" t="s">
        <v>1405</v>
      </c>
      <c r="G437" s="63"/>
      <c r="H437" s="64" t="s">
        <v>472</v>
      </c>
      <c r="I437" s="64" t="s">
        <v>632</v>
      </c>
      <c r="J437" s="64" t="s">
        <v>456</v>
      </c>
      <c r="K437" s="64" t="s">
        <v>456</v>
      </c>
      <c r="L437" s="66">
        <v>22.0</v>
      </c>
      <c r="M437" s="66">
        <v>22.0</v>
      </c>
      <c r="N437" s="66" t="s">
        <v>457</v>
      </c>
      <c r="O437" s="66">
        <v>24.0</v>
      </c>
      <c r="P437" s="75">
        <v>2.46E8</v>
      </c>
      <c r="Q437" s="64" t="s">
        <v>459</v>
      </c>
      <c r="R437" s="64" t="s">
        <v>459</v>
      </c>
      <c r="S437" s="66">
        <v>196.0</v>
      </c>
      <c r="T437" s="64">
        <v>2156.0</v>
      </c>
      <c r="U437" s="66">
        <v>196.0</v>
      </c>
      <c r="V437" s="64">
        <v>2156.0</v>
      </c>
      <c r="W437" s="64">
        <v>2156.0</v>
      </c>
      <c r="X437" s="65" t="s">
        <v>460</v>
      </c>
      <c r="Y437" s="64" t="s">
        <v>461</v>
      </c>
      <c r="Z437" s="64" t="s">
        <v>462</v>
      </c>
      <c r="AA437" s="64" t="s">
        <v>463</v>
      </c>
      <c r="AB437" s="64" t="s">
        <v>464</v>
      </c>
      <c r="AC437" s="60" t="s">
        <v>451</v>
      </c>
      <c r="AD437" s="66" t="s">
        <v>577</v>
      </c>
      <c r="AE437" s="124" t="s">
        <v>578</v>
      </c>
      <c r="AF437" s="124" t="s">
        <v>578</v>
      </c>
      <c r="AG437" s="64" t="s">
        <v>467</v>
      </c>
      <c r="AH437" s="64" t="s">
        <v>467</v>
      </c>
      <c r="AI437" s="66">
        <v>396.0</v>
      </c>
      <c r="AJ437" s="64">
        <v>21.5</v>
      </c>
      <c r="AK437" s="67">
        <v>8514.0</v>
      </c>
      <c r="AL437" s="63"/>
      <c r="AM437" s="63"/>
      <c r="AN437" s="64">
        <v>21.5</v>
      </c>
      <c r="AO437" s="64" t="s">
        <v>468</v>
      </c>
      <c r="AP437" s="63"/>
      <c r="AQ437" s="63"/>
      <c r="AR437" s="63"/>
      <c r="AS437" s="63"/>
      <c r="AT437" s="63"/>
      <c r="AU437" s="63"/>
      <c r="AV437" s="63"/>
      <c r="AW437" s="58" t="s">
        <v>512</v>
      </c>
      <c r="AX437" s="69">
        <v>8514.0</v>
      </c>
      <c r="AY437" s="70"/>
      <c r="AZ437" s="70"/>
      <c r="BA437" s="70"/>
      <c r="BB437" s="70"/>
      <c r="BC437" s="58" t="s">
        <v>469</v>
      </c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</row>
    <row r="438">
      <c r="A438" s="59">
        <v>45828.0</v>
      </c>
      <c r="B438" s="64" t="s">
        <v>451</v>
      </c>
      <c r="C438" s="61">
        <v>45828.0</v>
      </c>
      <c r="D438" s="61">
        <v>45828.0</v>
      </c>
      <c r="E438" s="60" t="s">
        <v>452</v>
      </c>
      <c r="F438" s="116" t="s">
        <v>1406</v>
      </c>
      <c r="G438" s="63"/>
      <c r="H438" s="64" t="s">
        <v>472</v>
      </c>
      <c r="I438" s="64" t="s">
        <v>891</v>
      </c>
      <c r="J438" s="64" t="s">
        <v>456</v>
      </c>
      <c r="K438" s="64" t="s">
        <v>456</v>
      </c>
      <c r="L438" s="66">
        <v>22.0</v>
      </c>
      <c r="M438" s="66">
        <v>22.0</v>
      </c>
      <c r="N438" s="66" t="s">
        <v>457</v>
      </c>
      <c r="O438" s="66">
        <v>24.0</v>
      </c>
      <c r="P438" s="75">
        <v>2.46E8</v>
      </c>
      <c r="Q438" s="64" t="s">
        <v>459</v>
      </c>
      <c r="R438" s="64" t="s">
        <v>459</v>
      </c>
      <c r="S438" s="64">
        <v>37.0</v>
      </c>
      <c r="T438" s="64">
        <v>407.0</v>
      </c>
      <c r="U438" s="64">
        <v>37.0</v>
      </c>
      <c r="V438" s="64">
        <v>407.0</v>
      </c>
      <c r="W438" s="64">
        <v>407.0</v>
      </c>
      <c r="X438" s="65" t="s">
        <v>460</v>
      </c>
      <c r="Y438" s="64" t="s">
        <v>461</v>
      </c>
      <c r="Z438" s="64" t="s">
        <v>462</v>
      </c>
      <c r="AA438" s="64" t="s">
        <v>463</v>
      </c>
      <c r="AB438" s="64" t="s">
        <v>464</v>
      </c>
      <c r="AC438" s="60" t="s">
        <v>451</v>
      </c>
      <c r="AD438" s="64" t="s">
        <v>634</v>
      </c>
      <c r="AE438" s="64" t="s">
        <v>617</v>
      </c>
      <c r="AF438" s="64" t="s">
        <v>617</v>
      </c>
      <c r="AG438" s="64" t="s">
        <v>467</v>
      </c>
      <c r="AH438" s="64" t="s">
        <v>467</v>
      </c>
      <c r="AI438" s="64">
        <v>330.0</v>
      </c>
      <c r="AJ438" s="64">
        <v>21.5</v>
      </c>
      <c r="AK438" s="67">
        <v>7095.0</v>
      </c>
      <c r="AL438" s="63"/>
      <c r="AM438" s="63"/>
      <c r="AN438" s="64">
        <v>21.5</v>
      </c>
      <c r="AO438" s="64" t="s">
        <v>468</v>
      </c>
      <c r="AP438" s="63"/>
      <c r="AQ438" s="63"/>
      <c r="AR438" s="63"/>
      <c r="AS438" s="63"/>
      <c r="AT438" s="63"/>
      <c r="AU438" s="63"/>
      <c r="AV438" s="63"/>
      <c r="AW438" s="58" t="s">
        <v>512</v>
      </c>
      <c r="AX438" s="69">
        <v>7095.0</v>
      </c>
      <c r="AY438" s="70"/>
      <c r="AZ438" s="70"/>
      <c r="BA438" s="70"/>
      <c r="BB438" s="70"/>
      <c r="BC438" s="58" t="s">
        <v>469</v>
      </c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  <c r="BN438" s="58"/>
      <c r="BO438" s="58"/>
      <c r="BP438" s="58"/>
      <c r="BQ438" s="58"/>
      <c r="BR438" s="58"/>
    </row>
    <row r="439">
      <c r="A439" s="115">
        <v>45828.0</v>
      </c>
      <c r="B439" s="66" t="s">
        <v>451</v>
      </c>
      <c r="C439" s="61">
        <v>45828.0</v>
      </c>
      <c r="D439" s="61">
        <v>45828.0</v>
      </c>
      <c r="E439" s="60" t="s">
        <v>452</v>
      </c>
      <c r="F439" s="103" t="s">
        <v>1407</v>
      </c>
      <c r="G439" s="63"/>
      <c r="H439" s="64" t="s">
        <v>472</v>
      </c>
      <c r="I439" s="64" t="s">
        <v>779</v>
      </c>
      <c r="J439" s="64" t="s">
        <v>456</v>
      </c>
      <c r="K439" s="64" t="s">
        <v>456</v>
      </c>
      <c r="L439" s="66">
        <v>22.0</v>
      </c>
      <c r="M439" s="66">
        <v>22.0</v>
      </c>
      <c r="N439" s="66" t="s">
        <v>457</v>
      </c>
      <c r="O439" s="66">
        <v>24.0</v>
      </c>
      <c r="P439" s="75">
        <v>2.46E8</v>
      </c>
      <c r="Q439" s="64" t="s">
        <v>459</v>
      </c>
      <c r="R439" s="64" t="s">
        <v>459</v>
      </c>
      <c r="S439" s="66">
        <v>129.0</v>
      </c>
      <c r="T439" s="64">
        <v>1419.0</v>
      </c>
      <c r="U439" s="66">
        <v>129.0</v>
      </c>
      <c r="V439" s="64">
        <v>1419.0</v>
      </c>
      <c r="W439" s="64">
        <v>1419.0</v>
      </c>
      <c r="X439" s="65" t="s">
        <v>460</v>
      </c>
      <c r="Y439" s="64" t="s">
        <v>461</v>
      </c>
      <c r="Z439" s="64" t="s">
        <v>462</v>
      </c>
      <c r="AA439" s="64" t="s">
        <v>463</v>
      </c>
      <c r="AB439" s="64" t="s">
        <v>464</v>
      </c>
      <c r="AC439" s="60" t="s">
        <v>451</v>
      </c>
      <c r="AD439" s="66" t="s">
        <v>638</v>
      </c>
      <c r="AE439" s="66" t="s">
        <v>531</v>
      </c>
      <c r="AF439" s="66" t="s">
        <v>531</v>
      </c>
      <c r="AG439" s="64" t="s">
        <v>467</v>
      </c>
      <c r="AH439" s="64" t="s">
        <v>467</v>
      </c>
      <c r="AI439" s="66">
        <v>510.0</v>
      </c>
      <c r="AJ439" s="66">
        <v>21.5</v>
      </c>
      <c r="AK439" s="67">
        <v>10965.0</v>
      </c>
      <c r="AL439" s="63"/>
      <c r="AM439" s="63"/>
      <c r="AN439" s="64">
        <v>21.5</v>
      </c>
      <c r="AO439" s="64" t="s">
        <v>468</v>
      </c>
      <c r="AP439" s="63"/>
      <c r="AQ439" s="63"/>
      <c r="AR439" s="63"/>
      <c r="AS439" s="63"/>
      <c r="AT439" s="63"/>
      <c r="AU439" s="63"/>
      <c r="AV439" s="68"/>
      <c r="AW439" s="58" t="s">
        <v>512</v>
      </c>
      <c r="AX439" s="69">
        <v>10965.0</v>
      </c>
      <c r="AY439" s="70"/>
      <c r="AZ439" s="70"/>
      <c r="BA439" s="70"/>
      <c r="BB439" s="70"/>
      <c r="BC439" s="58" t="s">
        <v>469</v>
      </c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8"/>
      <c r="BR439" s="58"/>
    </row>
    <row r="440">
      <c r="A440" s="115">
        <v>45829.0</v>
      </c>
      <c r="B440" s="66" t="s">
        <v>451</v>
      </c>
      <c r="C440" s="61">
        <v>45829.0</v>
      </c>
      <c r="D440" s="61">
        <v>45829.0</v>
      </c>
      <c r="E440" s="60" t="s">
        <v>452</v>
      </c>
      <c r="F440" s="103" t="s">
        <v>1408</v>
      </c>
      <c r="G440" s="63"/>
      <c r="H440" s="64" t="s">
        <v>454</v>
      </c>
      <c r="I440" s="64" t="s">
        <v>641</v>
      </c>
      <c r="J440" s="64" t="s">
        <v>456</v>
      </c>
      <c r="K440" s="64" t="s">
        <v>456</v>
      </c>
      <c r="L440" s="66">
        <v>22.0</v>
      </c>
      <c r="M440" s="66">
        <v>22.0</v>
      </c>
      <c r="N440" s="66" t="s">
        <v>457</v>
      </c>
      <c r="O440" s="66">
        <v>24.0</v>
      </c>
      <c r="P440" s="117" t="s">
        <v>459</v>
      </c>
      <c r="Q440" s="117" t="s">
        <v>459</v>
      </c>
      <c r="R440" s="117" t="s">
        <v>459</v>
      </c>
      <c r="S440" s="117">
        <v>338.0</v>
      </c>
      <c r="T440" s="64">
        <v>3718.0</v>
      </c>
      <c r="U440" s="117">
        <v>338.0</v>
      </c>
      <c r="V440" s="64">
        <v>3718.0</v>
      </c>
      <c r="W440" s="64">
        <v>3718.0</v>
      </c>
      <c r="X440" s="65" t="s">
        <v>460</v>
      </c>
      <c r="Y440" s="64" t="s">
        <v>461</v>
      </c>
      <c r="Z440" s="64" t="s">
        <v>462</v>
      </c>
      <c r="AA440" s="64" t="s">
        <v>463</v>
      </c>
      <c r="AB440" s="64" t="s">
        <v>464</v>
      </c>
      <c r="AC440" s="60" t="s">
        <v>451</v>
      </c>
      <c r="AD440" s="64" t="s">
        <v>465</v>
      </c>
      <c r="AE440" s="64" t="s">
        <v>579</v>
      </c>
      <c r="AF440" s="64" t="s">
        <v>579</v>
      </c>
      <c r="AG440" s="64" t="s">
        <v>467</v>
      </c>
      <c r="AH440" s="64" t="s">
        <v>467</v>
      </c>
      <c r="AI440" s="66">
        <v>735.0</v>
      </c>
      <c r="AJ440" s="66">
        <v>21.5</v>
      </c>
      <c r="AK440" s="67">
        <v>15802.5</v>
      </c>
      <c r="AL440" s="63"/>
      <c r="AM440" s="63"/>
      <c r="AN440" s="64">
        <v>21.5</v>
      </c>
      <c r="AO440" s="60" t="s">
        <v>468</v>
      </c>
      <c r="AP440" s="63"/>
      <c r="AQ440" s="63"/>
      <c r="AR440" s="63"/>
      <c r="AS440" s="63"/>
      <c r="AT440" s="63"/>
      <c r="AU440" s="63"/>
      <c r="AV440" s="68"/>
      <c r="AW440" s="58" t="s">
        <v>512</v>
      </c>
      <c r="AX440" s="69">
        <v>15802.5</v>
      </c>
      <c r="AY440" s="70"/>
      <c r="AZ440" s="70"/>
      <c r="BA440" s="70"/>
      <c r="BB440" s="70"/>
      <c r="BC440" s="58" t="s">
        <v>469</v>
      </c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</row>
    <row r="441">
      <c r="A441" s="115">
        <v>45829.0</v>
      </c>
      <c r="B441" s="66" t="s">
        <v>451</v>
      </c>
      <c r="C441" s="61">
        <v>45829.0</v>
      </c>
      <c r="D441" s="61">
        <v>45829.0</v>
      </c>
      <c r="E441" s="60" t="s">
        <v>452</v>
      </c>
      <c r="F441" s="125" t="s">
        <v>1409</v>
      </c>
      <c r="G441" s="63"/>
      <c r="H441" s="64" t="s">
        <v>472</v>
      </c>
      <c r="I441" s="64" t="s">
        <v>473</v>
      </c>
      <c r="J441" s="64" t="s">
        <v>456</v>
      </c>
      <c r="K441" s="64" t="s">
        <v>456</v>
      </c>
      <c r="L441" s="66">
        <v>22.0</v>
      </c>
      <c r="M441" s="66">
        <v>22.0</v>
      </c>
      <c r="N441" s="66" t="s">
        <v>457</v>
      </c>
      <c r="O441" s="66">
        <v>24.0</v>
      </c>
      <c r="P441" s="118" t="s">
        <v>1410</v>
      </c>
      <c r="Q441" s="118" t="s">
        <v>459</v>
      </c>
      <c r="R441" s="118" t="s">
        <v>459</v>
      </c>
      <c r="S441" s="118">
        <v>185.0</v>
      </c>
      <c r="T441" s="64">
        <v>2035.0</v>
      </c>
      <c r="U441" s="118">
        <v>185.0</v>
      </c>
      <c r="V441" s="64">
        <v>2035.0</v>
      </c>
      <c r="W441" s="64">
        <v>2035.0</v>
      </c>
      <c r="X441" s="65" t="s">
        <v>460</v>
      </c>
      <c r="Y441" s="64" t="s">
        <v>461</v>
      </c>
      <c r="Z441" s="64" t="s">
        <v>462</v>
      </c>
      <c r="AA441" s="64" t="s">
        <v>463</v>
      </c>
      <c r="AB441" s="64" t="s">
        <v>464</v>
      </c>
      <c r="AC441" s="60" t="s">
        <v>451</v>
      </c>
      <c r="AD441" s="60" t="s">
        <v>475</v>
      </c>
      <c r="AE441" s="64" t="s">
        <v>476</v>
      </c>
      <c r="AF441" s="64" t="s">
        <v>476</v>
      </c>
      <c r="AG441" s="64" t="s">
        <v>467</v>
      </c>
      <c r="AH441" s="64" t="s">
        <v>467</v>
      </c>
      <c r="AI441" s="64">
        <v>650.0</v>
      </c>
      <c r="AJ441" s="66">
        <v>21.5</v>
      </c>
      <c r="AK441" s="67">
        <v>13975.0</v>
      </c>
      <c r="AL441" s="63"/>
      <c r="AM441" s="63"/>
      <c r="AN441" s="64">
        <v>21.5</v>
      </c>
      <c r="AO441" s="64" t="s">
        <v>468</v>
      </c>
      <c r="AP441" s="63"/>
      <c r="AQ441" s="63"/>
      <c r="AR441" s="63"/>
      <c r="AS441" s="63"/>
      <c r="AT441" s="63"/>
      <c r="AU441" s="63"/>
      <c r="AV441" s="63"/>
      <c r="AW441" s="58" t="s">
        <v>512</v>
      </c>
      <c r="AX441" s="69">
        <v>13975.0</v>
      </c>
      <c r="AY441" s="70"/>
      <c r="AZ441" s="70"/>
      <c r="BA441" s="70"/>
      <c r="BB441" s="70"/>
      <c r="BC441" s="58" t="s">
        <v>469</v>
      </c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8"/>
      <c r="BR441" s="58"/>
    </row>
    <row r="442">
      <c r="A442" s="59">
        <v>45829.0</v>
      </c>
      <c r="B442" s="64" t="s">
        <v>451</v>
      </c>
      <c r="C442" s="61">
        <v>45829.0</v>
      </c>
      <c r="D442" s="61">
        <v>45829.0</v>
      </c>
      <c r="E442" s="60" t="s">
        <v>452</v>
      </c>
      <c r="F442" s="116" t="s">
        <v>1411</v>
      </c>
      <c r="G442" s="63"/>
      <c r="H442" s="64" t="s">
        <v>472</v>
      </c>
      <c r="I442" s="64" t="s">
        <v>590</v>
      </c>
      <c r="J442" s="64" t="s">
        <v>456</v>
      </c>
      <c r="K442" s="64" t="s">
        <v>456</v>
      </c>
      <c r="L442" s="66">
        <v>22.0</v>
      </c>
      <c r="M442" s="66">
        <v>22.0</v>
      </c>
      <c r="N442" s="66" t="s">
        <v>457</v>
      </c>
      <c r="O442" s="66">
        <v>24.0</v>
      </c>
      <c r="P442" s="118" t="s">
        <v>1412</v>
      </c>
      <c r="Q442" s="118" t="s">
        <v>459</v>
      </c>
      <c r="R442" s="118" t="s">
        <v>459</v>
      </c>
      <c r="S442" s="118">
        <v>245.0</v>
      </c>
      <c r="T442" s="64">
        <v>2695.0</v>
      </c>
      <c r="U442" s="118">
        <v>245.0</v>
      </c>
      <c r="V442" s="64">
        <v>2695.0</v>
      </c>
      <c r="W442" s="64">
        <v>2695.0</v>
      </c>
      <c r="X442" s="65" t="s">
        <v>460</v>
      </c>
      <c r="Y442" s="64" t="s">
        <v>461</v>
      </c>
      <c r="Z442" s="64" t="s">
        <v>462</v>
      </c>
      <c r="AA442" s="64" t="s">
        <v>463</v>
      </c>
      <c r="AB442" s="64" t="s">
        <v>464</v>
      </c>
      <c r="AC442" s="60" t="s">
        <v>451</v>
      </c>
      <c r="AD442" s="64" t="s">
        <v>481</v>
      </c>
      <c r="AE442" s="64" t="s">
        <v>482</v>
      </c>
      <c r="AF442" s="64" t="s">
        <v>482</v>
      </c>
      <c r="AG442" s="64" t="s">
        <v>467</v>
      </c>
      <c r="AH442" s="64" t="s">
        <v>467</v>
      </c>
      <c r="AI442" s="64">
        <v>655.0</v>
      </c>
      <c r="AJ442" s="64">
        <v>21.5</v>
      </c>
      <c r="AK442" s="67">
        <v>14082.5</v>
      </c>
      <c r="AL442" s="63"/>
      <c r="AM442" s="63"/>
      <c r="AN442" s="64">
        <v>21.5</v>
      </c>
      <c r="AO442" s="64" t="s">
        <v>468</v>
      </c>
      <c r="AP442" s="63"/>
      <c r="AQ442" s="63"/>
      <c r="AR442" s="63"/>
      <c r="AS442" s="63"/>
      <c r="AT442" s="63"/>
      <c r="AU442" s="63"/>
      <c r="AV442" s="68"/>
      <c r="AW442" s="58" t="s">
        <v>512</v>
      </c>
      <c r="AX442" s="69">
        <v>14082.5</v>
      </c>
      <c r="AY442" s="70"/>
      <c r="AZ442" s="70"/>
      <c r="BA442" s="70"/>
      <c r="BB442" s="70"/>
      <c r="BC442" s="58" t="s">
        <v>469</v>
      </c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  <c r="BQ442" s="58"/>
      <c r="BR442" s="58"/>
    </row>
    <row r="443">
      <c r="A443" s="115">
        <v>45829.0</v>
      </c>
      <c r="B443" s="66" t="s">
        <v>451</v>
      </c>
      <c r="C443" s="61">
        <v>45829.0</v>
      </c>
      <c r="D443" s="61">
        <v>45829.0</v>
      </c>
      <c r="E443" s="60" t="s">
        <v>452</v>
      </c>
      <c r="F443" s="108" t="s">
        <v>1413</v>
      </c>
      <c r="G443" s="63"/>
      <c r="H443" s="64" t="s">
        <v>521</v>
      </c>
      <c r="I443" s="64" t="s">
        <v>713</v>
      </c>
      <c r="J443" s="64" t="s">
        <v>486</v>
      </c>
      <c r="K443" s="64" t="s">
        <v>486</v>
      </c>
      <c r="L443" s="66">
        <v>22.0</v>
      </c>
      <c r="M443" s="66">
        <v>22.0</v>
      </c>
      <c r="N443" s="66" t="s">
        <v>457</v>
      </c>
      <c r="O443" s="66">
        <v>24.0</v>
      </c>
      <c r="P443" s="117" t="s">
        <v>1414</v>
      </c>
      <c r="Q443" s="117" t="s">
        <v>459</v>
      </c>
      <c r="R443" s="117" t="s">
        <v>459</v>
      </c>
      <c r="S443" s="117">
        <v>239.0</v>
      </c>
      <c r="T443" s="64">
        <v>2629.0</v>
      </c>
      <c r="U443" s="117">
        <v>239.0</v>
      </c>
      <c r="V443" s="64">
        <v>2629.0</v>
      </c>
      <c r="W443" s="64">
        <v>2629.0</v>
      </c>
      <c r="X443" s="65" t="s">
        <v>460</v>
      </c>
      <c r="Y443" s="64" t="s">
        <v>461</v>
      </c>
      <c r="Z443" s="64" t="s">
        <v>462</v>
      </c>
      <c r="AA443" s="64" t="s">
        <v>463</v>
      </c>
      <c r="AB443" s="64" t="s">
        <v>464</v>
      </c>
      <c r="AC443" s="60" t="s">
        <v>451</v>
      </c>
      <c r="AD443" s="60" t="s">
        <v>651</v>
      </c>
      <c r="AE443" s="64" t="s">
        <v>652</v>
      </c>
      <c r="AF443" s="64" t="s">
        <v>652</v>
      </c>
      <c r="AG443" s="64" t="s">
        <v>467</v>
      </c>
      <c r="AH443" s="64" t="s">
        <v>467</v>
      </c>
      <c r="AI443" s="64">
        <v>655.0</v>
      </c>
      <c r="AJ443" s="64">
        <v>23.5</v>
      </c>
      <c r="AK443" s="67">
        <v>15392.5</v>
      </c>
      <c r="AL443" s="63"/>
      <c r="AM443" s="63"/>
      <c r="AN443" s="64">
        <v>23.5</v>
      </c>
      <c r="AO443" s="64" t="s">
        <v>468</v>
      </c>
      <c r="AP443" s="63"/>
      <c r="AQ443" s="63"/>
      <c r="AR443" s="63"/>
      <c r="AS443" s="63"/>
      <c r="AT443" s="63"/>
      <c r="AU443" s="63"/>
      <c r="AV443" s="63"/>
      <c r="AW443" s="58" t="s">
        <v>512</v>
      </c>
      <c r="AX443" s="69">
        <v>15392.5</v>
      </c>
      <c r="AY443" s="70"/>
      <c r="AZ443" s="70"/>
      <c r="BA443" s="70"/>
      <c r="BB443" s="70"/>
      <c r="BC443" s="58" t="s">
        <v>469</v>
      </c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/>
    </row>
    <row r="444">
      <c r="A444" s="59">
        <v>45829.0</v>
      </c>
      <c r="B444" s="64" t="s">
        <v>451</v>
      </c>
      <c r="C444" s="61">
        <v>45829.0</v>
      </c>
      <c r="D444" s="61">
        <v>45829.0</v>
      </c>
      <c r="E444" s="60" t="s">
        <v>452</v>
      </c>
      <c r="F444" s="116" t="s">
        <v>1415</v>
      </c>
      <c r="G444" s="63"/>
      <c r="H444" s="64" t="s">
        <v>492</v>
      </c>
      <c r="I444" s="64" t="s">
        <v>793</v>
      </c>
      <c r="J444" s="64" t="s">
        <v>456</v>
      </c>
      <c r="K444" s="64" t="s">
        <v>456</v>
      </c>
      <c r="L444" s="66">
        <v>22.0</v>
      </c>
      <c r="M444" s="66">
        <v>22.0</v>
      </c>
      <c r="N444" s="66" t="s">
        <v>457</v>
      </c>
      <c r="O444" s="66">
        <v>24.0</v>
      </c>
      <c r="P444" s="118" t="s">
        <v>1416</v>
      </c>
      <c r="Q444" s="118" t="s">
        <v>459</v>
      </c>
      <c r="R444" s="118" t="s">
        <v>459</v>
      </c>
      <c r="S444" s="118">
        <v>447.0</v>
      </c>
      <c r="T444" s="64">
        <v>4917.0</v>
      </c>
      <c r="U444" s="118">
        <v>447.0</v>
      </c>
      <c r="V444" s="64">
        <v>4917.0</v>
      </c>
      <c r="W444" s="64">
        <v>4917.0</v>
      </c>
      <c r="X444" s="65" t="s">
        <v>460</v>
      </c>
      <c r="Y444" s="64" t="s">
        <v>461</v>
      </c>
      <c r="Z444" s="64" t="s">
        <v>462</v>
      </c>
      <c r="AA444" s="64" t="s">
        <v>463</v>
      </c>
      <c r="AB444" s="64" t="s">
        <v>464</v>
      </c>
      <c r="AC444" s="60" t="s">
        <v>451</v>
      </c>
      <c r="AD444" s="64" t="s">
        <v>495</v>
      </c>
      <c r="AE444" s="64" t="s">
        <v>496</v>
      </c>
      <c r="AF444" s="64" t="s">
        <v>496</v>
      </c>
      <c r="AG444" s="64" t="s">
        <v>467</v>
      </c>
      <c r="AH444" s="64" t="s">
        <v>467</v>
      </c>
      <c r="AI444" s="64">
        <v>570.0</v>
      </c>
      <c r="AJ444" s="64">
        <v>23.5</v>
      </c>
      <c r="AK444" s="67">
        <v>13395.0</v>
      </c>
      <c r="AL444" s="63"/>
      <c r="AM444" s="63"/>
      <c r="AN444" s="64">
        <v>23.5</v>
      </c>
      <c r="AO444" s="64" t="s">
        <v>468</v>
      </c>
      <c r="AP444" s="63"/>
      <c r="AQ444" s="63"/>
      <c r="AR444" s="63"/>
      <c r="AS444" s="63"/>
      <c r="AT444" s="63"/>
      <c r="AU444" s="63"/>
      <c r="AV444" s="63"/>
      <c r="AW444" s="58" t="s">
        <v>512</v>
      </c>
      <c r="AX444" s="69">
        <v>13395.0</v>
      </c>
      <c r="AY444" s="70"/>
      <c r="AZ444" s="70"/>
      <c r="BA444" s="70"/>
      <c r="BB444" s="70"/>
      <c r="BC444" s="58" t="s">
        <v>469</v>
      </c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8"/>
      <c r="BR444" s="58"/>
    </row>
    <row r="445">
      <c r="A445" s="115">
        <v>45829.0</v>
      </c>
      <c r="B445" s="66" t="s">
        <v>451</v>
      </c>
      <c r="C445" s="61">
        <v>45829.0</v>
      </c>
      <c r="D445" s="61">
        <v>45829.0</v>
      </c>
      <c r="E445" s="60" t="s">
        <v>452</v>
      </c>
      <c r="F445" s="116" t="s">
        <v>1417</v>
      </c>
      <c r="G445" s="63"/>
      <c r="H445" s="64" t="s">
        <v>1218</v>
      </c>
      <c r="I445" s="64" t="s">
        <v>1270</v>
      </c>
      <c r="J445" s="64" t="s">
        <v>456</v>
      </c>
      <c r="K445" s="64" t="s">
        <v>456</v>
      </c>
      <c r="L445" s="66">
        <v>22.0</v>
      </c>
      <c r="M445" s="66">
        <v>22.0</v>
      </c>
      <c r="N445" s="66" t="s">
        <v>457</v>
      </c>
      <c r="O445" s="66">
        <v>24.0</v>
      </c>
      <c r="P445" s="118" t="s">
        <v>1418</v>
      </c>
      <c r="Q445" s="118" t="s">
        <v>459</v>
      </c>
      <c r="R445" s="118" t="s">
        <v>459</v>
      </c>
      <c r="S445" s="118">
        <v>217.0</v>
      </c>
      <c r="T445" s="64">
        <v>2387.0</v>
      </c>
      <c r="U445" s="118">
        <v>217.0</v>
      </c>
      <c r="V445" s="64">
        <v>2387.0</v>
      </c>
      <c r="W445" s="64">
        <v>2387.0</v>
      </c>
      <c r="X445" s="65" t="s">
        <v>460</v>
      </c>
      <c r="Y445" s="64" t="s">
        <v>461</v>
      </c>
      <c r="Z445" s="64" t="s">
        <v>462</v>
      </c>
      <c r="AA445" s="64" t="s">
        <v>463</v>
      </c>
      <c r="AB445" s="64" t="s">
        <v>464</v>
      </c>
      <c r="AC445" s="60" t="s">
        <v>451</v>
      </c>
      <c r="AD445" s="64" t="s">
        <v>501</v>
      </c>
      <c r="AE445" s="64" t="s">
        <v>502</v>
      </c>
      <c r="AF445" s="64" t="s">
        <v>502</v>
      </c>
      <c r="AG445" s="64" t="s">
        <v>467</v>
      </c>
      <c r="AH445" s="64" t="s">
        <v>467</v>
      </c>
      <c r="AI445" s="64">
        <v>380.0</v>
      </c>
      <c r="AJ445" s="64">
        <v>21.5</v>
      </c>
      <c r="AK445" s="67">
        <v>8170.0</v>
      </c>
      <c r="AL445" s="63"/>
      <c r="AM445" s="63"/>
      <c r="AN445" s="64">
        <v>21.5</v>
      </c>
      <c r="AO445" s="64" t="s">
        <v>468</v>
      </c>
      <c r="AP445" s="63"/>
      <c r="AQ445" s="63"/>
      <c r="AR445" s="63"/>
      <c r="AS445" s="63"/>
      <c r="AT445" s="63"/>
      <c r="AU445" s="63"/>
      <c r="AV445" s="68"/>
      <c r="AW445" s="58" t="s">
        <v>512</v>
      </c>
      <c r="AX445" s="69">
        <v>8170.0</v>
      </c>
      <c r="AY445" s="70"/>
      <c r="AZ445" s="70"/>
      <c r="BA445" s="70"/>
      <c r="BB445" s="70"/>
      <c r="BC445" s="58" t="s">
        <v>469</v>
      </c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8"/>
      <c r="BR445" s="58"/>
    </row>
    <row r="446">
      <c r="A446" s="59">
        <v>45829.0</v>
      </c>
      <c r="B446" s="64" t="s">
        <v>451</v>
      </c>
      <c r="C446" s="61">
        <v>45829.0</v>
      </c>
      <c r="D446" s="61">
        <v>45829.0</v>
      </c>
      <c r="E446" s="60" t="s">
        <v>452</v>
      </c>
      <c r="F446" s="116" t="s">
        <v>1419</v>
      </c>
      <c r="G446" s="63"/>
      <c r="H446" s="64" t="s">
        <v>504</v>
      </c>
      <c r="I446" s="64" t="s">
        <v>505</v>
      </c>
      <c r="J446" s="64" t="s">
        <v>456</v>
      </c>
      <c r="K446" s="64" t="s">
        <v>456</v>
      </c>
      <c r="L446" s="66">
        <v>22.0</v>
      </c>
      <c r="M446" s="66">
        <v>22.0</v>
      </c>
      <c r="N446" s="66" t="s">
        <v>457</v>
      </c>
      <c r="O446" s="66">
        <v>24.0</v>
      </c>
      <c r="P446" s="118" t="s">
        <v>1420</v>
      </c>
      <c r="Q446" s="118" t="s">
        <v>459</v>
      </c>
      <c r="R446" s="118" t="s">
        <v>459</v>
      </c>
      <c r="S446" s="118">
        <v>180.0</v>
      </c>
      <c r="T446" s="64">
        <v>1980.0</v>
      </c>
      <c r="U446" s="118">
        <v>180.0</v>
      </c>
      <c r="V446" s="64">
        <v>1980.0</v>
      </c>
      <c r="W446" s="64">
        <v>1980.0</v>
      </c>
      <c r="X446" s="65" t="s">
        <v>460</v>
      </c>
      <c r="Y446" s="64" t="s">
        <v>461</v>
      </c>
      <c r="Z446" s="64" t="s">
        <v>462</v>
      </c>
      <c r="AA446" s="64" t="s">
        <v>463</v>
      </c>
      <c r="AB446" s="64" t="s">
        <v>464</v>
      </c>
      <c r="AC446" s="60" t="s">
        <v>451</v>
      </c>
      <c r="AD446" s="66" t="s">
        <v>507</v>
      </c>
      <c r="AE446" s="64" t="s">
        <v>508</v>
      </c>
      <c r="AF446" s="64" t="s">
        <v>508</v>
      </c>
      <c r="AG446" s="64" t="s">
        <v>467</v>
      </c>
      <c r="AH446" s="64" t="s">
        <v>467</v>
      </c>
      <c r="AI446" s="66">
        <v>790.0</v>
      </c>
      <c r="AJ446" s="66">
        <v>21.5</v>
      </c>
      <c r="AK446" s="67">
        <v>16985.0</v>
      </c>
      <c r="AL446" s="63"/>
      <c r="AM446" s="63"/>
      <c r="AN446" s="64">
        <v>21.5</v>
      </c>
      <c r="AO446" s="64" t="s">
        <v>468</v>
      </c>
      <c r="AP446" s="63"/>
      <c r="AQ446" s="63"/>
      <c r="AR446" s="63"/>
      <c r="AS446" s="73">
        <v>0.5</v>
      </c>
      <c r="AT446" s="64">
        <v>8492.5</v>
      </c>
      <c r="AU446" s="60" t="s">
        <v>510</v>
      </c>
      <c r="AV446" s="74" t="s">
        <v>511</v>
      </c>
      <c r="AW446" s="58" t="s">
        <v>512</v>
      </c>
      <c r="AX446" s="69">
        <v>8492.5</v>
      </c>
      <c r="AY446" s="70"/>
      <c r="AZ446" s="70"/>
      <c r="BA446" s="69">
        <v>8492.5</v>
      </c>
      <c r="BB446" s="70"/>
      <c r="BC446" s="58" t="s">
        <v>469</v>
      </c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8"/>
      <c r="BR446" s="58"/>
    </row>
    <row r="447">
      <c r="A447" s="115">
        <v>45829.0</v>
      </c>
      <c r="B447" s="66" t="s">
        <v>451</v>
      </c>
      <c r="C447" s="61">
        <v>45829.0</v>
      </c>
      <c r="D447" s="61">
        <v>45829.0</v>
      </c>
      <c r="E447" s="60" t="s">
        <v>452</v>
      </c>
      <c r="F447" s="103" t="s">
        <v>1421</v>
      </c>
      <c r="G447" s="63"/>
      <c r="H447" s="64" t="s">
        <v>504</v>
      </c>
      <c r="I447" s="64" t="s">
        <v>515</v>
      </c>
      <c r="J447" s="64" t="s">
        <v>456</v>
      </c>
      <c r="K447" s="64" t="s">
        <v>456</v>
      </c>
      <c r="L447" s="66">
        <v>22.0</v>
      </c>
      <c r="M447" s="66">
        <v>22.0</v>
      </c>
      <c r="N447" s="66" t="s">
        <v>457</v>
      </c>
      <c r="O447" s="66">
        <v>24.0</v>
      </c>
      <c r="P447" s="117" t="s">
        <v>1422</v>
      </c>
      <c r="Q447" s="117" t="s">
        <v>459</v>
      </c>
      <c r="R447" s="117" t="s">
        <v>459</v>
      </c>
      <c r="S447" s="117">
        <v>149.0</v>
      </c>
      <c r="T447" s="64">
        <v>1639.0</v>
      </c>
      <c r="U447" s="117">
        <v>149.0</v>
      </c>
      <c r="V447" s="64">
        <v>1639.0</v>
      </c>
      <c r="W447" s="64">
        <v>1639.0</v>
      </c>
      <c r="X447" s="65" t="s">
        <v>460</v>
      </c>
      <c r="Y447" s="64" t="s">
        <v>461</v>
      </c>
      <c r="Z447" s="64" t="s">
        <v>462</v>
      </c>
      <c r="AA447" s="64" t="s">
        <v>463</v>
      </c>
      <c r="AB447" s="64" t="s">
        <v>464</v>
      </c>
      <c r="AC447" s="60" t="s">
        <v>451</v>
      </c>
      <c r="AD447" s="64" t="s">
        <v>517</v>
      </c>
      <c r="AE447" s="64" t="s">
        <v>518</v>
      </c>
      <c r="AF447" s="64" t="s">
        <v>518</v>
      </c>
      <c r="AG447" s="64" t="s">
        <v>467</v>
      </c>
      <c r="AH447" s="64" t="s">
        <v>467</v>
      </c>
      <c r="AI447" s="64">
        <v>815.0</v>
      </c>
      <c r="AJ447" s="64">
        <v>21.5</v>
      </c>
      <c r="AK447" s="67">
        <v>17522.5</v>
      </c>
      <c r="AL447" s="63"/>
      <c r="AM447" s="63"/>
      <c r="AN447" s="64">
        <v>21.5</v>
      </c>
      <c r="AO447" s="64" t="s">
        <v>468</v>
      </c>
      <c r="AP447" s="63"/>
      <c r="AQ447" s="63"/>
      <c r="AR447" s="63"/>
      <c r="AS447" s="63"/>
      <c r="AT447" s="63"/>
      <c r="AU447" s="63"/>
      <c r="AV447" s="68"/>
      <c r="AW447" s="58" t="s">
        <v>512</v>
      </c>
      <c r="AX447" s="69">
        <v>17522.5</v>
      </c>
      <c r="AY447" s="70"/>
      <c r="AZ447" s="70"/>
      <c r="BA447" s="70"/>
      <c r="BB447" s="70"/>
      <c r="BC447" s="58" t="s">
        <v>469</v>
      </c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8"/>
      <c r="BR447" s="58"/>
    </row>
    <row r="448">
      <c r="A448" s="59">
        <v>45829.0</v>
      </c>
      <c r="B448" s="64" t="s">
        <v>451</v>
      </c>
      <c r="C448" s="61">
        <v>45829.0</v>
      </c>
      <c r="D448" s="61">
        <v>45829.0</v>
      </c>
      <c r="E448" s="60" t="s">
        <v>452</v>
      </c>
      <c r="F448" s="116" t="s">
        <v>1423</v>
      </c>
      <c r="G448" s="63"/>
      <c r="H448" s="64" t="s">
        <v>521</v>
      </c>
      <c r="I448" s="64" t="s">
        <v>555</v>
      </c>
      <c r="J448" s="64" t="s">
        <v>456</v>
      </c>
      <c r="K448" s="64" t="s">
        <v>456</v>
      </c>
      <c r="L448" s="66">
        <v>22.0</v>
      </c>
      <c r="M448" s="66">
        <v>22.0</v>
      </c>
      <c r="N448" s="66" t="s">
        <v>457</v>
      </c>
      <c r="O448" s="66">
        <v>24.0</v>
      </c>
      <c r="P448" s="119">
        <v>2.46E8</v>
      </c>
      <c r="Q448" s="118" t="s">
        <v>459</v>
      </c>
      <c r="R448" s="118" t="s">
        <v>459</v>
      </c>
      <c r="S448" s="118">
        <v>216.0</v>
      </c>
      <c r="T448" s="64">
        <v>2376.0</v>
      </c>
      <c r="U448" s="118">
        <v>216.0</v>
      </c>
      <c r="V448" s="64">
        <v>2376.0</v>
      </c>
      <c r="W448" s="64">
        <v>2376.0</v>
      </c>
      <c r="X448" s="65" t="s">
        <v>460</v>
      </c>
      <c r="Y448" s="64" t="s">
        <v>461</v>
      </c>
      <c r="Z448" s="64" t="s">
        <v>462</v>
      </c>
      <c r="AA448" s="64" t="s">
        <v>463</v>
      </c>
      <c r="AB448" s="64" t="s">
        <v>464</v>
      </c>
      <c r="AC448" s="60" t="s">
        <v>451</v>
      </c>
      <c r="AD448" s="66" t="s">
        <v>524</v>
      </c>
      <c r="AE448" s="64" t="s">
        <v>483</v>
      </c>
      <c r="AF448" s="64" t="s">
        <v>483</v>
      </c>
      <c r="AG448" s="64" t="s">
        <v>467</v>
      </c>
      <c r="AH448" s="64" t="s">
        <v>467</v>
      </c>
      <c r="AI448" s="66">
        <v>600.0</v>
      </c>
      <c r="AJ448" s="66">
        <v>21.5</v>
      </c>
      <c r="AK448" s="67">
        <v>12900.0</v>
      </c>
      <c r="AL448" s="63"/>
      <c r="AM448" s="63"/>
      <c r="AN448" s="64">
        <v>21.5</v>
      </c>
      <c r="AO448" s="64" t="s">
        <v>468</v>
      </c>
      <c r="AP448" s="63"/>
      <c r="AQ448" s="63"/>
      <c r="AR448" s="63"/>
      <c r="AS448" s="63"/>
      <c r="AT448" s="63"/>
      <c r="AU448" s="63"/>
      <c r="AV448" s="68"/>
      <c r="AW448" s="58" t="s">
        <v>512</v>
      </c>
      <c r="AX448" s="69">
        <v>12900.0</v>
      </c>
      <c r="AY448" s="70"/>
      <c r="AZ448" s="70"/>
      <c r="BA448" s="70"/>
      <c r="BB448" s="70"/>
      <c r="BC448" s="58" t="s">
        <v>469</v>
      </c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</row>
    <row r="449">
      <c r="A449" s="115">
        <v>45829.0</v>
      </c>
      <c r="B449" s="66" t="s">
        <v>451</v>
      </c>
      <c r="C449" s="61">
        <v>45829.0</v>
      </c>
      <c r="D449" s="61">
        <v>45829.0</v>
      </c>
      <c r="E449" s="60" t="s">
        <v>452</v>
      </c>
      <c r="F449" s="108" t="s">
        <v>1424</v>
      </c>
      <c r="G449" s="63"/>
      <c r="H449" s="64" t="s">
        <v>492</v>
      </c>
      <c r="I449" s="64" t="s">
        <v>527</v>
      </c>
      <c r="J449" s="64" t="s">
        <v>456</v>
      </c>
      <c r="K449" s="64" t="s">
        <v>456</v>
      </c>
      <c r="L449" s="66">
        <v>22.0</v>
      </c>
      <c r="M449" s="66">
        <v>22.0</v>
      </c>
      <c r="N449" s="66" t="s">
        <v>457</v>
      </c>
      <c r="O449" s="66">
        <v>24.0</v>
      </c>
      <c r="P449" s="122">
        <v>2.46E8</v>
      </c>
      <c r="Q449" s="117" t="s">
        <v>459</v>
      </c>
      <c r="R449" s="117" t="s">
        <v>459</v>
      </c>
      <c r="S449" s="117">
        <v>80.0</v>
      </c>
      <c r="T449" s="64">
        <v>880.0</v>
      </c>
      <c r="U449" s="117">
        <v>80.0</v>
      </c>
      <c r="V449" s="64">
        <v>880.0</v>
      </c>
      <c r="W449" s="64">
        <v>880.0</v>
      </c>
      <c r="X449" s="65" t="s">
        <v>460</v>
      </c>
      <c r="Y449" s="64" t="s">
        <v>461</v>
      </c>
      <c r="Z449" s="64" t="s">
        <v>462</v>
      </c>
      <c r="AA449" s="64" t="s">
        <v>463</v>
      </c>
      <c r="AB449" s="64" t="s">
        <v>464</v>
      </c>
      <c r="AC449" s="60" t="s">
        <v>451</v>
      </c>
      <c r="AD449" s="60" t="s">
        <v>529</v>
      </c>
      <c r="AE449" s="64" t="s">
        <v>535</v>
      </c>
      <c r="AF449" s="64" t="s">
        <v>535</v>
      </c>
      <c r="AG449" s="64" t="s">
        <v>467</v>
      </c>
      <c r="AH449" s="64" t="s">
        <v>467</v>
      </c>
      <c r="AI449" s="66">
        <v>510.0</v>
      </c>
      <c r="AJ449" s="66">
        <v>21.5</v>
      </c>
      <c r="AK449" s="67">
        <v>10965.0</v>
      </c>
      <c r="AL449" s="63"/>
      <c r="AM449" s="63"/>
      <c r="AN449" s="64">
        <v>21.5</v>
      </c>
      <c r="AO449" s="64" t="s">
        <v>468</v>
      </c>
      <c r="AP449" s="63"/>
      <c r="AQ449" s="63"/>
      <c r="AR449" s="63"/>
      <c r="AS449" s="63"/>
      <c r="AT449" s="63"/>
      <c r="AU449" s="63"/>
      <c r="AV449" s="68"/>
      <c r="AW449" s="58" t="s">
        <v>512</v>
      </c>
      <c r="AX449" s="69">
        <v>10965.0</v>
      </c>
      <c r="AY449" s="70"/>
      <c r="AZ449" s="70"/>
      <c r="BA449" s="70"/>
      <c r="BB449" s="70"/>
      <c r="BC449" s="58" t="s">
        <v>469</v>
      </c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8"/>
      <c r="BR449" s="58"/>
    </row>
    <row r="450">
      <c r="A450" s="59">
        <v>45829.0</v>
      </c>
      <c r="B450" s="64" t="s">
        <v>451</v>
      </c>
      <c r="C450" s="61">
        <v>45829.0</v>
      </c>
      <c r="D450" s="61">
        <v>45829.0</v>
      </c>
      <c r="E450" s="60" t="s">
        <v>452</v>
      </c>
      <c r="F450" s="104" t="s">
        <v>1425</v>
      </c>
      <c r="G450" s="63"/>
      <c r="H450" s="64" t="s">
        <v>492</v>
      </c>
      <c r="I450" s="64" t="s">
        <v>533</v>
      </c>
      <c r="J450" s="64" t="s">
        <v>486</v>
      </c>
      <c r="K450" s="64" t="s">
        <v>486</v>
      </c>
      <c r="L450" s="66">
        <v>22.0</v>
      </c>
      <c r="M450" s="66">
        <v>22.0</v>
      </c>
      <c r="N450" s="66" t="s">
        <v>457</v>
      </c>
      <c r="O450" s="66">
        <v>24.0</v>
      </c>
      <c r="P450" s="119">
        <v>2.46E8</v>
      </c>
      <c r="Q450" s="118" t="s">
        <v>459</v>
      </c>
      <c r="R450" s="118" t="s">
        <v>459</v>
      </c>
      <c r="S450" s="118">
        <v>216.0</v>
      </c>
      <c r="T450" s="64">
        <v>2376.0</v>
      </c>
      <c r="U450" s="118">
        <v>216.0</v>
      </c>
      <c r="V450" s="64">
        <v>2376.0</v>
      </c>
      <c r="W450" s="64">
        <v>2376.0</v>
      </c>
      <c r="X450" s="65" t="s">
        <v>460</v>
      </c>
      <c r="Y450" s="64" t="s">
        <v>461</v>
      </c>
      <c r="Z450" s="64" t="s">
        <v>462</v>
      </c>
      <c r="AA450" s="64" t="s">
        <v>463</v>
      </c>
      <c r="AB450" s="64" t="s">
        <v>464</v>
      </c>
      <c r="AC450" s="60" t="s">
        <v>451</v>
      </c>
      <c r="AD450" s="60" t="s">
        <v>529</v>
      </c>
      <c r="AE450" s="64" t="s">
        <v>535</v>
      </c>
      <c r="AF450" s="64" t="s">
        <v>535</v>
      </c>
      <c r="AG450" s="64" t="s">
        <v>467</v>
      </c>
      <c r="AH450" s="64" t="s">
        <v>467</v>
      </c>
      <c r="AI450" s="66">
        <v>510.0</v>
      </c>
      <c r="AJ450" s="66">
        <v>23.5</v>
      </c>
      <c r="AK450" s="67">
        <v>11985.0</v>
      </c>
      <c r="AL450" s="63"/>
      <c r="AM450" s="63"/>
      <c r="AN450" s="64">
        <v>23.5</v>
      </c>
      <c r="AO450" s="64" t="s">
        <v>468</v>
      </c>
      <c r="AP450" s="63"/>
      <c r="AQ450" s="63"/>
      <c r="AR450" s="63"/>
      <c r="AS450" s="63"/>
      <c r="AT450" s="63"/>
      <c r="AU450" s="63"/>
      <c r="AV450" s="68"/>
      <c r="AW450" s="58" t="s">
        <v>512</v>
      </c>
      <c r="AX450" s="69">
        <v>11985.0</v>
      </c>
      <c r="AY450" s="70"/>
      <c r="AZ450" s="70"/>
      <c r="BA450" s="70"/>
      <c r="BB450" s="70"/>
      <c r="BC450" s="58" t="s">
        <v>469</v>
      </c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8"/>
      <c r="BR450" s="58"/>
    </row>
    <row r="451">
      <c r="A451" s="59">
        <v>45829.0</v>
      </c>
      <c r="B451" s="64" t="s">
        <v>451</v>
      </c>
      <c r="C451" s="61">
        <v>45829.0</v>
      </c>
      <c r="D451" s="61">
        <v>45829.0</v>
      </c>
      <c r="E451" s="60" t="s">
        <v>452</v>
      </c>
      <c r="F451" s="104" t="s">
        <v>1426</v>
      </c>
      <c r="G451" s="63"/>
      <c r="H451" s="64" t="s">
        <v>538</v>
      </c>
      <c r="I451" s="64" t="s">
        <v>539</v>
      </c>
      <c r="J451" s="64" t="s">
        <v>456</v>
      </c>
      <c r="K451" s="64" t="s">
        <v>456</v>
      </c>
      <c r="L451" s="64">
        <v>32.0</v>
      </c>
      <c r="M451" s="64">
        <v>32.0</v>
      </c>
      <c r="N451" s="64" t="s">
        <v>540</v>
      </c>
      <c r="O451" s="64">
        <v>24.0</v>
      </c>
      <c r="P451" s="119">
        <v>2.46E8</v>
      </c>
      <c r="Q451" s="118" t="s">
        <v>459</v>
      </c>
      <c r="R451" s="118" t="s">
        <v>459</v>
      </c>
      <c r="S451" s="118">
        <v>178.0</v>
      </c>
      <c r="T451" s="64">
        <v>1958.0</v>
      </c>
      <c r="U451" s="118">
        <v>178.0</v>
      </c>
      <c r="V451" s="64">
        <v>1958.0</v>
      </c>
      <c r="W451" s="64">
        <v>1958.0</v>
      </c>
      <c r="X451" s="65" t="s">
        <v>460</v>
      </c>
      <c r="Y451" s="64" t="s">
        <v>461</v>
      </c>
      <c r="Z451" s="64" t="s">
        <v>462</v>
      </c>
      <c r="AA451" s="64" t="s">
        <v>463</v>
      </c>
      <c r="AB451" s="64" t="s">
        <v>464</v>
      </c>
      <c r="AC451" s="60" t="s">
        <v>451</v>
      </c>
      <c r="AD451" s="64" t="s">
        <v>541</v>
      </c>
      <c r="AE451" s="64" t="s">
        <v>490</v>
      </c>
      <c r="AF451" s="64" t="s">
        <v>490</v>
      </c>
      <c r="AG451" s="64" t="s">
        <v>467</v>
      </c>
      <c r="AH451" s="64" t="s">
        <v>467</v>
      </c>
      <c r="AI451" s="66">
        <v>325.0</v>
      </c>
      <c r="AJ451" s="66">
        <v>28.4</v>
      </c>
      <c r="AK451" s="67">
        <v>9213.75</v>
      </c>
      <c r="AL451" s="63"/>
      <c r="AM451" s="63"/>
      <c r="AN451" s="64">
        <v>28.35</v>
      </c>
      <c r="AO451" s="64" t="s">
        <v>468</v>
      </c>
      <c r="AP451" s="63"/>
      <c r="AQ451" s="63"/>
      <c r="AR451" s="63"/>
      <c r="AS451" s="63"/>
      <c r="AT451" s="63"/>
      <c r="AU451" s="63"/>
      <c r="AV451" s="68"/>
      <c r="AW451" s="58" t="s">
        <v>512</v>
      </c>
      <c r="AX451" s="69">
        <v>9213.75</v>
      </c>
      <c r="AY451" s="70"/>
      <c r="AZ451" s="70"/>
      <c r="BA451" s="70"/>
      <c r="BB451" s="70"/>
      <c r="BC451" s="58" t="s">
        <v>469</v>
      </c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  <c r="BN451" s="58"/>
      <c r="BO451" s="58"/>
      <c r="BP451" s="58"/>
      <c r="BQ451" s="58"/>
      <c r="BR451" s="58"/>
    </row>
    <row r="452">
      <c r="A452" s="115">
        <v>45829.0</v>
      </c>
      <c r="B452" s="66" t="s">
        <v>451</v>
      </c>
      <c r="C452" s="61">
        <v>45829.0</v>
      </c>
      <c r="D452" s="61">
        <v>45829.0</v>
      </c>
      <c r="E452" s="60" t="s">
        <v>452</v>
      </c>
      <c r="F452" s="108" t="s">
        <v>1427</v>
      </c>
      <c r="G452" s="63"/>
      <c r="H452" s="64" t="s">
        <v>1218</v>
      </c>
      <c r="I452" s="64" t="s">
        <v>1362</v>
      </c>
      <c r="J452" s="64" t="s">
        <v>456</v>
      </c>
      <c r="K452" s="64" t="s">
        <v>456</v>
      </c>
      <c r="L452" s="66">
        <v>22.0</v>
      </c>
      <c r="M452" s="66">
        <v>22.0</v>
      </c>
      <c r="N452" s="66" t="s">
        <v>457</v>
      </c>
      <c r="O452" s="66">
        <v>24.0</v>
      </c>
      <c r="P452" s="117" t="s">
        <v>1428</v>
      </c>
      <c r="Q452" s="117" t="s">
        <v>459</v>
      </c>
      <c r="R452" s="117" t="s">
        <v>459</v>
      </c>
      <c r="S452" s="117">
        <v>171.0</v>
      </c>
      <c r="T452" s="64">
        <v>1881.0</v>
      </c>
      <c r="U452" s="117">
        <v>171.0</v>
      </c>
      <c r="V452" s="64">
        <v>1881.0</v>
      </c>
      <c r="W452" s="64">
        <v>1881.0</v>
      </c>
      <c r="X452" s="65" t="s">
        <v>460</v>
      </c>
      <c r="Y452" s="64" t="s">
        <v>461</v>
      </c>
      <c r="Z452" s="64" t="s">
        <v>462</v>
      </c>
      <c r="AA452" s="64" t="s">
        <v>463</v>
      </c>
      <c r="AB452" s="64" t="s">
        <v>464</v>
      </c>
      <c r="AC452" s="60" t="s">
        <v>451</v>
      </c>
      <c r="AD452" s="60" t="s">
        <v>544</v>
      </c>
      <c r="AE452" s="64" t="s">
        <v>573</v>
      </c>
      <c r="AF452" s="64" t="s">
        <v>573</v>
      </c>
      <c r="AG452" s="64" t="s">
        <v>467</v>
      </c>
      <c r="AH452" s="64" t="s">
        <v>467</v>
      </c>
      <c r="AI452" s="64">
        <v>440.0</v>
      </c>
      <c r="AJ452" s="64">
        <v>21.5</v>
      </c>
      <c r="AK452" s="67">
        <v>9460.0</v>
      </c>
      <c r="AL452" s="63"/>
      <c r="AM452" s="63"/>
      <c r="AN452" s="64">
        <v>21.5</v>
      </c>
      <c r="AO452" s="60" t="s">
        <v>468</v>
      </c>
      <c r="AP452" s="63"/>
      <c r="AQ452" s="63"/>
      <c r="AR452" s="63"/>
      <c r="AS452" s="63"/>
      <c r="AT452" s="63"/>
      <c r="AU452" s="63"/>
      <c r="AV452" s="63"/>
      <c r="AW452" s="58" t="s">
        <v>443</v>
      </c>
      <c r="AX452" s="85">
        <v>9460.0</v>
      </c>
      <c r="AY452" s="70"/>
      <c r="AZ452" s="70"/>
      <c r="BA452" s="70"/>
      <c r="BB452" s="70"/>
      <c r="BC452" s="58" t="s">
        <v>469</v>
      </c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  <c r="BQ452" s="58"/>
      <c r="BR452" s="58"/>
    </row>
    <row r="453">
      <c r="A453" s="59">
        <v>45829.0</v>
      </c>
      <c r="B453" s="64" t="s">
        <v>451</v>
      </c>
      <c r="C453" s="61">
        <v>45829.0</v>
      </c>
      <c r="D453" s="61">
        <v>45829.0</v>
      </c>
      <c r="E453" s="60" t="s">
        <v>452</v>
      </c>
      <c r="F453" s="104" t="s">
        <v>1429</v>
      </c>
      <c r="G453" s="63"/>
      <c r="H453" s="64" t="s">
        <v>521</v>
      </c>
      <c r="I453" s="64" t="s">
        <v>615</v>
      </c>
      <c r="J453" s="64" t="s">
        <v>486</v>
      </c>
      <c r="K453" s="64" t="s">
        <v>486</v>
      </c>
      <c r="L453" s="66">
        <v>22.0</v>
      </c>
      <c r="M453" s="66">
        <v>22.0</v>
      </c>
      <c r="N453" s="66" t="s">
        <v>457</v>
      </c>
      <c r="O453" s="66">
        <v>24.0</v>
      </c>
      <c r="P453" s="119">
        <v>2.46E8</v>
      </c>
      <c r="Q453" s="118" t="s">
        <v>459</v>
      </c>
      <c r="R453" s="118" t="s">
        <v>459</v>
      </c>
      <c r="S453" s="118">
        <v>189.0</v>
      </c>
      <c r="T453" s="64">
        <v>2079.0</v>
      </c>
      <c r="U453" s="118">
        <v>189.0</v>
      </c>
      <c r="V453" s="64">
        <v>2079.0</v>
      </c>
      <c r="W453" s="64">
        <v>2079.0</v>
      </c>
      <c r="X453" s="65" t="s">
        <v>460</v>
      </c>
      <c r="Y453" s="64" t="s">
        <v>461</v>
      </c>
      <c r="Z453" s="64" t="s">
        <v>462</v>
      </c>
      <c r="AA453" s="64" t="s">
        <v>463</v>
      </c>
      <c r="AB453" s="64" t="s">
        <v>464</v>
      </c>
      <c r="AC453" s="60" t="s">
        <v>451</v>
      </c>
      <c r="AD453" s="60" t="s">
        <v>765</v>
      </c>
      <c r="AE453" s="64" t="s">
        <v>663</v>
      </c>
      <c r="AF453" s="64" t="s">
        <v>663</v>
      </c>
      <c r="AG453" s="64" t="s">
        <v>467</v>
      </c>
      <c r="AH453" s="64" t="s">
        <v>467</v>
      </c>
      <c r="AI453" s="64">
        <v>330.0</v>
      </c>
      <c r="AJ453" s="64">
        <v>23.5</v>
      </c>
      <c r="AK453" s="67">
        <v>7755.0</v>
      </c>
      <c r="AL453" s="63"/>
      <c r="AM453" s="63"/>
      <c r="AN453" s="64">
        <v>23.5</v>
      </c>
      <c r="AO453" s="64" t="s">
        <v>468</v>
      </c>
      <c r="AP453" s="63"/>
      <c r="AQ453" s="63"/>
      <c r="AR453" s="63"/>
      <c r="AS453" s="63"/>
      <c r="AT453" s="63"/>
      <c r="AU453" s="63"/>
      <c r="AV453" s="63"/>
      <c r="AW453" s="58" t="s">
        <v>512</v>
      </c>
      <c r="AX453" s="69">
        <v>7755.0</v>
      </c>
      <c r="AY453" s="70"/>
      <c r="AZ453" s="70"/>
      <c r="BA453" s="70"/>
      <c r="BB453" s="70"/>
      <c r="BC453" s="58" t="s">
        <v>469</v>
      </c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</row>
    <row r="454">
      <c r="A454" s="115">
        <v>45829.0</v>
      </c>
      <c r="B454" s="66" t="s">
        <v>451</v>
      </c>
      <c r="C454" s="61">
        <v>45829.0</v>
      </c>
      <c r="D454" s="61">
        <v>45829.0</v>
      </c>
      <c r="E454" s="60" t="s">
        <v>452</v>
      </c>
      <c r="F454" s="108" t="s">
        <v>1430</v>
      </c>
      <c r="G454" s="63"/>
      <c r="H454" s="64" t="s">
        <v>521</v>
      </c>
      <c r="I454" s="64" t="s">
        <v>619</v>
      </c>
      <c r="J454" s="64" t="s">
        <v>486</v>
      </c>
      <c r="K454" s="64" t="s">
        <v>486</v>
      </c>
      <c r="L454" s="66">
        <v>22.0</v>
      </c>
      <c r="M454" s="66">
        <v>22.0</v>
      </c>
      <c r="N454" s="66" t="s">
        <v>457</v>
      </c>
      <c r="O454" s="66">
        <v>24.0</v>
      </c>
      <c r="P454" s="117" t="s">
        <v>1431</v>
      </c>
      <c r="Q454" s="117" t="s">
        <v>459</v>
      </c>
      <c r="R454" s="117" t="s">
        <v>459</v>
      </c>
      <c r="S454" s="117">
        <v>319.0</v>
      </c>
      <c r="T454" s="64">
        <v>3509.0</v>
      </c>
      <c r="U454" s="117">
        <v>319.0</v>
      </c>
      <c r="V454" s="64">
        <v>3509.0</v>
      </c>
      <c r="W454" s="64">
        <v>3509.0</v>
      </c>
      <c r="X454" s="76" t="s">
        <v>460</v>
      </c>
      <c r="Y454" s="64" t="s">
        <v>461</v>
      </c>
      <c r="Z454" s="64" t="s">
        <v>462</v>
      </c>
      <c r="AA454" s="64" t="s">
        <v>463</v>
      </c>
      <c r="AB454" s="64" t="s">
        <v>464</v>
      </c>
      <c r="AC454" s="60" t="s">
        <v>451</v>
      </c>
      <c r="AD454" s="66" t="s">
        <v>678</v>
      </c>
      <c r="AE454" s="64" t="s">
        <v>639</v>
      </c>
      <c r="AF454" s="64" t="s">
        <v>639</v>
      </c>
      <c r="AG454" s="64" t="s">
        <v>467</v>
      </c>
      <c r="AH454" s="64" t="s">
        <v>467</v>
      </c>
      <c r="AI454" s="64">
        <v>805.0</v>
      </c>
      <c r="AJ454" s="64">
        <v>23.5</v>
      </c>
      <c r="AK454" s="67">
        <v>18917.5</v>
      </c>
      <c r="AL454" s="63"/>
      <c r="AM454" s="63"/>
      <c r="AN454" s="64">
        <v>23.5</v>
      </c>
      <c r="AO454" s="64" t="s">
        <v>468</v>
      </c>
      <c r="AP454" s="63"/>
      <c r="AQ454" s="63"/>
      <c r="AR454" s="63"/>
      <c r="AS454" s="63"/>
      <c r="AT454" s="63"/>
      <c r="AU454" s="63"/>
      <c r="AV454" s="68"/>
      <c r="AW454" s="58" t="s">
        <v>512</v>
      </c>
      <c r="AX454" s="69">
        <v>18917.5</v>
      </c>
      <c r="AY454" s="70"/>
      <c r="AZ454" s="70"/>
      <c r="BA454" s="70"/>
      <c r="BB454" s="70"/>
      <c r="BC454" s="58" t="s">
        <v>469</v>
      </c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  <c r="BQ454" s="58"/>
      <c r="BR454" s="58"/>
    </row>
    <row r="455">
      <c r="A455" s="59">
        <v>45829.0</v>
      </c>
      <c r="B455" s="64" t="s">
        <v>451</v>
      </c>
      <c r="C455" s="61">
        <v>45829.0</v>
      </c>
      <c r="D455" s="61">
        <v>45829.0</v>
      </c>
      <c r="E455" s="60" t="s">
        <v>452</v>
      </c>
      <c r="F455" s="104" t="s">
        <v>1432</v>
      </c>
      <c r="G455" s="63"/>
      <c r="H455" s="64" t="s">
        <v>521</v>
      </c>
      <c r="I455" s="64" t="s">
        <v>769</v>
      </c>
      <c r="J455" s="64" t="s">
        <v>456</v>
      </c>
      <c r="K455" s="64" t="s">
        <v>456</v>
      </c>
      <c r="L455" s="66">
        <v>22.0</v>
      </c>
      <c r="M455" s="66">
        <v>22.0</v>
      </c>
      <c r="N455" s="66" t="s">
        <v>457</v>
      </c>
      <c r="O455" s="66">
        <v>24.0</v>
      </c>
      <c r="P455" s="119">
        <v>2.46E8</v>
      </c>
      <c r="Q455" s="118" t="s">
        <v>459</v>
      </c>
      <c r="R455" s="118" t="s">
        <v>459</v>
      </c>
      <c r="S455" s="118">
        <v>123.0</v>
      </c>
      <c r="T455" s="64">
        <v>1353.0</v>
      </c>
      <c r="U455" s="118">
        <v>123.0</v>
      </c>
      <c r="V455" s="64">
        <v>1353.0</v>
      </c>
      <c r="W455" s="64">
        <v>1353.0</v>
      </c>
      <c r="X455" s="76" t="s">
        <v>460</v>
      </c>
      <c r="Y455" s="64" t="s">
        <v>461</v>
      </c>
      <c r="Z455" s="64" t="s">
        <v>462</v>
      </c>
      <c r="AA455" s="64" t="s">
        <v>463</v>
      </c>
      <c r="AB455" s="64" t="s">
        <v>464</v>
      </c>
      <c r="AC455" s="60" t="s">
        <v>451</v>
      </c>
      <c r="AD455" s="66" t="s">
        <v>557</v>
      </c>
      <c r="AE455" s="64" t="s">
        <v>525</v>
      </c>
      <c r="AF455" s="64" t="s">
        <v>525</v>
      </c>
      <c r="AG455" s="64" t="s">
        <v>467</v>
      </c>
      <c r="AH455" s="64" t="s">
        <v>467</v>
      </c>
      <c r="AI455" s="66">
        <v>800.0</v>
      </c>
      <c r="AJ455" s="64">
        <v>21.5</v>
      </c>
      <c r="AK455" s="67">
        <v>17200.0</v>
      </c>
      <c r="AL455" s="63"/>
      <c r="AM455" s="63"/>
      <c r="AN455" s="64">
        <v>21.5</v>
      </c>
      <c r="AO455" s="64" t="s">
        <v>468</v>
      </c>
      <c r="AP455" s="63"/>
      <c r="AQ455" s="63"/>
      <c r="AR455" s="63"/>
      <c r="AS455" s="63"/>
      <c r="AT455" s="63"/>
      <c r="AU455" s="63"/>
      <c r="AV455" s="68"/>
      <c r="AW455" s="58" t="s">
        <v>512</v>
      </c>
      <c r="AX455" s="69">
        <v>17200.0</v>
      </c>
      <c r="AY455" s="70"/>
      <c r="AZ455" s="70"/>
      <c r="BA455" s="70"/>
      <c r="BB455" s="70"/>
      <c r="BC455" s="58" t="s">
        <v>469</v>
      </c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  <c r="BQ455" s="58"/>
      <c r="BR455" s="58"/>
    </row>
    <row r="456">
      <c r="A456" s="115">
        <v>45829.0</v>
      </c>
      <c r="B456" s="66" t="s">
        <v>451</v>
      </c>
      <c r="C456" s="61">
        <v>45829.0</v>
      </c>
      <c r="D456" s="61">
        <v>45829.0</v>
      </c>
      <c r="E456" s="60" t="s">
        <v>452</v>
      </c>
      <c r="F456" s="103" t="s">
        <v>1433</v>
      </c>
      <c r="G456" s="63"/>
      <c r="H456" s="64" t="s">
        <v>771</v>
      </c>
      <c r="I456" s="64" t="s">
        <v>772</v>
      </c>
      <c r="J456" s="64" t="s">
        <v>456</v>
      </c>
      <c r="K456" s="64" t="s">
        <v>456</v>
      </c>
      <c r="L456" s="66">
        <v>22.0</v>
      </c>
      <c r="M456" s="66">
        <v>22.0</v>
      </c>
      <c r="N456" s="66" t="s">
        <v>457</v>
      </c>
      <c r="O456" s="66">
        <v>24.0</v>
      </c>
      <c r="P456" s="117" t="s">
        <v>1434</v>
      </c>
      <c r="Q456" s="117" t="s">
        <v>459</v>
      </c>
      <c r="R456" s="117" t="s">
        <v>459</v>
      </c>
      <c r="S456" s="117">
        <v>255.0</v>
      </c>
      <c r="T456" s="64">
        <v>2805.0</v>
      </c>
      <c r="U456" s="117">
        <v>255.0</v>
      </c>
      <c r="V456" s="64">
        <v>2805.0</v>
      </c>
      <c r="W456" s="64">
        <v>2805.0</v>
      </c>
      <c r="X456" s="65" t="s">
        <v>460</v>
      </c>
      <c r="Y456" s="64" t="s">
        <v>461</v>
      </c>
      <c r="Z456" s="64" t="s">
        <v>462</v>
      </c>
      <c r="AA456" s="64" t="s">
        <v>463</v>
      </c>
      <c r="AB456" s="64" t="s">
        <v>464</v>
      </c>
      <c r="AC456" s="60" t="s">
        <v>451</v>
      </c>
      <c r="AD456" s="60" t="s">
        <v>561</v>
      </c>
      <c r="AE456" s="64" t="s">
        <v>562</v>
      </c>
      <c r="AF456" s="64" t="s">
        <v>562</v>
      </c>
      <c r="AG456" s="64" t="s">
        <v>467</v>
      </c>
      <c r="AH456" s="64" t="s">
        <v>467</v>
      </c>
      <c r="AI456" s="60">
        <v>325.0</v>
      </c>
      <c r="AJ456" s="64">
        <v>21.5</v>
      </c>
      <c r="AK456" s="67">
        <v>6987.5</v>
      </c>
      <c r="AL456" s="63"/>
      <c r="AM456" s="63"/>
      <c r="AN456" s="64">
        <v>21.5</v>
      </c>
      <c r="AO456" s="64" t="s">
        <v>468</v>
      </c>
      <c r="AP456" s="63"/>
      <c r="AQ456" s="63"/>
      <c r="AR456" s="63"/>
      <c r="AS456" s="63"/>
      <c r="AT456" s="63"/>
      <c r="AU456" s="63"/>
      <c r="AV456" s="63"/>
      <c r="AW456" s="58" t="s">
        <v>512</v>
      </c>
      <c r="AX456" s="69">
        <v>6987.5</v>
      </c>
      <c r="AY456" s="70"/>
      <c r="AZ456" s="70"/>
      <c r="BA456" s="70"/>
      <c r="BB456" s="70"/>
      <c r="BC456" s="58" t="s">
        <v>469</v>
      </c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  <c r="BQ456" s="58"/>
      <c r="BR456" s="58"/>
    </row>
    <row r="457">
      <c r="A457" s="59">
        <v>45829.0</v>
      </c>
      <c r="B457" s="64" t="s">
        <v>451</v>
      </c>
      <c r="C457" s="61">
        <v>45829.0</v>
      </c>
      <c r="D457" s="61">
        <v>45829.0</v>
      </c>
      <c r="E457" s="60" t="s">
        <v>452</v>
      </c>
      <c r="F457" s="116" t="s">
        <v>1435</v>
      </c>
      <c r="G457" s="63"/>
      <c r="H457" s="64" t="s">
        <v>771</v>
      </c>
      <c r="I457" s="64" t="s">
        <v>775</v>
      </c>
      <c r="J457" s="64" t="s">
        <v>456</v>
      </c>
      <c r="K457" s="64" t="s">
        <v>456</v>
      </c>
      <c r="L457" s="66">
        <v>22.0</v>
      </c>
      <c r="M457" s="66">
        <v>22.0</v>
      </c>
      <c r="N457" s="66" t="s">
        <v>457</v>
      </c>
      <c r="O457" s="66">
        <v>24.0</v>
      </c>
      <c r="P457" s="119">
        <v>2.46E8</v>
      </c>
      <c r="Q457" s="118" t="s">
        <v>459</v>
      </c>
      <c r="R457" s="118" t="s">
        <v>459</v>
      </c>
      <c r="S457" s="118">
        <v>209.0</v>
      </c>
      <c r="T457" s="64">
        <v>2299.0</v>
      </c>
      <c r="U457" s="118">
        <v>209.0</v>
      </c>
      <c r="V457" s="64">
        <v>2299.0</v>
      </c>
      <c r="W457" s="64">
        <v>2299.0</v>
      </c>
      <c r="X457" s="65" t="s">
        <v>460</v>
      </c>
      <c r="Y457" s="64" t="s">
        <v>461</v>
      </c>
      <c r="Z457" s="64" t="s">
        <v>462</v>
      </c>
      <c r="AA457" s="64" t="s">
        <v>463</v>
      </c>
      <c r="AB457" s="64" t="s">
        <v>464</v>
      </c>
      <c r="AC457" s="60" t="s">
        <v>451</v>
      </c>
      <c r="AD457" s="64" t="s">
        <v>566</v>
      </c>
      <c r="AE457" s="64" t="s">
        <v>567</v>
      </c>
      <c r="AF457" s="64" t="s">
        <v>567</v>
      </c>
      <c r="AG457" s="64" t="s">
        <v>467</v>
      </c>
      <c r="AH457" s="64" t="s">
        <v>467</v>
      </c>
      <c r="AI457" s="64">
        <v>475.0</v>
      </c>
      <c r="AJ457" s="66">
        <v>21.5</v>
      </c>
      <c r="AK457" s="67">
        <v>10212.5</v>
      </c>
      <c r="AL457" s="63"/>
      <c r="AM457" s="63"/>
      <c r="AN457" s="64">
        <v>21.5</v>
      </c>
      <c r="AO457" s="64" t="s">
        <v>468</v>
      </c>
      <c r="AP457" s="63"/>
      <c r="AQ457" s="63"/>
      <c r="AR457" s="63"/>
      <c r="AS457" s="63"/>
      <c r="AT457" s="63"/>
      <c r="AU457" s="63"/>
      <c r="AV457" s="63"/>
      <c r="AW457" s="58" t="s">
        <v>512</v>
      </c>
      <c r="AX457" s="69">
        <v>10212.5</v>
      </c>
      <c r="AY457" s="70"/>
      <c r="AZ457" s="70"/>
      <c r="BA457" s="70"/>
      <c r="BB457" s="70"/>
      <c r="BC457" s="58" t="s">
        <v>469</v>
      </c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  <c r="BQ457" s="58"/>
      <c r="BR457" s="58"/>
    </row>
    <row r="458">
      <c r="A458" s="115">
        <v>45829.0</v>
      </c>
      <c r="B458" s="66" t="s">
        <v>451</v>
      </c>
      <c r="C458" s="61">
        <v>45829.0</v>
      </c>
      <c r="D458" s="61">
        <v>45829.0</v>
      </c>
      <c r="E458" s="60" t="s">
        <v>452</v>
      </c>
      <c r="F458" s="103" t="s">
        <v>1436</v>
      </c>
      <c r="G458" s="63"/>
      <c r="H458" s="64" t="s">
        <v>492</v>
      </c>
      <c r="I458" s="64" t="s">
        <v>569</v>
      </c>
      <c r="J458" s="64" t="s">
        <v>456</v>
      </c>
      <c r="K458" s="64" t="s">
        <v>456</v>
      </c>
      <c r="L458" s="66">
        <v>22.0</v>
      </c>
      <c r="M458" s="66">
        <v>22.0</v>
      </c>
      <c r="N458" s="66" t="s">
        <v>457</v>
      </c>
      <c r="O458" s="66">
        <v>24.0</v>
      </c>
      <c r="P458" s="117" t="s">
        <v>1437</v>
      </c>
      <c r="Q458" s="117" t="s">
        <v>459</v>
      </c>
      <c r="R458" s="117" t="s">
        <v>459</v>
      </c>
      <c r="S458" s="117">
        <v>125.0</v>
      </c>
      <c r="T458" s="64">
        <v>1375.0</v>
      </c>
      <c r="U458" s="117">
        <v>125.0</v>
      </c>
      <c r="V458" s="64">
        <v>1375.0</v>
      </c>
      <c r="W458" s="64">
        <v>1375.0</v>
      </c>
      <c r="X458" s="65" t="s">
        <v>460</v>
      </c>
      <c r="Y458" s="64" t="s">
        <v>461</v>
      </c>
      <c r="Z458" s="64" t="s">
        <v>462</v>
      </c>
      <c r="AA458" s="64" t="s">
        <v>463</v>
      </c>
      <c r="AB458" s="64" t="s">
        <v>464</v>
      </c>
      <c r="AC458" s="60" t="s">
        <v>451</v>
      </c>
      <c r="AD458" s="64" t="s">
        <v>571</v>
      </c>
      <c r="AE458" s="64" t="s">
        <v>572</v>
      </c>
      <c r="AF458" s="64" t="s">
        <v>572</v>
      </c>
      <c r="AG458" s="64" t="s">
        <v>467</v>
      </c>
      <c r="AH458" s="64" t="s">
        <v>467</v>
      </c>
      <c r="AI458" s="66">
        <v>655.0</v>
      </c>
      <c r="AJ458" s="66">
        <v>21.5</v>
      </c>
      <c r="AK458" s="67">
        <v>14082.5</v>
      </c>
      <c r="AL458" s="63"/>
      <c r="AM458" s="63"/>
      <c r="AN458" s="64">
        <v>21.5</v>
      </c>
      <c r="AO458" s="64" t="s">
        <v>468</v>
      </c>
      <c r="AP458" s="63"/>
      <c r="AQ458" s="63"/>
      <c r="AR458" s="63"/>
      <c r="AS458" s="63"/>
      <c r="AT458" s="63"/>
      <c r="AU458" s="63"/>
      <c r="AV458" s="68"/>
      <c r="AW458" s="58" t="s">
        <v>512</v>
      </c>
      <c r="AX458" s="69">
        <v>14082.5</v>
      </c>
      <c r="AY458" s="70"/>
      <c r="AZ458" s="70"/>
      <c r="BA458" s="70"/>
      <c r="BB458" s="70"/>
      <c r="BC458" s="58" t="s">
        <v>469</v>
      </c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  <c r="BQ458" s="58"/>
      <c r="BR458" s="58"/>
    </row>
    <row r="459">
      <c r="A459" s="59">
        <v>45829.0</v>
      </c>
      <c r="B459" s="64" t="s">
        <v>451</v>
      </c>
      <c r="C459" s="61">
        <v>45829.0</v>
      </c>
      <c r="D459" s="61">
        <v>45829.0</v>
      </c>
      <c r="E459" s="60" t="s">
        <v>452</v>
      </c>
      <c r="F459" s="116" t="s">
        <v>1438</v>
      </c>
      <c r="G459" s="63"/>
      <c r="H459" s="64" t="s">
        <v>472</v>
      </c>
      <c r="I459" s="64" t="s">
        <v>891</v>
      </c>
      <c r="J459" s="64" t="s">
        <v>456</v>
      </c>
      <c r="K459" s="64" t="s">
        <v>456</v>
      </c>
      <c r="L459" s="66">
        <v>22.0</v>
      </c>
      <c r="M459" s="66">
        <v>22.0</v>
      </c>
      <c r="N459" s="66" t="s">
        <v>457</v>
      </c>
      <c r="O459" s="66">
        <v>24.0</v>
      </c>
      <c r="P459" s="119">
        <v>2.46E8</v>
      </c>
      <c r="Q459" s="118" t="s">
        <v>459</v>
      </c>
      <c r="R459" s="118" t="s">
        <v>459</v>
      </c>
      <c r="S459" s="118">
        <v>151.0</v>
      </c>
      <c r="T459" s="64">
        <v>1661.0</v>
      </c>
      <c r="U459" s="118">
        <v>151.0</v>
      </c>
      <c r="V459" s="64">
        <v>1661.0</v>
      </c>
      <c r="W459" s="64">
        <v>1661.0</v>
      </c>
      <c r="X459" s="65" t="s">
        <v>460</v>
      </c>
      <c r="Y459" s="64" t="s">
        <v>461</v>
      </c>
      <c r="Z459" s="64" t="s">
        <v>462</v>
      </c>
      <c r="AA459" s="64" t="s">
        <v>463</v>
      </c>
      <c r="AB459" s="64" t="s">
        <v>464</v>
      </c>
      <c r="AC459" s="60" t="s">
        <v>451</v>
      </c>
      <c r="AD459" s="66" t="s">
        <v>577</v>
      </c>
      <c r="AE459" s="64" t="s">
        <v>612</v>
      </c>
      <c r="AF459" s="64" t="s">
        <v>612</v>
      </c>
      <c r="AG459" s="64" t="s">
        <v>467</v>
      </c>
      <c r="AH459" s="64" t="s">
        <v>467</v>
      </c>
      <c r="AI459" s="66">
        <v>396.0</v>
      </c>
      <c r="AJ459" s="64">
        <v>21.5</v>
      </c>
      <c r="AK459" s="67">
        <v>8514.0</v>
      </c>
      <c r="AL459" s="63"/>
      <c r="AM459" s="63"/>
      <c r="AN459" s="64">
        <v>21.5</v>
      </c>
      <c r="AO459" s="64" t="s">
        <v>468</v>
      </c>
      <c r="AP459" s="63"/>
      <c r="AQ459" s="63"/>
      <c r="AR459" s="63"/>
      <c r="AS459" s="63"/>
      <c r="AT459" s="63"/>
      <c r="AU459" s="63"/>
      <c r="AV459" s="63"/>
      <c r="AW459" s="58" t="s">
        <v>512</v>
      </c>
      <c r="AX459" s="69">
        <v>8514.0</v>
      </c>
      <c r="AY459" s="70"/>
      <c r="AZ459" s="70"/>
      <c r="BA459" s="70"/>
      <c r="BB459" s="70"/>
      <c r="BC459" s="58" t="s">
        <v>469</v>
      </c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  <c r="BQ459" s="58"/>
      <c r="BR459" s="58"/>
    </row>
    <row r="460">
      <c r="A460" s="115">
        <v>45829.0</v>
      </c>
      <c r="B460" s="66" t="s">
        <v>451</v>
      </c>
      <c r="C460" s="61">
        <v>45829.0</v>
      </c>
      <c r="D460" s="61">
        <v>45829.0</v>
      </c>
      <c r="E460" s="60" t="s">
        <v>452</v>
      </c>
      <c r="F460" s="116" t="s">
        <v>1439</v>
      </c>
      <c r="G460" s="63"/>
      <c r="H460" s="64" t="s">
        <v>472</v>
      </c>
      <c r="I460" s="64" t="s">
        <v>479</v>
      </c>
      <c r="J460" s="64" t="s">
        <v>456</v>
      </c>
      <c r="K460" s="64" t="s">
        <v>456</v>
      </c>
      <c r="L460" s="66">
        <v>22.0</v>
      </c>
      <c r="M460" s="66">
        <v>22.0</v>
      </c>
      <c r="N460" s="66" t="s">
        <v>457</v>
      </c>
      <c r="O460" s="66">
        <v>24.0</v>
      </c>
      <c r="P460" s="118" t="s">
        <v>1440</v>
      </c>
      <c r="Q460" s="118" t="s">
        <v>459</v>
      </c>
      <c r="R460" s="118" t="s">
        <v>459</v>
      </c>
      <c r="S460" s="118">
        <v>181.0</v>
      </c>
      <c r="T460" s="64">
        <v>1991.0</v>
      </c>
      <c r="U460" s="118">
        <v>181.0</v>
      </c>
      <c r="V460" s="64">
        <v>1991.0</v>
      </c>
      <c r="W460" s="64">
        <v>1991.0</v>
      </c>
      <c r="X460" s="65" t="s">
        <v>460</v>
      </c>
      <c r="Y460" s="64" t="s">
        <v>461</v>
      </c>
      <c r="Z460" s="64" t="s">
        <v>462</v>
      </c>
      <c r="AA460" s="64" t="s">
        <v>463</v>
      </c>
      <c r="AB460" s="64" t="s">
        <v>464</v>
      </c>
      <c r="AC460" s="60" t="s">
        <v>451</v>
      </c>
      <c r="AD460" s="64" t="s">
        <v>583</v>
      </c>
      <c r="AE460" s="64" t="s">
        <v>627</v>
      </c>
      <c r="AF460" s="64" t="s">
        <v>627</v>
      </c>
      <c r="AG460" s="64" t="s">
        <v>467</v>
      </c>
      <c r="AH460" s="64" t="s">
        <v>467</v>
      </c>
      <c r="AI460" s="66">
        <v>510.0</v>
      </c>
      <c r="AJ460" s="66">
        <v>21.5</v>
      </c>
      <c r="AK460" s="67">
        <v>10965.0</v>
      </c>
      <c r="AL460" s="63"/>
      <c r="AM460" s="63"/>
      <c r="AN460" s="64">
        <v>21.5</v>
      </c>
      <c r="AO460" s="64" t="s">
        <v>468</v>
      </c>
      <c r="AP460" s="63"/>
      <c r="AQ460" s="63"/>
      <c r="AR460" s="63"/>
      <c r="AS460" s="63"/>
      <c r="AT460" s="63"/>
      <c r="AU460" s="63"/>
      <c r="AV460" s="68"/>
      <c r="AW460" s="58" t="s">
        <v>512</v>
      </c>
      <c r="AX460" s="69">
        <v>10965.0</v>
      </c>
      <c r="AY460" s="70"/>
      <c r="AZ460" s="70"/>
      <c r="BA460" s="70"/>
      <c r="BB460" s="70"/>
      <c r="BC460" s="58" t="s">
        <v>469</v>
      </c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  <c r="BQ460" s="58"/>
      <c r="BR460" s="58"/>
    </row>
    <row r="461">
      <c r="A461" s="106">
        <v>45830.0</v>
      </c>
      <c r="B461" s="64" t="s">
        <v>451</v>
      </c>
      <c r="C461" s="61">
        <v>45830.0</v>
      </c>
      <c r="D461" s="61">
        <v>45830.0</v>
      </c>
      <c r="E461" s="60" t="s">
        <v>452</v>
      </c>
      <c r="F461" s="126" t="s">
        <v>1441</v>
      </c>
      <c r="G461" s="63"/>
      <c r="H461" s="64" t="s">
        <v>454</v>
      </c>
      <c r="I461" s="64" t="s">
        <v>586</v>
      </c>
      <c r="J461" s="66" t="s">
        <v>456</v>
      </c>
      <c r="K461" s="66" t="s">
        <v>456</v>
      </c>
      <c r="L461" s="66">
        <v>22.0</v>
      </c>
      <c r="M461" s="66">
        <v>22.0</v>
      </c>
      <c r="N461" s="66" t="s">
        <v>457</v>
      </c>
      <c r="O461" s="66">
        <v>24.0</v>
      </c>
      <c r="P461" s="64" t="s">
        <v>1442</v>
      </c>
      <c r="Q461" s="64" t="s">
        <v>459</v>
      </c>
      <c r="R461" s="64" t="s">
        <v>459</v>
      </c>
      <c r="S461" s="64">
        <v>291.0</v>
      </c>
      <c r="T461" s="64">
        <v>3201.0</v>
      </c>
      <c r="U461" s="64">
        <v>291.0</v>
      </c>
      <c r="V461" s="64">
        <v>3201.0</v>
      </c>
      <c r="W461" s="66">
        <v>3201.0</v>
      </c>
      <c r="X461" s="79" t="s">
        <v>460</v>
      </c>
      <c r="Y461" s="66" t="s">
        <v>461</v>
      </c>
      <c r="Z461" s="64" t="s">
        <v>462</v>
      </c>
      <c r="AA461" s="64" t="s">
        <v>463</v>
      </c>
      <c r="AB461" s="64" t="s">
        <v>464</v>
      </c>
      <c r="AC461" s="60" t="s">
        <v>451</v>
      </c>
      <c r="AD461" s="66" t="s">
        <v>465</v>
      </c>
      <c r="AE461" s="66" t="s">
        <v>579</v>
      </c>
      <c r="AF461" s="66" t="s">
        <v>579</v>
      </c>
      <c r="AG461" s="64" t="s">
        <v>467</v>
      </c>
      <c r="AH461" s="64" t="s">
        <v>467</v>
      </c>
      <c r="AI461" s="64">
        <v>735.0</v>
      </c>
      <c r="AJ461" s="64">
        <v>21.5</v>
      </c>
      <c r="AK461" s="67">
        <v>15802.5</v>
      </c>
      <c r="AL461" s="63"/>
      <c r="AM461" s="63"/>
      <c r="AN461" s="64">
        <v>21.5</v>
      </c>
      <c r="AO461" s="66" t="s">
        <v>468</v>
      </c>
      <c r="AP461" s="63"/>
      <c r="AQ461" s="63"/>
      <c r="AR461" s="63"/>
      <c r="AS461" s="63"/>
      <c r="AT461" s="63"/>
      <c r="AU461" s="63"/>
      <c r="AV461" s="68"/>
      <c r="AW461" s="58" t="s">
        <v>512</v>
      </c>
      <c r="AX461" s="69">
        <v>15802.5</v>
      </c>
      <c r="AY461" s="70"/>
      <c r="AZ461" s="70"/>
      <c r="BA461" s="70"/>
      <c r="BB461" s="70"/>
      <c r="BC461" s="58" t="s">
        <v>469</v>
      </c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</row>
    <row r="462">
      <c r="A462" s="106">
        <v>45830.0</v>
      </c>
      <c r="B462" s="64" t="s">
        <v>451</v>
      </c>
      <c r="C462" s="61">
        <v>45830.0</v>
      </c>
      <c r="D462" s="61">
        <v>45830.0</v>
      </c>
      <c r="E462" s="60" t="s">
        <v>452</v>
      </c>
      <c r="F462" s="126" t="s">
        <v>1443</v>
      </c>
      <c r="G462" s="63"/>
      <c r="H462" s="64" t="s">
        <v>472</v>
      </c>
      <c r="I462" s="64" t="s">
        <v>588</v>
      </c>
      <c r="J462" s="66" t="s">
        <v>456</v>
      </c>
      <c r="K462" s="66" t="s">
        <v>456</v>
      </c>
      <c r="L462" s="66">
        <v>22.0</v>
      </c>
      <c r="M462" s="66">
        <v>22.0</v>
      </c>
      <c r="N462" s="66" t="s">
        <v>457</v>
      </c>
      <c r="O462" s="66">
        <v>24.0</v>
      </c>
      <c r="P462" s="64" t="s">
        <v>1444</v>
      </c>
      <c r="Q462" s="127" t="s">
        <v>1445</v>
      </c>
      <c r="R462" s="127" t="s">
        <v>1445</v>
      </c>
      <c r="S462" s="64">
        <v>184.0</v>
      </c>
      <c r="T462" s="64">
        <v>2024.0</v>
      </c>
      <c r="U462" s="64">
        <v>184.0</v>
      </c>
      <c r="V462" s="64">
        <v>2024.0</v>
      </c>
      <c r="W462" s="66">
        <v>2024.0</v>
      </c>
      <c r="X462" s="79" t="s">
        <v>460</v>
      </c>
      <c r="Y462" s="66" t="s">
        <v>461</v>
      </c>
      <c r="Z462" s="64" t="s">
        <v>462</v>
      </c>
      <c r="AA462" s="64" t="s">
        <v>463</v>
      </c>
      <c r="AB462" s="64" t="s">
        <v>464</v>
      </c>
      <c r="AC462" s="60" t="s">
        <v>451</v>
      </c>
      <c r="AD462" s="60" t="s">
        <v>475</v>
      </c>
      <c r="AE462" s="66" t="s">
        <v>476</v>
      </c>
      <c r="AF462" s="66" t="s">
        <v>476</v>
      </c>
      <c r="AG462" s="64" t="s">
        <v>467</v>
      </c>
      <c r="AH462" s="64" t="s">
        <v>467</v>
      </c>
      <c r="AI462" s="64">
        <v>650.0</v>
      </c>
      <c r="AJ462" s="64">
        <v>21.5</v>
      </c>
      <c r="AK462" s="67">
        <v>13975.0</v>
      </c>
      <c r="AL462" s="63"/>
      <c r="AM462" s="63"/>
      <c r="AN462" s="64">
        <v>21.5</v>
      </c>
      <c r="AO462" s="64" t="s">
        <v>468</v>
      </c>
      <c r="AP462" s="63"/>
      <c r="AQ462" s="63"/>
      <c r="AR462" s="63"/>
      <c r="AS462" s="63"/>
      <c r="AT462" s="63"/>
      <c r="AU462" s="63"/>
      <c r="AV462" s="63"/>
      <c r="AW462" s="58" t="s">
        <v>512</v>
      </c>
      <c r="AX462" s="69">
        <v>13975.0</v>
      </c>
      <c r="AY462" s="70"/>
      <c r="AZ462" s="70"/>
      <c r="BA462" s="70"/>
      <c r="BB462" s="70"/>
      <c r="BC462" s="58" t="s">
        <v>469</v>
      </c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  <c r="BQ462" s="58"/>
      <c r="BR462" s="58"/>
    </row>
    <row r="463">
      <c r="A463" s="105">
        <v>45830.0</v>
      </c>
      <c r="B463" s="66" t="s">
        <v>451</v>
      </c>
      <c r="C463" s="61">
        <v>45830.0</v>
      </c>
      <c r="D463" s="61">
        <v>45830.0</v>
      </c>
      <c r="E463" s="60" t="s">
        <v>452</v>
      </c>
      <c r="F463" s="128" t="s">
        <v>1446</v>
      </c>
      <c r="G463" s="63"/>
      <c r="H463" s="64" t="s">
        <v>472</v>
      </c>
      <c r="I463" s="64" t="s">
        <v>636</v>
      </c>
      <c r="J463" s="64" t="s">
        <v>456</v>
      </c>
      <c r="K463" s="64" t="s">
        <v>456</v>
      </c>
      <c r="L463" s="64">
        <v>22.0</v>
      </c>
      <c r="M463" s="64">
        <v>22.0</v>
      </c>
      <c r="N463" s="64" t="s">
        <v>457</v>
      </c>
      <c r="O463" s="64">
        <v>24.0</v>
      </c>
      <c r="P463" s="66" t="s">
        <v>1447</v>
      </c>
      <c r="Q463" s="66" t="s">
        <v>459</v>
      </c>
      <c r="R463" s="66" t="s">
        <v>459</v>
      </c>
      <c r="S463" s="66">
        <v>237.0</v>
      </c>
      <c r="T463" s="64">
        <v>2607.0</v>
      </c>
      <c r="U463" s="66">
        <v>237.0</v>
      </c>
      <c r="V463" s="64">
        <v>2607.0</v>
      </c>
      <c r="W463" s="64">
        <v>2607.0</v>
      </c>
      <c r="X463" s="76" t="s">
        <v>460</v>
      </c>
      <c r="Y463" s="64" t="s">
        <v>461</v>
      </c>
      <c r="Z463" s="64" t="s">
        <v>462</v>
      </c>
      <c r="AA463" s="64" t="s">
        <v>463</v>
      </c>
      <c r="AB463" s="64" t="s">
        <v>464</v>
      </c>
      <c r="AC463" s="60" t="s">
        <v>451</v>
      </c>
      <c r="AD463" s="64" t="s">
        <v>481</v>
      </c>
      <c r="AE463" s="64" t="s">
        <v>482</v>
      </c>
      <c r="AF463" s="64" t="s">
        <v>482</v>
      </c>
      <c r="AG463" s="64" t="s">
        <v>467</v>
      </c>
      <c r="AH463" s="64" t="s">
        <v>467</v>
      </c>
      <c r="AI463" s="66">
        <v>655.0</v>
      </c>
      <c r="AJ463" s="66">
        <v>21.5</v>
      </c>
      <c r="AK463" s="84">
        <v>14082.5</v>
      </c>
      <c r="AL463" s="63"/>
      <c r="AM463" s="63"/>
      <c r="AN463" s="64">
        <v>21.5</v>
      </c>
      <c r="AO463" s="64" t="s">
        <v>468</v>
      </c>
      <c r="AP463" s="63"/>
      <c r="AQ463" s="63"/>
      <c r="AR463" s="63"/>
      <c r="AS463" s="63"/>
      <c r="AT463" s="63"/>
      <c r="AU463" s="63"/>
      <c r="AV463" s="68"/>
      <c r="AW463" s="58" t="s">
        <v>512</v>
      </c>
      <c r="AX463" s="69">
        <v>14082.5</v>
      </c>
      <c r="AY463" s="70"/>
      <c r="AZ463" s="70"/>
      <c r="BA463" s="70"/>
      <c r="BB463" s="70"/>
      <c r="BC463" s="58" t="s">
        <v>469</v>
      </c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  <c r="BQ463" s="58"/>
      <c r="BR463" s="58"/>
    </row>
    <row r="464">
      <c r="A464" s="106">
        <v>45830.0</v>
      </c>
      <c r="B464" s="64" t="s">
        <v>451</v>
      </c>
      <c r="C464" s="61">
        <v>45830.0</v>
      </c>
      <c r="D464" s="61">
        <v>45830.0</v>
      </c>
      <c r="E464" s="60" t="s">
        <v>452</v>
      </c>
      <c r="F464" s="126" t="s">
        <v>1448</v>
      </c>
      <c r="G464" s="63"/>
      <c r="H464" s="64" t="s">
        <v>492</v>
      </c>
      <c r="I464" s="64" t="s">
        <v>593</v>
      </c>
      <c r="J464" s="66" t="s">
        <v>456</v>
      </c>
      <c r="K464" s="66" t="s">
        <v>456</v>
      </c>
      <c r="L464" s="66">
        <v>28.0</v>
      </c>
      <c r="M464" s="66">
        <v>28.0</v>
      </c>
      <c r="N464" s="66" t="s">
        <v>457</v>
      </c>
      <c r="O464" s="66">
        <v>24.0</v>
      </c>
      <c r="P464" s="64" t="s">
        <v>1449</v>
      </c>
      <c r="Q464" s="64" t="s">
        <v>459</v>
      </c>
      <c r="R464" s="64" t="s">
        <v>459</v>
      </c>
      <c r="S464" s="64">
        <v>502.0</v>
      </c>
      <c r="T464" s="64">
        <v>5522.0</v>
      </c>
      <c r="U464" s="64">
        <v>502.0</v>
      </c>
      <c r="V464" s="64">
        <v>5522.0</v>
      </c>
      <c r="W464" s="64">
        <v>5522.0</v>
      </c>
      <c r="X464" s="76" t="s">
        <v>460</v>
      </c>
      <c r="Y464" s="64" t="s">
        <v>461</v>
      </c>
      <c r="Z464" s="64" t="s">
        <v>462</v>
      </c>
      <c r="AA464" s="64" t="s">
        <v>463</v>
      </c>
      <c r="AB464" s="64" t="s">
        <v>464</v>
      </c>
      <c r="AC464" s="60" t="s">
        <v>451</v>
      </c>
      <c r="AD464" s="66" t="s">
        <v>495</v>
      </c>
      <c r="AE464" s="66" t="s">
        <v>496</v>
      </c>
      <c r="AF464" s="66" t="s">
        <v>496</v>
      </c>
      <c r="AG464" s="64" t="s">
        <v>467</v>
      </c>
      <c r="AH464" s="64" t="s">
        <v>467</v>
      </c>
      <c r="AI464" s="64">
        <v>570.0</v>
      </c>
      <c r="AJ464" s="64">
        <v>23.5</v>
      </c>
      <c r="AK464" s="67">
        <v>13395.0</v>
      </c>
      <c r="AL464" s="63"/>
      <c r="AM464" s="63"/>
      <c r="AN464" s="64">
        <v>23.5</v>
      </c>
      <c r="AO464" s="64" t="s">
        <v>468</v>
      </c>
      <c r="AP464" s="63"/>
      <c r="AQ464" s="63"/>
      <c r="AR464" s="63"/>
      <c r="AS464" s="63"/>
      <c r="AT464" s="63"/>
      <c r="AU464" s="63"/>
      <c r="AV464" s="63"/>
      <c r="AW464" s="58" t="s">
        <v>512</v>
      </c>
      <c r="AX464" s="69">
        <v>13395.0</v>
      </c>
      <c r="AY464" s="70"/>
      <c r="AZ464" s="70"/>
      <c r="BA464" s="70"/>
      <c r="BB464" s="70"/>
      <c r="BC464" s="58" t="s">
        <v>469</v>
      </c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  <c r="BQ464" s="58"/>
      <c r="BR464" s="58"/>
    </row>
    <row r="465">
      <c r="A465" s="105">
        <v>45830.0</v>
      </c>
      <c r="B465" s="66" t="s">
        <v>451</v>
      </c>
      <c r="C465" s="61">
        <v>45830.0</v>
      </c>
      <c r="D465" s="61">
        <v>45830.0</v>
      </c>
      <c r="E465" s="60" t="s">
        <v>452</v>
      </c>
      <c r="F465" s="128" t="s">
        <v>1450</v>
      </c>
      <c r="G465" s="63"/>
      <c r="H465" s="64" t="s">
        <v>1218</v>
      </c>
      <c r="I465" s="64" t="s">
        <v>1219</v>
      </c>
      <c r="J465" s="64" t="s">
        <v>456</v>
      </c>
      <c r="K465" s="64" t="s">
        <v>456</v>
      </c>
      <c r="L465" s="64">
        <v>22.0</v>
      </c>
      <c r="M465" s="64">
        <v>22.0</v>
      </c>
      <c r="N465" s="64" t="s">
        <v>457</v>
      </c>
      <c r="O465" s="64">
        <v>24.0</v>
      </c>
      <c r="P465" s="66" t="s">
        <v>1451</v>
      </c>
      <c r="Q465" s="66" t="s">
        <v>459</v>
      </c>
      <c r="R465" s="66" t="s">
        <v>459</v>
      </c>
      <c r="S465" s="66">
        <v>201.0</v>
      </c>
      <c r="T465" s="64">
        <v>2211.0</v>
      </c>
      <c r="U465" s="66">
        <v>201.0</v>
      </c>
      <c r="V465" s="64">
        <v>2211.0</v>
      </c>
      <c r="W465" s="64">
        <v>2211.0</v>
      </c>
      <c r="X465" s="76" t="s">
        <v>460</v>
      </c>
      <c r="Y465" s="64" t="s">
        <v>461</v>
      </c>
      <c r="Z465" s="64" t="s">
        <v>462</v>
      </c>
      <c r="AA465" s="64" t="s">
        <v>463</v>
      </c>
      <c r="AB465" s="64" t="s">
        <v>464</v>
      </c>
      <c r="AC465" s="60" t="s">
        <v>451</v>
      </c>
      <c r="AD465" s="64" t="s">
        <v>501</v>
      </c>
      <c r="AE465" s="64" t="s">
        <v>502</v>
      </c>
      <c r="AF465" s="64" t="s">
        <v>502</v>
      </c>
      <c r="AG465" s="64" t="s">
        <v>467</v>
      </c>
      <c r="AH465" s="64" t="s">
        <v>467</v>
      </c>
      <c r="AI465" s="66">
        <v>380.0</v>
      </c>
      <c r="AJ465" s="66">
        <v>21.5</v>
      </c>
      <c r="AK465" s="84">
        <v>8170.0</v>
      </c>
      <c r="AL465" s="63"/>
      <c r="AM465" s="63"/>
      <c r="AN465" s="64">
        <v>21.5</v>
      </c>
      <c r="AO465" s="64" t="s">
        <v>468</v>
      </c>
      <c r="AP465" s="63"/>
      <c r="AQ465" s="63"/>
      <c r="AR465" s="63"/>
      <c r="AS465" s="63"/>
      <c r="AT465" s="63"/>
      <c r="AU465" s="63"/>
      <c r="AV465" s="68"/>
      <c r="AW465" s="58" t="s">
        <v>512</v>
      </c>
      <c r="AX465" s="69">
        <v>8170.0</v>
      </c>
      <c r="AY465" s="70"/>
      <c r="AZ465" s="70"/>
      <c r="BA465" s="70"/>
      <c r="BB465" s="70"/>
      <c r="BC465" s="58" t="s">
        <v>469</v>
      </c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  <c r="BN465" s="58"/>
      <c r="BO465" s="58"/>
      <c r="BP465" s="58"/>
      <c r="BQ465" s="58"/>
      <c r="BR465" s="58"/>
    </row>
    <row r="466">
      <c r="A466" s="106">
        <v>45830.0</v>
      </c>
      <c r="B466" s="64" t="s">
        <v>451</v>
      </c>
      <c r="C466" s="61">
        <v>45830.0</v>
      </c>
      <c r="D466" s="61">
        <v>45830.0</v>
      </c>
      <c r="E466" s="60" t="s">
        <v>452</v>
      </c>
      <c r="F466" s="129" t="s">
        <v>1452</v>
      </c>
      <c r="G466" s="63"/>
      <c r="H466" s="64" t="s">
        <v>1453</v>
      </c>
      <c r="I466" s="64" t="s">
        <v>1454</v>
      </c>
      <c r="J466" s="66" t="s">
        <v>456</v>
      </c>
      <c r="K466" s="66" t="s">
        <v>456</v>
      </c>
      <c r="L466" s="66">
        <v>22.0</v>
      </c>
      <c r="M466" s="66">
        <v>22.0</v>
      </c>
      <c r="N466" s="66" t="s">
        <v>457</v>
      </c>
      <c r="O466" s="66">
        <v>24.0</v>
      </c>
      <c r="P466" s="64" t="s">
        <v>1455</v>
      </c>
      <c r="Q466" s="64" t="s">
        <v>459</v>
      </c>
      <c r="R466" s="64" t="s">
        <v>459</v>
      </c>
      <c r="S466" s="64">
        <v>185.0</v>
      </c>
      <c r="T466" s="64">
        <v>2035.0</v>
      </c>
      <c r="U466" s="64">
        <v>185.0</v>
      </c>
      <c r="V466" s="64">
        <v>2035.0</v>
      </c>
      <c r="W466" s="64">
        <v>2035.0</v>
      </c>
      <c r="X466" s="76" t="s">
        <v>460</v>
      </c>
      <c r="Y466" s="64" t="s">
        <v>461</v>
      </c>
      <c r="Z466" s="64" t="s">
        <v>462</v>
      </c>
      <c r="AA466" s="64" t="s">
        <v>463</v>
      </c>
      <c r="AB466" s="64" t="s">
        <v>464</v>
      </c>
      <c r="AC466" s="60" t="s">
        <v>451</v>
      </c>
      <c r="AD466" s="64" t="s">
        <v>601</v>
      </c>
      <c r="AE466" s="64" t="s">
        <v>553</v>
      </c>
      <c r="AF466" s="64" t="s">
        <v>553</v>
      </c>
      <c r="AG466" s="64" t="s">
        <v>467</v>
      </c>
      <c r="AH466" s="64" t="s">
        <v>467</v>
      </c>
      <c r="AI466" s="64">
        <v>770.0</v>
      </c>
      <c r="AJ466" s="64">
        <v>21.5</v>
      </c>
      <c r="AK466" s="67">
        <v>16555.0</v>
      </c>
      <c r="AL466" s="63"/>
      <c r="AM466" s="63"/>
      <c r="AN466" s="64">
        <v>21.5</v>
      </c>
      <c r="AO466" s="64" t="s">
        <v>468</v>
      </c>
      <c r="AP466" s="63"/>
      <c r="AQ466" s="63"/>
      <c r="AR466" s="63"/>
      <c r="AS466" s="63"/>
      <c r="AT466" s="63"/>
      <c r="AU466" s="63"/>
      <c r="AV466" s="63"/>
      <c r="AW466" s="58" t="s">
        <v>512</v>
      </c>
      <c r="AX466" s="69">
        <v>16555.0</v>
      </c>
      <c r="AY466" s="70"/>
      <c r="AZ466" s="70"/>
      <c r="BA466" s="70"/>
      <c r="BB466" s="70"/>
      <c r="BC466" s="58" t="s">
        <v>469</v>
      </c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</row>
    <row r="467">
      <c r="A467" s="105">
        <v>45830.0</v>
      </c>
      <c r="B467" s="66" t="s">
        <v>451</v>
      </c>
      <c r="C467" s="61">
        <v>45830.0</v>
      </c>
      <c r="D467" s="61">
        <v>45830.0</v>
      </c>
      <c r="E467" s="60" t="s">
        <v>452</v>
      </c>
      <c r="F467" s="128" t="s">
        <v>1456</v>
      </c>
      <c r="G467" s="63"/>
      <c r="H467" s="64" t="s">
        <v>504</v>
      </c>
      <c r="I467" s="64" t="s">
        <v>603</v>
      </c>
      <c r="J467" s="64" t="s">
        <v>456</v>
      </c>
      <c r="K467" s="64" t="s">
        <v>456</v>
      </c>
      <c r="L467" s="64">
        <v>22.0</v>
      </c>
      <c r="M467" s="64">
        <v>22.0</v>
      </c>
      <c r="N467" s="64" t="s">
        <v>457</v>
      </c>
      <c r="O467" s="64">
        <v>24.0</v>
      </c>
      <c r="P467" s="66" t="s">
        <v>1457</v>
      </c>
      <c r="Q467" s="66" t="s">
        <v>459</v>
      </c>
      <c r="R467" s="66" t="s">
        <v>459</v>
      </c>
      <c r="S467" s="66">
        <v>155.0</v>
      </c>
      <c r="T467" s="64">
        <v>1705.0</v>
      </c>
      <c r="U467" s="66">
        <v>155.0</v>
      </c>
      <c r="V467" s="64">
        <v>1705.0</v>
      </c>
      <c r="W467" s="66">
        <v>1705.0</v>
      </c>
      <c r="X467" s="79" t="s">
        <v>460</v>
      </c>
      <c r="Y467" s="66" t="s">
        <v>461</v>
      </c>
      <c r="Z467" s="64" t="s">
        <v>462</v>
      </c>
      <c r="AA467" s="64" t="s">
        <v>463</v>
      </c>
      <c r="AB467" s="64" t="s">
        <v>464</v>
      </c>
      <c r="AC467" s="60" t="s">
        <v>451</v>
      </c>
      <c r="AD467" s="64" t="s">
        <v>507</v>
      </c>
      <c r="AE467" s="64" t="s">
        <v>508</v>
      </c>
      <c r="AF467" s="64" t="s">
        <v>508</v>
      </c>
      <c r="AG467" s="64" t="s">
        <v>467</v>
      </c>
      <c r="AH467" s="64" t="s">
        <v>467</v>
      </c>
      <c r="AI467" s="66">
        <v>790.0</v>
      </c>
      <c r="AJ467" s="66">
        <v>21.5</v>
      </c>
      <c r="AK467" s="84">
        <v>16985.0</v>
      </c>
      <c r="AL467" s="63"/>
      <c r="AM467" s="63"/>
      <c r="AN467" s="64">
        <v>21.5</v>
      </c>
      <c r="AO467" s="64" t="s">
        <v>468</v>
      </c>
      <c r="AP467" s="63"/>
      <c r="AQ467" s="63"/>
      <c r="AR467" s="63"/>
      <c r="AS467" s="73">
        <v>0.5</v>
      </c>
      <c r="AT467" s="64">
        <v>8492.5</v>
      </c>
      <c r="AU467" s="60" t="s">
        <v>510</v>
      </c>
      <c r="AV467" s="74" t="s">
        <v>511</v>
      </c>
      <c r="AW467" s="58" t="s">
        <v>512</v>
      </c>
      <c r="AX467" s="69">
        <v>8492.5</v>
      </c>
      <c r="AY467" s="70"/>
      <c r="AZ467" s="70"/>
      <c r="BA467" s="69">
        <v>8492.5</v>
      </c>
      <c r="BB467" s="70"/>
      <c r="BC467" s="58" t="s">
        <v>469</v>
      </c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</row>
    <row r="468">
      <c r="A468" s="106">
        <v>45830.0</v>
      </c>
      <c r="B468" s="64" t="s">
        <v>451</v>
      </c>
      <c r="C468" s="61">
        <v>45830.0</v>
      </c>
      <c r="D468" s="61">
        <v>45830.0</v>
      </c>
      <c r="E468" s="60" t="s">
        <v>452</v>
      </c>
      <c r="F468" s="126" t="s">
        <v>1458</v>
      </c>
      <c r="G468" s="63"/>
      <c r="H468" s="64" t="s">
        <v>504</v>
      </c>
      <c r="I468" s="64" t="s">
        <v>606</v>
      </c>
      <c r="J468" s="66" t="s">
        <v>456</v>
      </c>
      <c r="K468" s="66" t="s">
        <v>456</v>
      </c>
      <c r="L468" s="66">
        <v>22.0</v>
      </c>
      <c r="M468" s="66">
        <v>22.0</v>
      </c>
      <c r="N468" s="66" t="s">
        <v>457</v>
      </c>
      <c r="O468" s="66">
        <v>24.0</v>
      </c>
      <c r="P468" s="64" t="s">
        <v>1459</v>
      </c>
      <c r="Q468" s="64" t="s">
        <v>459</v>
      </c>
      <c r="R468" s="64" t="s">
        <v>459</v>
      </c>
      <c r="S468" s="64">
        <v>122.0</v>
      </c>
      <c r="T468" s="64">
        <v>1342.0</v>
      </c>
      <c r="U468" s="64">
        <v>122.0</v>
      </c>
      <c r="V468" s="64">
        <v>1342.0</v>
      </c>
      <c r="W468" s="64">
        <v>1342.0</v>
      </c>
      <c r="X468" s="76" t="s">
        <v>460</v>
      </c>
      <c r="Y468" s="64" t="s">
        <v>461</v>
      </c>
      <c r="Z468" s="64" t="s">
        <v>462</v>
      </c>
      <c r="AA468" s="64" t="s">
        <v>463</v>
      </c>
      <c r="AB468" s="64" t="s">
        <v>464</v>
      </c>
      <c r="AC468" s="60" t="s">
        <v>451</v>
      </c>
      <c r="AD468" s="66" t="s">
        <v>517</v>
      </c>
      <c r="AE468" s="66" t="s">
        <v>518</v>
      </c>
      <c r="AF468" s="66" t="s">
        <v>518</v>
      </c>
      <c r="AG468" s="64" t="s">
        <v>467</v>
      </c>
      <c r="AH468" s="64" t="s">
        <v>467</v>
      </c>
      <c r="AI468" s="64">
        <v>815.0</v>
      </c>
      <c r="AJ468" s="64">
        <v>21.5</v>
      </c>
      <c r="AK468" s="67">
        <v>17522.5</v>
      </c>
      <c r="AL468" s="63"/>
      <c r="AM468" s="63"/>
      <c r="AN468" s="64">
        <v>21.5</v>
      </c>
      <c r="AO468" s="64" t="s">
        <v>468</v>
      </c>
      <c r="AP468" s="63"/>
      <c r="AQ468" s="63"/>
      <c r="AR468" s="63"/>
      <c r="AS468" s="63"/>
      <c r="AT468" s="63"/>
      <c r="AU468" s="63"/>
      <c r="AV468" s="68"/>
      <c r="AW468" s="58" t="s">
        <v>512</v>
      </c>
      <c r="AX468" s="69">
        <v>17522.5</v>
      </c>
      <c r="AY468" s="70"/>
      <c r="AZ468" s="70"/>
      <c r="BA468" s="70"/>
      <c r="BB468" s="70"/>
      <c r="BC468" s="58" t="s">
        <v>469</v>
      </c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</row>
    <row r="469">
      <c r="A469" s="105">
        <v>45830.0</v>
      </c>
      <c r="B469" s="66" t="s">
        <v>451</v>
      </c>
      <c r="C469" s="61">
        <v>45830.0</v>
      </c>
      <c r="D469" s="61">
        <v>45830.0</v>
      </c>
      <c r="E469" s="60" t="s">
        <v>452</v>
      </c>
      <c r="F469" s="128" t="s">
        <v>1460</v>
      </c>
      <c r="G469" s="63"/>
      <c r="H469" s="64" t="s">
        <v>521</v>
      </c>
      <c r="I469" s="64" t="s">
        <v>1461</v>
      </c>
      <c r="J469" s="64" t="s">
        <v>456</v>
      </c>
      <c r="K469" s="64" t="s">
        <v>456</v>
      </c>
      <c r="L469" s="64">
        <v>22.0</v>
      </c>
      <c r="M469" s="64">
        <v>22.0</v>
      </c>
      <c r="N469" s="64" t="s">
        <v>457</v>
      </c>
      <c r="O469" s="64">
        <v>24.0</v>
      </c>
      <c r="P469" s="66" t="s">
        <v>1462</v>
      </c>
      <c r="Q469" s="66" t="s">
        <v>459</v>
      </c>
      <c r="R469" s="66" t="s">
        <v>459</v>
      </c>
      <c r="S469" s="66">
        <v>185.0</v>
      </c>
      <c r="T469" s="64">
        <v>2035.0</v>
      </c>
      <c r="U469" s="66">
        <v>185.0</v>
      </c>
      <c r="V469" s="64">
        <v>2035.0</v>
      </c>
      <c r="W469" s="66">
        <v>2035.0</v>
      </c>
      <c r="X469" s="79" t="s">
        <v>460</v>
      </c>
      <c r="Y469" s="66" t="s">
        <v>461</v>
      </c>
      <c r="Z469" s="64" t="s">
        <v>462</v>
      </c>
      <c r="AA469" s="64" t="s">
        <v>463</v>
      </c>
      <c r="AB469" s="64" t="s">
        <v>464</v>
      </c>
      <c r="AC469" s="60" t="s">
        <v>451</v>
      </c>
      <c r="AD469" s="64" t="s">
        <v>524</v>
      </c>
      <c r="AE469" s="64" t="s">
        <v>483</v>
      </c>
      <c r="AF469" s="64" t="s">
        <v>483</v>
      </c>
      <c r="AG469" s="64" t="s">
        <v>467</v>
      </c>
      <c r="AH469" s="64" t="s">
        <v>467</v>
      </c>
      <c r="AI469" s="66">
        <v>600.0</v>
      </c>
      <c r="AJ469" s="66">
        <v>21.5</v>
      </c>
      <c r="AK469" s="84">
        <v>12900.0</v>
      </c>
      <c r="AL469" s="63"/>
      <c r="AM469" s="63"/>
      <c r="AN469" s="64">
        <v>21.5</v>
      </c>
      <c r="AO469" s="64" t="s">
        <v>468</v>
      </c>
      <c r="AP469" s="63"/>
      <c r="AQ469" s="63"/>
      <c r="AR469" s="63"/>
      <c r="AS469" s="63"/>
      <c r="AT469" s="63"/>
      <c r="AU469" s="63"/>
      <c r="AV469" s="68"/>
      <c r="AW469" s="58" t="s">
        <v>512</v>
      </c>
      <c r="AX469" s="69">
        <v>12900.0</v>
      </c>
      <c r="AY469" s="70"/>
      <c r="AZ469" s="70"/>
      <c r="BA469" s="70"/>
      <c r="BB469" s="70"/>
      <c r="BC469" s="58" t="s">
        <v>469</v>
      </c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</row>
    <row r="470">
      <c r="A470" s="106">
        <v>45830.0</v>
      </c>
      <c r="B470" s="64" t="s">
        <v>451</v>
      </c>
      <c r="C470" s="61">
        <v>45830.0</v>
      </c>
      <c r="D470" s="61">
        <v>45830.0</v>
      </c>
      <c r="E470" s="60" t="s">
        <v>452</v>
      </c>
      <c r="F470" s="129" t="s">
        <v>1463</v>
      </c>
      <c r="G470" s="63"/>
      <c r="H470" s="64" t="s">
        <v>492</v>
      </c>
      <c r="I470" s="64" t="s">
        <v>527</v>
      </c>
      <c r="J470" s="66" t="s">
        <v>456</v>
      </c>
      <c r="K470" s="66" t="s">
        <v>456</v>
      </c>
      <c r="L470" s="66">
        <v>22.0</v>
      </c>
      <c r="M470" s="66">
        <v>22.0</v>
      </c>
      <c r="N470" s="66" t="s">
        <v>457</v>
      </c>
      <c r="O470" s="66">
        <v>24.0</v>
      </c>
      <c r="P470" s="64" t="s">
        <v>1464</v>
      </c>
      <c r="Q470" s="64" t="s">
        <v>459</v>
      </c>
      <c r="R470" s="64" t="s">
        <v>459</v>
      </c>
      <c r="S470" s="64">
        <v>210.0</v>
      </c>
      <c r="T470" s="64">
        <v>2310.0</v>
      </c>
      <c r="U470" s="64">
        <v>210.0</v>
      </c>
      <c r="V470" s="64">
        <v>2310.0</v>
      </c>
      <c r="W470" s="66">
        <v>2310.0</v>
      </c>
      <c r="X470" s="79" t="s">
        <v>460</v>
      </c>
      <c r="Y470" s="66" t="s">
        <v>461</v>
      </c>
      <c r="Z470" s="64" t="s">
        <v>462</v>
      </c>
      <c r="AA470" s="64" t="s">
        <v>463</v>
      </c>
      <c r="AB470" s="64" t="s">
        <v>464</v>
      </c>
      <c r="AC470" s="60" t="s">
        <v>451</v>
      </c>
      <c r="AD470" s="66" t="s">
        <v>529</v>
      </c>
      <c r="AE470" s="66" t="s">
        <v>535</v>
      </c>
      <c r="AF470" s="66" t="s">
        <v>535</v>
      </c>
      <c r="AG470" s="64" t="s">
        <v>467</v>
      </c>
      <c r="AH470" s="64" t="s">
        <v>467</v>
      </c>
      <c r="AI470" s="64">
        <v>510.0</v>
      </c>
      <c r="AJ470" s="64">
        <v>21.5</v>
      </c>
      <c r="AK470" s="67">
        <v>10965.0</v>
      </c>
      <c r="AL470" s="63"/>
      <c r="AM470" s="63"/>
      <c r="AN470" s="64">
        <v>21.5</v>
      </c>
      <c r="AO470" s="64" t="s">
        <v>468</v>
      </c>
      <c r="AP470" s="63"/>
      <c r="AQ470" s="63"/>
      <c r="AR470" s="63"/>
      <c r="AS470" s="63"/>
      <c r="AT470" s="63"/>
      <c r="AU470" s="63"/>
      <c r="AV470" s="68"/>
      <c r="AW470" s="58" t="s">
        <v>512</v>
      </c>
      <c r="AX470" s="69">
        <v>10965.0</v>
      </c>
      <c r="AY470" s="70"/>
      <c r="AZ470" s="70"/>
      <c r="BA470" s="70"/>
      <c r="BB470" s="70"/>
      <c r="BC470" s="58" t="s">
        <v>469</v>
      </c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</row>
    <row r="471">
      <c r="A471" s="105">
        <v>45830.0</v>
      </c>
      <c r="B471" s="66" t="s">
        <v>451</v>
      </c>
      <c r="C471" s="61">
        <v>45830.0</v>
      </c>
      <c r="D471" s="61">
        <v>45830.0</v>
      </c>
      <c r="E471" s="60" t="s">
        <v>452</v>
      </c>
      <c r="F471" s="128" t="s">
        <v>1465</v>
      </c>
      <c r="G471" s="63"/>
      <c r="H471" s="64" t="s">
        <v>538</v>
      </c>
      <c r="I471" s="64" t="s">
        <v>539</v>
      </c>
      <c r="J471" s="64" t="s">
        <v>456</v>
      </c>
      <c r="K471" s="64" t="s">
        <v>456</v>
      </c>
      <c r="L471" s="64">
        <v>32.0</v>
      </c>
      <c r="M471" s="64">
        <v>32.0</v>
      </c>
      <c r="N471" s="64" t="s">
        <v>540</v>
      </c>
      <c r="O471" s="64">
        <v>24.0</v>
      </c>
      <c r="P471" s="80">
        <v>2.47E8</v>
      </c>
      <c r="Q471" s="66" t="s">
        <v>459</v>
      </c>
      <c r="R471" s="66" t="s">
        <v>459</v>
      </c>
      <c r="S471" s="66">
        <v>154.0</v>
      </c>
      <c r="T471" s="64">
        <v>1694.0</v>
      </c>
      <c r="U471" s="66">
        <v>154.0</v>
      </c>
      <c r="V471" s="64">
        <v>1694.0</v>
      </c>
      <c r="W471" s="64">
        <v>1694.0</v>
      </c>
      <c r="X471" s="76" t="s">
        <v>460</v>
      </c>
      <c r="Y471" s="64" t="s">
        <v>461</v>
      </c>
      <c r="Z471" s="64" t="s">
        <v>462</v>
      </c>
      <c r="AA471" s="64" t="s">
        <v>463</v>
      </c>
      <c r="AB471" s="64" t="s">
        <v>464</v>
      </c>
      <c r="AC471" s="60" t="s">
        <v>451</v>
      </c>
      <c r="AD471" s="64" t="s">
        <v>541</v>
      </c>
      <c r="AE471" s="64" t="s">
        <v>490</v>
      </c>
      <c r="AF471" s="64" t="s">
        <v>490</v>
      </c>
      <c r="AG471" s="64" t="s">
        <v>467</v>
      </c>
      <c r="AH471" s="64" t="s">
        <v>467</v>
      </c>
      <c r="AI471" s="66">
        <v>325.0</v>
      </c>
      <c r="AJ471" s="66">
        <v>28.4</v>
      </c>
      <c r="AK471" s="84">
        <v>9213.75</v>
      </c>
      <c r="AL471" s="63"/>
      <c r="AM471" s="63"/>
      <c r="AN471" s="64">
        <v>28.35</v>
      </c>
      <c r="AO471" s="64" t="s">
        <v>468</v>
      </c>
      <c r="AP471" s="63"/>
      <c r="AQ471" s="63"/>
      <c r="AR471" s="63"/>
      <c r="AS471" s="63"/>
      <c r="AT471" s="63"/>
      <c r="AU471" s="63"/>
      <c r="AV471" s="68"/>
      <c r="AW471" s="58" t="s">
        <v>512</v>
      </c>
      <c r="AX471" s="69">
        <v>9213.75</v>
      </c>
      <c r="AY471" s="70"/>
      <c r="AZ471" s="70"/>
      <c r="BA471" s="70"/>
      <c r="BB471" s="70"/>
      <c r="BC471" s="58" t="s">
        <v>469</v>
      </c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</row>
    <row r="472">
      <c r="A472" s="106">
        <v>45830.0</v>
      </c>
      <c r="B472" s="64" t="s">
        <v>451</v>
      </c>
      <c r="C472" s="61">
        <v>45830.0</v>
      </c>
      <c r="D472" s="61">
        <v>45830.0</v>
      </c>
      <c r="E472" s="60" t="s">
        <v>452</v>
      </c>
      <c r="F472" s="126" t="s">
        <v>1466</v>
      </c>
      <c r="G472" s="63"/>
      <c r="H472" s="64" t="s">
        <v>521</v>
      </c>
      <c r="I472" s="64" t="s">
        <v>1467</v>
      </c>
      <c r="J472" s="64" t="s">
        <v>486</v>
      </c>
      <c r="K472" s="64" t="s">
        <v>486</v>
      </c>
      <c r="L472" s="66">
        <v>22.0</v>
      </c>
      <c r="M472" s="66">
        <v>22.0</v>
      </c>
      <c r="N472" s="66" t="s">
        <v>457</v>
      </c>
      <c r="O472" s="66">
        <v>24.0</v>
      </c>
      <c r="P472" s="66" t="s">
        <v>1468</v>
      </c>
      <c r="Q472" s="66" t="s">
        <v>459</v>
      </c>
      <c r="R472" s="66" t="s">
        <v>459</v>
      </c>
      <c r="S472" s="66">
        <v>254.0</v>
      </c>
      <c r="T472" s="64">
        <v>2794.0</v>
      </c>
      <c r="U472" s="66">
        <v>254.0</v>
      </c>
      <c r="V472" s="64">
        <v>2794.0</v>
      </c>
      <c r="W472" s="64">
        <v>2794.0</v>
      </c>
      <c r="X472" s="76" t="s">
        <v>460</v>
      </c>
      <c r="Y472" s="64" t="s">
        <v>461</v>
      </c>
      <c r="Z472" s="64" t="s">
        <v>462</v>
      </c>
      <c r="AA472" s="64" t="s">
        <v>463</v>
      </c>
      <c r="AB472" s="64" t="s">
        <v>464</v>
      </c>
      <c r="AC472" s="60" t="s">
        <v>451</v>
      </c>
      <c r="AD472" s="66" t="s">
        <v>678</v>
      </c>
      <c r="AE472" s="66" t="s">
        <v>643</v>
      </c>
      <c r="AF472" s="66" t="s">
        <v>643</v>
      </c>
      <c r="AG472" s="64" t="s">
        <v>467</v>
      </c>
      <c r="AH472" s="64" t="s">
        <v>467</v>
      </c>
      <c r="AI472" s="64">
        <v>805.0</v>
      </c>
      <c r="AJ472" s="64">
        <v>23.5</v>
      </c>
      <c r="AK472" s="67">
        <v>18917.5</v>
      </c>
      <c r="AL472" s="63"/>
      <c r="AM472" s="63"/>
      <c r="AN472" s="64">
        <v>23.5</v>
      </c>
      <c r="AO472" s="64" t="s">
        <v>468</v>
      </c>
      <c r="AP472" s="63"/>
      <c r="AQ472" s="63"/>
      <c r="AR472" s="63"/>
      <c r="AS472" s="63"/>
      <c r="AT472" s="63"/>
      <c r="AU472" s="63"/>
      <c r="AV472" s="68"/>
      <c r="AW472" s="58" t="s">
        <v>512</v>
      </c>
      <c r="AX472" s="69">
        <v>18917.5</v>
      </c>
      <c r="AY472" s="70"/>
      <c r="AZ472" s="70"/>
      <c r="BA472" s="70"/>
      <c r="BB472" s="70"/>
      <c r="BC472" s="58" t="s">
        <v>469</v>
      </c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</row>
    <row r="473">
      <c r="A473" s="105">
        <v>45830.0</v>
      </c>
      <c r="B473" s="66" t="s">
        <v>451</v>
      </c>
      <c r="C473" s="61">
        <v>45830.0</v>
      </c>
      <c r="D473" s="61">
        <v>45830.0</v>
      </c>
      <c r="E473" s="60" t="s">
        <v>452</v>
      </c>
      <c r="F473" s="128" t="s">
        <v>1469</v>
      </c>
      <c r="G473" s="63"/>
      <c r="H473" s="64" t="s">
        <v>521</v>
      </c>
      <c r="I473" s="64" t="s">
        <v>522</v>
      </c>
      <c r="J473" s="64" t="s">
        <v>456</v>
      </c>
      <c r="K473" s="64" t="s">
        <v>456</v>
      </c>
      <c r="L473" s="66">
        <v>22.0</v>
      </c>
      <c r="M473" s="66">
        <v>22.0</v>
      </c>
      <c r="N473" s="66" t="s">
        <v>457</v>
      </c>
      <c r="O473" s="66">
        <v>24.0</v>
      </c>
      <c r="P473" s="75">
        <v>2.47E8</v>
      </c>
      <c r="Q473" s="64" t="s">
        <v>459</v>
      </c>
      <c r="R473" s="64" t="s">
        <v>459</v>
      </c>
      <c r="S473" s="64">
        <v>111.0</v>
      </c>
      <c r="T473" s="64">
        <v>1221.0</v>
      </c>
      <c r="U473" s="64">
        <v>111.0</v>
      </c>
      <c r="V473" s="64">
        <v>1221.0</v>
      </c>
      <c r="W473" s="64">
        <v>1221.0</v>
      </c>
      <c r="X473" s="76" t="s">
        <v>460</v>
      </c>
      <c r="Y473" s="64" t="s">
        <v>461</v>
      </c>
      <c r="Z473" s="64" t="s">
        <v>462</v>
      </c>
      <c r="AA473" s="64" t="s">
        <v>463</v>
      </c>
      <c r="AB473" s="64" t="s">
        <v>464</v>
      </c>
      <c r="AC473" s="60" t="s">
        <v>451</v>
      </c>
      <c r="AD473" s="66" t="s">
        <v>557</v>
      </c>
      <c r="AE473" s="64" t="s">
        <v>525</v>
      </c>
      <c r="AF473" s="64" t="s">
        <v>525</v>
      </c>
      <c r="AG473" s="64" t="s">
        <v>467</v>
      </c>
      <c r="AH473" s="64" t="s">
        <v>467</v>
      </c>
      <c r="AI473" s="66">
        <v>800.0</v>
      </c>
      <c r="AJ473" s="64">
        <v>21.5</v>
      </c>
      <c r="AK473" s="67">
        <v>17200.0</v>
      </c>
      <c r="AL473" s="63"/>
      <c r="AM473" s="63"/>
      <c r="AN473" s="64">
        <v>21.5</v>
      </c>
      <c r="AO473" s="64" t="s">
        <v>468</v>
      </c>
      <c r="AP473" s="63"/>
      <c r="AQ473" s="63"/>
      <c r="AR473" s="63"/>
      <c r="AS473" s="63"/>
      <c r="AT473" s="63"/>
      <c r="AU473" s="63"/>
      <c r="AV473" s="68"/>
      <c r="AW473" s="58" t="s">
        <v>512</v>
      </c>
      <c r="AX473" s="69">
        <v>17200.0</v>
      </c>
      <c r="AY473" s="70"/>
      <c r="AZ473" s="70"/>
      <c r="BA473" s="70"/>
      <c r="BB473" s="70"/>
      <c r="BC473" s="58" t="s">
        <v>469</v>
      </c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</row>
    <row r="474">
      <c r="A474" s="106">
        <v>45830.0</v>
      </c>
      <c r="B474" s="64" t="s">
        <v>451</v>
      </c>
      <c r="C474" s="61">
        <v>45830.0</v>
      </c>
      <c r="D474" s="61">
        <v>45830.0</v>
      </c>
      <c r="E474" s="60" t="s">
        <v>452</v>
      </c>
      <c r="F474" s="126" t="s">
        <v>1470</v>
      </c>
      <c r="G474" s="63"/>
      <c r="H474" s="64" t="s">
        <v>771</v>
      </c>
      <c r="I474" s="64" t="s">
        <v>772</v>
      </c>
      <c r="J474" s="66" t="s">
        <v>456</v>
      </c>
      <c r="K474" s="66" t="s">
        <v>456</v>
      </c>
      <c r="L474" s="66">
        <v>22.0</v>
      </c>
      <c r="M474" s="66">
        <v>22.0</v>
      </c>
      <c r="N474" s="66" t="s">
        <v>457</v>
      </c>
      <c r="O474" s="66">
        <v>24.0</v>
      </c>
      <c r="P474" s="64" t="s">
        <v>1471</v>
      </c>
      <c r="Q474" s="64" t="s">
        <v>459</v>
      </c>
      <c r="R474" s="64" t="s">
        <v>459</v>
      </c>
      <c r="S474" s="64">
        <v>219.0</v>
      </c>
      <c r="T474" s="64">
        <v>2409.0</v>
      </c>
      <c r="U474" s="64">
        <v>219.0</v>
      </c>
      <c r="V474" s="64">
        <v>2409.0</v>
      </c>
      <c r="W474" s="66">
        <v>2409.0</v>
      </c>
      <c r="X474" s="79" t="s">
        <v>460</v>
      </c>
      <c r="Y474" s="66" t="s">
        <v>461</v>
      </c>
      <c r="Z474" s="64" t="s">
        <v>462</v>
      </c>
      <c r="AA474" s="64" t="s">
        <v>463</v>
      </c>
      <c r="AB474" s="64" t="s">
        <v>464</v>
      </c>
      <c r="AC474" s="60" t="s">
        <v>451</v>
      </c>
      <c r="AD474" s="66" t="s">
        <v>561</v>
      </c>
      <c r="AE474" s="66" t="s">
        <v>562</v>
      </c>
      <c r="AF474" s="66" t="s">
        <v>562</v>
      </c>
      <c r="AG474" s="64" t="s">
        <v>467</v>
      </c>
      <c r="AH474" s="64" t="s">
        <v>467</v>
      </c>
      <c r="AI474" s="64">
        <v>325.0</v>
      </c>
      <c r="AJ474" s="64">
        <v>21.5</v>
      </c>
      <c r="AK474" s="67">
        <v>6987.5</v>
      </c>
      <c r="AL474" s="63"/>
      <c r="AM474" s="63"/>
      <c r="AN474" s="64">
        <v>21.5</v>
      </c>
      <c r="AO474" s="64" t="s">
        <v>468</v>
      </c>
      <c r="AP474" s="63"/>
      <c r="AQ474" s="63"/>
      <c r="AR474" s="63"/>
      <c r="AS474" s="63"/>
      <c r="AT474" s="63"/>
      <c r="AU474" s="63"/>
      <c r="AV474" s="63"/>
      <c r="AW474" s="58" t="s">
        <v>512</v>
      </c>
      <c r="AX474" s="69">
        <v>6987.5</v>
      </c>
      <c r="AY474" s="70"/>
      <c r="AZ474" s="70"/>
      <c r="BA474" s="70"/>
      <c r="BB474" s="70"/>
      <c r="BC474" s="58" t="s">
        <v>469</v>
      </c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</row>
    <row r="475">
      <c r="A475" s="105">
        <v>45830.0</v>
      </c>
      <c r="B475" s="66" t="s">
        <v>451</v>
      </c>
      <c r="C475" s="61">
        <v>45830.0</v>
      </c>
      <c r="D475" s="61">
        <v>45830.0</v>
      </c>
      <c r="E475" s="60" t="s">
        <v>452</v>
      </c>
      <c r="F475" s="128" t="s">
        <v>1472</v>
      </c>
      <c r="G475" s="63"/>
      <c r="H475" s="64" t="s">
        <v>771</v>
      </c>
      <c r="I475" s="64" t="s">
        <v>775</v>
      </c>
      <c r="J475" s="64" t="s">
        <v>456</v>
      </c>
      <c r="K475" s="64" t="s">
        <v>456</v>
      </c>
      <c r="L475" s="64">
        <v>22.0</v>
      </c>
      <c r="M475" s="64">
        <v>22.0</v>
      </c>
      <c r="N475" s="64" t="s">
        <v>457</v>
      </c>
      <c r="O475" s="64">
        <v>24.0</v>
      </c>
      <c r="P475" s="66" t="s">
        <v>459</v>
      </c>
      <c r="Q475" s="66" t="s">
        <v>459</v>
      </c>
      <c r="R475" s="66" t="s">
        <v>459</v>
      </c>
      <c r="S475" s="66">
        <v>184.0</v>
      </c>
      <c r="T475" s="64">
        <v>2024.0</v>
      </c>
      <c r="U475" s="66">
        <v>184.0</v>
      </c>
      <c r="V475" s="64">
        <v>2024.0</v>
      </c>
      <c r="W475" s="64">
        <v>2024.0</v>
      </c>
      <c r="X475" s="76" t="s">
        <v>460</v>
      </c>
      <c r="Y475" s="64" t="s">
        <v>461</v>
      </c>
      <c r="Z475" s="64" t="s">
        <v>462</v>
      </c>
      <c r="AA475" s="64" t="s">
        <v>463</v>
      </c>
      <c r="AB475" s="64" t="s">
        <v>464</v>
      </c>
      <c r="AC475" s="60" t="s">
        <v>451</v>
      </c>
      <c r="AD475" s="64" t="s">
        <v>566</v>
      </c>
      <c r="AE475" s="64" t="s">
        <v>567</v>
      </c>
      <c r="AF475" s="64" t="s">
        <v>567</v>
      </c>
      <c r="AG475" s="64" t="s">
        <v>467</v>
      </c>
      <c r="AH475" s="64" t="s">
        <v>467</v>
      </c>
      <c r="AI475" s="66">
        <v>475.0</v>
      </c>
      <c r="AJ475" s="66">
        <v>21.5</v>
      </c>
      <c r="AK475" s="84">
        <v>10212.5</v>
      </c>
      <c r="AL475" s="63"/>
      <c r="AM475" s="63"/>
      <c r="AN475" s="64">
        <v>21.5</v>
      </c>
      <c r="AO475" s="64" t="s">
        <v>468</v>
      </c>
      <c r="AP475" s="63"/>
      <c r="AQ475" s="63"/>
      <c r="AR475" s="63"/>
      <c r="AS475" s="63"/>
      <c r="AT475" s="63"/>
      <c r="AU475" s="63"/>
      <c r="AV475" s="63"/>
      <c r="AW475" s="58" t="s">
        <v>512</v>
      </c>
      <c r="AX475" s="69">
        <v>10212.5</v>
      </c>
      <c r="AY475" s="70"/>
      <c r="AZ475" s="70"/>
      <c r="BA475" s="70"/>
      <c r="BB475" s="70"/>
      <c r="BC475" s="58" t="s">
        <v>469</v>
      </c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</row>
    <row r="476">
      <c r="A476" s="106">
        <v>45830.0</v>
      </c>
      <c r="B476" s="64" t="s">
        <v>451</v>
      </c>
      <c r="C476" s="61">
        <v>45830.0</v>
      </c>
      <c r="D476" s="61">
        <v>45830.0</v>
      </c>
      <c r="E476" s="60" t="s">
        <v>452</v>
      </c>
      <c r="F476" s="126" t="s">
        <v>1473</v>
      </c>
      <c r="G476" s="63"/>
      <c r="H476" s="64" t="s">
        <v>492</v>
      </c>
      <c r="I476" s="64" t="s">
        <v>626</v>
      </c>
      <c r="J476" s="66" t="s">
        <v>456</v>
      </c>
      <c r="K476" s="66" t="s">
        <v>456</v>
      </c>
      <c r="L476" s="66">
        <v>22.0</v>
      </c>
      <c r="M476" s="66">
        <v>22.0</v>
      </c>
      <c r="N476" s="66" t="s">
        <v>457</v>
      </c>
      <c r="O476" s="66">
        <v>24.0</v>
      </c>
      <c r="P476" s="64" t="s">
        <v>1474</v>
      </c>
      <c r="Q476" s="64" t="s">
        <v>459</v>
      </c>
      <c r="R476" s="64" t="s">
        <v>459</v>
      </c>
      <c r="S476" s="64">
        <v>180.0</v>
      </c>
      <c r="T476" s="64">
        <v>1980.0</v>
      </c>
      <c r="U476" s="64">
        <v>180.0</v>
      </c>
      <c r="V476" s="64">
        <v>1980.0</v>
      </c>
      <c r="W476" s="66">
        <v>1980.0</v>
      </c>
      <c r="X476" s="79" t="s">
        <v>460</v>
      </c>
      <c r="Y476" s="66" t="s">
        <v>461</v>
      </c>
      <c r="Z476" s="64" t="s">
        <v>462</v>
      </c>
      <c r="AA476" s="64" t="s">
        <v>463</v>
      </c>
      <c r="AB476" s="64" t="s">
        <v>464</v>
      </c>
      <c r="AC476" s="60" t="s">
        <v>451</v>
      </c>
      <c r="AD476" s="66" t="s">
        <v>571</v>
      </c>
      <c r="AE476" s="66" t="s">
        <v>572</v>
      </c>
      <c r="AF476" s="66" t="s">
        <v>572</v>
      </c>
      <c r="AG476" s="64" t="s">
        <v>467</v>
      </c>
      <c r="AH476" s="64" t="s">
        <v>467</v>
      </c>
      <c r="AI476" s="64">
        <v>655.0</v>
      </c>
      <c r="AJ476" s="64">
        <v>21.5</v>
      </c>
      <c r="AK476" s="67">
        <v>14082.5</v>
      </c>
      <c r="AL476" s="63"/>
      <c r="AM476" s="63"/>
      <c r="AN476" s="64">
        <v>21.5</v>
      </c>
      <c r="AO476" s="64" t="s">
        <v>468</v>
      </c>
      <c r="AP476" s="63"/>
      <c r="AQ476" s="63"/>
      <c r="AR476" s="63"/>
      <c r="AS476" s="63"/>
      <c r="AT476" s="63"/>
      <c r="AU476" s="63"/>
      <c r="AV476" s="68"/>
      <c r="AW476" s="58" t="s">
        <v>512</v>
      </c>
      <c r="AX476" s="69">
        <v>14082.5</v>
      </c>
      <c r="AY476" s="70"/>
      <c r="AZ476" s="70"/>
      <c r="BA476" s="70"/>
      <c r="BB476" s="70"/>
      <c r="BC476" s="58" t="s">
        <v>469</v>
      </c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</row>
    <row r="477">
      <c r="A477" s="105">
        <v>45830.0</v>
      </c>
      <c r="B477" s="66" t="s">
        <v>451</v>
      </c>
      <c r="C477" s="61">
        <v>45830.0</v>
      </c>
      <c r="D477" s="61">
        <v>45830.0</v>
      </c>
      <c r="E477" s="60" t="s">
        <v>452</v>
      </c>
      <c r="F477" s="128" t="s">
        <v>1475</v>
      </c>
      <c r="G477" s="63"/>
      <c r="H477" s="64" t="s">
        <v>472</v>
      </c>
      <c r="I477" s="64" t="s">
        <v>632</v>
      </c>
      <c r="J477" s="64" t="s">
        <v>456</v>
      </c>
      <c r="K477" s="64" t="s">
        <v>456</v>
      </c>
      <c r="L477" s="64">
        <v>22.0</v>
      </c>
      <c r="M477" s="64">
        <v>22.0</v>
      </c>
      <c r="N477" s="64" t="s">
        <v>457</v>
      </c>
      <c r="O477" s="64">
        <v>24.0</v>
      </c>
      <c r="P477" s="80">
        <v>2.47E8</v>
      </c>
      <c r="Q477" s="66" t="s">
        <v>459</v>
      </c>
      <c r="R477" s="66" t="s">
        <v>459</v>
      </c>
      <c r="S477" s="66">
        <v>165.0</v>
      </c>
      <c r="T477" s="64">
        <v>1815.0</v>
      </c>
      <c r="U477" s="66">
        <v>165.0</v>
      </c>
      <c r="V477" s="64">
        <v>1815.0</v>
      </c>
      <c r="W477" s="64">
        <v>1815.0</v>
      </c>
      <c r="X477" s="76" t="s">
        <v>460</v>
      </c>
      <c r="Y477" s="64" t="s">
        <v>461</v>
      </c>
      <c r="Z477" s="64" t="s">
        <v>462</v>
      </c>
      <c r="AA477" s="64" t="s">
        <v>463</v>
      </c>
      <c r="AB477" s="64" t="s">
        <v>464</v>
      </c>
      <c r="AC477" s="60" t="s">
        <v>451</v>
      </c>
      <c r="AD477" s="64" t="s">
        <v>577</v>
      </c>
      <c r="AE477" s="130" t="s">
        <v>578</v>
      </c>
      <c r="AF477" s="130" t="s">
        <v>578</v>
      </c>
      <c r="AG477" s="64" t="s">
        <v>467</v>
      </c>
      <c r="AH477" s="64" t="s">
        <v>467</v>
      </c>
      <c r="AI477" s="66">
        <v>396.0</v>
      </c>
      <c r="AJ477" s="66">
        <v>21.5</v>
      </c>
      <c r="AK477" s="84">
        <v>8514.0</v>
      </c>
      <c r="AL477" s="63"/>
      <c r="AM477" s="63"/>
      <c r="AN477" s="64">
        <v>21.5</v>
      </c>
      <c r="AO477" s="64" t="s">
        <v>468</v>
      </c>
      <c r="AP477" s="63"/>
      <c r="AQ477" s="63"/>
      <c r="AR477" s="63"/>
      <c r="AS477" s="63"/>
      <c r="AT477" s="63"/>
      <c r="AU477" s="63"/>
      <c r="AV477" s="63"/>
      <c r="AW477" s="58" t="s">
        <v>512</v>
      </c>
      <c r="AX477" s="69">
        <v>8514.0</v>
      </c>
      <c r="AY477" s="70"/>
      <c r="AZ477" s="70"/>
      <c r="BA477" s="70"/>
      <c r="BB477" s="70"/>
      <c r="BC477" s="58" t="s">
        <v>469</v>
      </c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  <c r="BQ477" s="58"/>
      <c r="BR477" s="58"/>
    </row>
    <row r="478">
      <c r="A478" s="106">
        <v>45830.0</v>
      </c>
      <c r="B478" s="64" t="s">
        <v>451</v>
      </c>
      <c r="C478" s="61">
        <v>45830.0</v>
      </c>
      <c r="D478" s="61">
        <v>45830.0</v>
      </c>
      <c r="E478" s="60" t="s">
        <v>452</v>
      </c>
      <c r="F478" s="126" t="s">
        <v>1476</v>
      </c>
      <c r="G478" s="63"/>
      <c r="H478" s="64" t="s">
        <v>472</v>
      </c>
      <c r="I478" s="64" t="s">
        <v>891</v>
      </c>
      <c r="J478" s="66" t="s">
        <v>456</v>
      </c>
      <c r="K478" s="66" t="s">
        <v>456</v>
      </c>
      <c r="L478" s="66">
        <v>22.0</v>
      </c>
      <c r="M478" s="66">
        <v>22.0</v>
      </c>
      <c r="N478" s="66" t="s">
        <v>457</v>
      </c>
      <c r="O478" s="66">
        <v>24.0</v>
      </c>
      <c r="P478" s="75">
        <v>2.47E8</v>
      </c>
      <c r="Q478" s="64" t="s">
        <v>459</v>
      </c>
      <c r="R478" s="64" t="s">
        <v>459</v>
      </c>
      <c r="S478" s="64">
        <v>52.0</v>
      </c>
      <c r="T478" s="64">
        <v>572.0</v>
      </c>
      <c r="U478" s="64">
        <v>52.0</v>
      </c>
      <c r="V478" s="64">
        <v>572.0</v>
      </c>
      <c r="W478" s="64">
        <v>572.0</v>
      </c>
      <c r="X478" s="76" t="s">
        <v>460</v>
      </c>
      <c r="Y478" s="64" t="s">
        <v>461</v>
      </c>
      <c r="Z478" s="64" t="s">
        <v>462</v>
      </c>
      <c r="AA478" s="64" t="s">
        <v>463</v>
      </c>
      <c r="AB478" s="64" t="s">
        <v>464</v>
      </c>
      <c r="AC478" s="60" t="s">
        <v>451</v>
      </c>
      <c r="AD478" s="66" t="s">
        <v>634</v>
      </c>
      <c r="AE478" s="66" t="s">
        <v>617</v>
      </c>
      <c r="AF478" s="66" t="s">
        <v>617</v>
      </c>
      <c r="AG478" s="64" t="s">
        <v>467</v>
      </c>
      <c r="AH478" s="64" t="s">
        <v>467</v>
      </c>
      <c r="AI478" s="64">
        <v>330.0</v>
      </c>
      <c r="AJ478" s="64">
        <v>21.5</v>
      </c>
      <c r="AK478" s="67">
        <v>7095.0</v>
      </c>
      <c r="AL478" s="63"/>
      <c r="AM478" s="63"/>
      <c r="AN478" s="64">
        <v>21.5</v>
      </c>
      <c r="AO478" s="64" t="s">
        <v>468</v>
      </c>
      <c r="AP478" s="77"/>
      <c r="AQ478" s="77"/>
      <c r="AR478" s="77"/>
      <c r="AS478" s="77"/>
      <c r="AT478" s="77"/>
      <c r="AU478" s="77"/>
      <c r="AV478" s="77"/>
      <c r="AW478" s="58" t="s">
        <v>512</v>
      </c>
      <c r="AX478" s="69">
        <v>7095.0</v>
      </c>
      <c r="AY478" s="70"/>
      <c r="AZ478" s="70"/>
      <c r="BA478" s="70"/>
      <c r="BB478" s="70"/>
      <c r="BC478" s="58" t="s">
        <v>469</v>
      </c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  <c r="BQ478" s="58"/>
      <c r="BR478" s="58"/>
    </row>
    <row r="479">
      <c r="A479" s="105">
        <v>45830.0</v>
      </c>
      <c r="B479" s="66" t="s">
        <v>451</v>
      </c>
      <c r="C479" s="61">
        <v>45830.0</v>
      </c>
      <c r="D479" s="61">
        <v>45830.0</v>
      </c>
      <c r="E479" s="60" t="s">
        <v>452</v>
      </c>
      <c r="F479" s="128" t="s">
        <v>1477</v>
      </c>
      <c r="G479" s="63"/>
      <c r="H479" s="64" t="s">
        <v>472</v>
      </c>
      <c r="I479" s="64" t="s">
        <v>779</v>
      </c>
      <c r="J479" s="64" t="s">
        <v>456</v>
      </c>
      <c r="K479" s="64" t="s">
        <v>456</v>
      </c>
      <c r="L479" s="64">
        <v>22.0</v>
      </c>
      <c r="M479" s="64">
        <v>22.0</v>
      </c>
      <c r="N479" s="64" t="s">
        <v>457</v>
      </c>
      <c r="O479" s="64">
        <v>24.0</v>
      </c>
      <c r="P479" s="66" t="s">
        <v>1478</v>
      </c>
      <c r="Q479" s="66" t="s">
        <v>459</v>
      </c>
      <c r="R479" s="66" t="s">
        <v>459</v>
      </c>
      <c r="S479" s="66">
        <v>112.0</v>
      </c>
      <c r="T479" s="64">
        <v>1232.0</v>
      </c>
      <c r="U479" s="66">
        <v>112.0</v>
      </c>
      <c r="V479" s="64">
        <v>1232.0</v>
      </c>
      <c r="W479" s="66">
        <v>1232.0</v>
      </c>
      <c r="X479" s="79" t="s">
        <v>460</v>
      </c>
      <c r="Y479" s="66" t="s">
        <v>461</v>
      </c>
      <c r="Z479" s="64" t="s">
        <v>462</v>
      </c>
      <c r="AA479" s="64" t="s">
        <v>463</v>
      </c>
      <c r="AB479" s="64" t="s">
        <v>464</v>
      </c>
      <c r="AC479" s="60" t="s">
        <v>451</v>
      </c>
      <c r="AD479" s="64" t="s">
        <v>638</v>
      </c>
      <c r="AE479" s="64" t="s">
        <v>531</v>
      </c>
      <c r="AF479" s="64" t="s">
        <v>531</v>
      </c>
      <c r="AG479" s="64" t="s">
        <v>467</v>
      </c>
      <c r="AH479" s="64" t="s">
        <v>467</v>
      </c>
      <c r="AI479" s="66">
        <v>510.0</v>
      </c>
      <c r="AJ479" s="66">
        <v>21.5</v>
      </c>
      <c r="AK479" s="84">
        <v>10965.0</v>
      </c>
      <c r="AL479" s="63"/>
      <c r="AM479" s="63"/>
      <c r="AN479" s="64">
        <v>21.5</v>
      </c>
      <c r="AO479" s="64" t="s">
        <v>468</v>
      </c>
      <c r="AP479" s="63"/>
      <c r="AQ479" s="63"/>
      <c r="AR479" s="63"/>
      <c r="AS479" s="63"/>
      <c r="AT479" s="63"/>
      <c r="AU479" s="63"/>
      <c r="AV479" s="68"/>
      <c r="AW479" s="58" t="s">
        <v>512</v>
      </c>
      <c r="AX479" s="69">
        <v>10965.0</v>
      </c>
      <c r="AY479" s="70"/>
      <c r="AZ479" s="70"/>
      <c r="BA479" s="70"/>
      <c r="BB479" s="70"/>
      <c r="BC479" s="58" t="s">
        <v>469</v>
      </c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  <c r="BQ479" s="58"/>
      <c r="BR479" s="58"/>
    </row>
    <row r="480">
      <c r="A480" s="105">
        <v>45831.0</v>
      </c>
      <c r="B480" s="66" t="s">
        <v>451</v>
      </c>
      <c r="C480" s="61">
        <v>45831.0</v>
      </c>
      <c r="D480" s="61">
        <v>45831.0</v>
      </c>
      <c r="E480" s="60" t="s">
        <v>452</v>
      </c>
      <c r="F480" s="128" t="s">
        <v>1479</v>
      </c>
      <c r="G480" s="63"/>
      <c r="H480" s="64" t="s">
        <v>454</v>
      </c>
      <c r="I480" s="117" t="s">
        <v>1265</v>
      </c>
      <c r="J480" s="64" t="s">
        <v>456</v>
      </c>
      <c r="K480" s="64" t="s">
        <v>456</v>
      </c>
      <c r="L480" s="64">
        <v>22.0</v>
      </c>
      <c r="M480" s="64">
        <v>22.0</v>
      </c>
      <c r="N480" s="64" t="s">
        <v>457</v>
      </c>
      <c r="O480" s="64">
        <v>24.0</v>
      </c>
      <c r="P480" s="117" t="s">
        <v>1480</v>
      </c>
      <c r="Q480" s="66" t="s">
        <v>459</v>
      </c>
      <c r="R480" s="66" t="s">
        <v>459</v>
      </c>
      <c r="S480" s="117">
        <v>342.0</v>
      </c>
      <c r="T480" s="64">
        <v>3762.0</v>
      </c>
      <c r="U480" s="117">
        <v>342.0</v>
      </c>
      <c r="V480" s="64">
        <v>3762.0</v>
      </c>
      <c r="W480" s="64">
        <v>3762.0</v>
      </c>
      <c r="X480" s="65" t="s">
        <v>460</v>
      </c>
      <c r="Y480" s="64" t="s">
        <v>461</v>
      </c>
      <c r="Z480" s="64" t="s">
        <v>462</v>
      </c>
      <c r="AA480" s="64" t="s">
        <v>463</v>
      </c>
      <c r="AB480" s="64" t="s">
        <v>464</v>
      </c>
      <c r="AC480" s="60" t="s">
        <v>451</v>
      </c>
      <c r="AD480" s="64" t="s">
        <v>465</v>
      </c>
      <c r="AE480" s="118" t="s">
        <v>579</v>
      </c>
      <c r="AF480" s="118" t="s">
        <v>579</v>
      </c>
      <c r="AG480" s="64" t="s">
        <v>467</v>
      </c>
      <c r="AH480" s="64" t="s">
        <v>467</v>
      </c>
      <c r="AI480" s="66">
        <v>735.0</v>
      </c>
      <c r="AJ480" s="66">
        <v>21.5</v>
      </c>
      <c r="AK480" s="84">
        <v>15802.5</v>
      </c>
      <c r="AL480" s="63"/>
      <c r="AM480" s="63"/>
      <c r="AN480" s="64">
        <v>21.5</v>
      </c>
      <c r="AO480" s="60" t="s">
        <v>468</v>
      </c>
      <c r="AP480" s="63"/>
      <c r="AQ480" s="63"/>
      <c r="AR480" s="63"/>
      <c r="AS480" s="63"/>
      <c r="AT480" s="63"/>
      <c r="AU480" s="63"/>
      <c r="AV480" s="68"/>
      <c r="AW480" s="58" t="s">
        <v>512</v>
      </c>
      <c r="AX480" s="69">
        <v>15802.5</v>
      </c>
      <c r="AY480" s="70"/>
      <c r="AZ480" s="70"/>
      <c r="BA480" s="70"/>
      <c r="BB480" s="70"/>
      <c r="BC480" s="58" t="s">
        <v>469</v>
      </c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  <c r="BQ480" s="58"/>
      <c r="BR480" s="58"/>
    </row>
    <row r="481">
      <c r="A481" s="105">
        <v>45831.0</v>
      </c>
      <c r="B481" s="66" t="s">
        <v>451</v>
      </c>
      <c r="C481" s="61">
        <v>45831.0</v>
      </c>
      <c r="D481" s="61">
        <v>45831.0</v>
      </c>
      <c r="E481" s="60" t="s">
        <v>452</v>
      </c>
      <c r="F481" s="128" t="s">
        <v>1481</v>
      </c>
      <c r="G481" s="63"/>
      <c r="H481" s="64" t="s">
        <v>472</v>
      </c>
      <c r="I481" s="118" t="s">
        <v>473</v>
      </c>
      <c r="J481" s="64" t="s">
        <v>456</v>
      </c>
      <c r="K481" s="64" t="s">
        <v>456</v>
      </c>
      <c r="L481" s="64">
        <v>22.0</v>
      </c>
      <c r="M481" s="64">
        <v>22.0</v>
      </c>
      <c r="N481" s="64" t="s">
        <v>457</v>
      </c>
      <c r="O481" s="64">
        <v>24.0</v>
      </c>
      <c r="P481" s="117" t="s">
        <v>459</v>
      </c>
      <c r="Q481" s="66" t="s">
        <v>459</v>
      </c>
      <c r="R481" s="66" t="s">
        <v>459</v>
      </c>
      <c r="S481" s="117">
        <v>178.0</v>
      </c>
      <c r="T481" s="64">
        <v>1958.0</v>
      </c>
      <c r="U481" s="117">
        <v>178.0</v>
      </c>
      <c r="V481" s="64">
        <v>1958.0</v>
      </c>
      <c r="W481" s="64">
        <v>1958.0</v>
      </c>
      <c r="X481" s="65" t="s">
        <v>460</v>
      </c>
      <c r="Y481" s="64" t="s">
        <v>461</v>
      </c>
      <c r="Z481" s="64" t="s">
        <v>462</v>
      </c>
      <c r="AA481" s="64" t="s">
        <v>463</v>
      </c>
      <c r="AB481" s="64" t="s">
        <v>464</v>
      </c>
      <c r="AC481" s="60" t="s">
        <v>451</v>
      </c>
      <c r="AD481" s="66" t="s">
        <v>475</v>
      </c>
      <c r="AE481" s="117" t="s">
        <v>476</v>
      </c>
      <c r="AF481" s="117" t="s">
        <v>476</v>
      </c>
      <c r="AG481" s="64" t="s">
        <v>467</v>
      </c>
      <c r="AH481" s="64" t="s">
        <v>467</v>
      </c>
      <c r="AI481" s="66">
        <v>650.0</v>
      </c>
      <c r="AJ481" s="66">
        <v>21.5</v>
      </c>
      <c r="AK481" s="84">
        <v>13975.0</v>
      </c>
      <c r="AL481" s="63"/>
      <c r="AM481" s="63"/>
      <c r="AN481" s="64">
        <v>21.5</v>
      </c>
      <c r="AO481" s="64" t="s">
        <v>468</v>
      </c>
      <c r="AP481" s="63"/>
      <c r="AQ481" s="63"/>
      <c r="AR481" s="63"/>
      <c r="AS481" s="63"/>
      <c r="AT481" s="63"/>
      <c r="AU481" s="63"/>
      <c r="AV481" s="63"/>
      <c r="AW481" s="58" t="s">
        <v>512</v>
      </c>
      <c r="AX481" s="69">
        <v>13975.0</v>
      </c>
      <c r="AY481" s="70"/>
      <c r="AZ481" s="70"/>
      <c r="BA481" s="70"/>
      <c r="BB481" s="70"/>
      <c r="BC481" s="58" t="s">
        <v>469</v>
      </c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</row>
    <row r="482">
      <c r="A482" s="106">
        <v>45831.0</v>
      </c>
      <c r="B482" s="64" t="s">
        <v>451</v>
      </c>
      <c r="C482" s="61">
        <v>45831.0</v>
      </c>
      <c r="D482" s="61">
        <v>45831.0</v>
      </c>
      <c r="E482" s="60" t="s">
        <v>452</v>
      </c>
      <c r="F482" s="126" t="s">
        <v>1482</v>
      </c>
      <c r="G482" s="63"/>
      <c r="H482" s="64" t="s">
        <v>472</v>
      </c>
      <c r="I482" s="118" t="s">
        <v>590</v>
      </c>
      <c r="J482" s="66" t="s">
        <v>456</v>
      </c>
      <c r="K482" s="66" t="s">
        <v>456</v>
      </c>
      <c r="L482" s="66">
        <v>22.0</v>
      </c>
      <c r="M482" s="66">
        <v>22.0</v>
      </c>
      <c r="N482" s="66" t="s">
        <v>457</v>
      </c>
      <c r="O482" s="66">
        <v>24.0</v>
      </c>
      <c r="P482" s="118" t="s">
        <v>1483</v>
      </c>
      <c r="Q482" s="64" t="s">
        <v>459</v>
      </c>
      <c r="R482" s="64" t="s">
        <v>459</v>
      </c>
      <c r="S482" s="118">
        <v>221.0</v>
      </c>
      <c r="T482" s="64">
        <v>2431.0</v>
      </c>
      <c r="U482" s="118">
        <v>221.0</v>
      </c>
      <c r="V482" s="64">
        <v>2431.0</v>
      </c>
      <c r="W482" s="64">
        <v>2431.0</v>
      </c>
      <c r="X482" s="65" t="s">
        <v>460</v>
      </c>
      <c r="Y482" s="64" t="s">
        <v>461</v>
      </c>
      <c r="Z482" s="64" t="s">
        <v>462</v>
      </c>
      <c r="AA482" s="64" t="s">
        <v>463</v>
      </c>
      <c r="AB482" s="64" t="s">
        <v>464</v>
      </c>
      <c r="AC482" s="60" t="s">
        <v>451</v>
      </c>
      <c r="AD482" s="64" t="s">
        <v>481</v>
      </c>
      <c r="AE482" s="118" t="s">
        <v>482</v>
      </c>
      <c r="AF482" s="118" t="s">
        <v>482</v>
      </c>
      <c r="AG482" s="64" t="s">
        <v>467</v>
      </c>
      <c r="AH482" s="64" t="s">
        <v>467</v>
      </c>
      <c r="AI482" s="64">
        <v>655.0</v>
      </c>
      <c r="AJ482" s="64">
        <v>21.5</v>
      </c>
      <c r="AK482" s="67">
        <v>14082.5</v>
      </c>
      <c r="AL482" s="63"/>
      <c r="AM482" s="63"/>
      <c r="AN482" s="64">
        <v>21.5</v>
      </c>
      <c r="AO482" s="64" t="s">
        <v>468</v>
      </c>
      <c r="AP482" s="63"/>
      <c r="AQ482" s="63"/>
      <c r="AR482" s="63"/>
      <c r="AS482" s="63"/>
      <c r="AT482" s="63"/>
      <c r="AU482" s="63"/>
      <c r="AV482" s="68"/>
      <c r="AW482" s="58" t="s">
        <v>512</v>
      </c>
      <c r="AX482" s="69">
        <v>14082.5</v>
      </c>
      <c r="AY482" s="70"/>
      <c r="AZ482" s="70"/>
      <c r="BA482" s="70"/>
      <c r="BB482" s="70"/>
      <c r="BC482" s="58" t="s">
        <v>469</v>
      </c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  <c r="BQ482" s="58"/>
      <c r="BR482" s="58"/>
    </row>
    <row r="483">
      <c r="A483" s="105">
        <v>45831.0</v>
      </c>
      <c r="B483" s="66" t="s">
        <v>451</v>
      </c>
      <c r="C483" s="61">
        <v>45831.0</v>
      </c>
      <c r="D483" s="61">
        <v>45831.0</v>
      </c>
      <c r="E483" s="60" t="s">
        <v>452</v>
      </c>
      <c r="F483" s="131" t="s">
        <v>1484</v>
      </c>
      <c r="G483" s="63"/>
      <c r="H483" s="64" t="s">
        <v>492</v>
      </c>
      <c r="I483" s="118" t="s">
        <v>493</v>
      </c>
      <c r="J483" s="64" t="s">
        <v>456</v>
      </c>
      <c r="K483" s="64" t="s">
        <v>456</v>
      </c>
      <c r="L483" s="64">
        <v>28.0</v>
      </c>
      <c r="M483" s="64">
        <v>28.0</v>
      </c>
      <c r="N483" s="64" t="s">
        <v>457</v>
      </c>
      <c r="O483" s="64">
        <v>24.0</v>
      </c>
      <c r="P483" s="117" t="s">
        <v>1485</v>
      </c>
      <c r="Q483" s="66" t="s">
        <v>459</v>
      </c>
      <c r="R483" s="66" t="s">
        <v>459</v>
      </c>
      <c r="S483" s="117">
        <v>471.0</v>
      </c>
      <c r="T483" s="64">
        <v>5181.0</v>
      </c>
      <c r="U483" s="117">
        <v>471.0</v>
      </c>
      <c r="V483" s="64">
        <v>5181.0</v>
      </c>
      <c r="W483" s="64">
        <v>5181.0</v>
      </c>
      <c r="X483" s="65" t="s">
        <v>460</v>
      </c>
      <c r="Y483" s="64" t="s">
        <v>461</v>
      </c>
      <c r="Z483" s="64" t="s">
        <v>462</v>
      </c>
      <c r="AA483" s="64" t="s">
        <v>463</v>
      </c>
      <c r="AB483" s="64" t="s">
        <v>464</v>
      </c>
      <c r="AC483" s="60" t="s">
        <v>451</v>
      </c>
      <c r="AD483" s="64" t="s">
        <v>495</v>
      </c>
      <c r="AE483" s="118" t="s">
        <v>496</v>
      </c>
      <c r="AF483" s="118" t="s">
        <v>496</v>
      </c>
      <c r="AG483" s="64" t="s">
        <v>467</v>
      </c>
      <c r="AH483" s="64" t="s">
        <v>467</v>
      </c>
      <c r="AI483" s="66">
        <v>570.0</v>
      </c>
      <c r="AJ483" s="66">
        <v>23.5</v>
      </c>
      <c r="AK483" s="84">
        <v>13395.0</v>
      </c>
      <c r="AL483" s="63"/>
      <c r="AM483" s="63"/>
      <c r="AN483" s="64">
        <v>23.5</v>
      </c>
      <c r="AO483" s="64" t="s">
        <v>468</v>
      </c>
      <c r="AP483" s="63"/>
      <c r="AQ483" s="63"/>
      <c r="AR483" s="63"/>
      <c r="AS483" s="63"/>
      <c r="AT483" s="63"/>
      <c r="AU483" s="63"/>
      <c r="AV483" s="63"/>
      <c r="AW483" s="58" t="s">
        <v>512</v>
      </c>
      <c r="AX483" s="69">
        <v>13395.0</v>
      </c>
      <c r="AY483" s="70"/>
      <c r="AZ483" s="70"/>
      <c r="BA483" s="70"/>
      <c r="BB483" s="70"/>
      <c r="BC483" s="58" t="s">
        <v>469</v>
      </c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  <c r="BN483" s="58"/>
      <c r="BO483" s="58"/>
      <c r="BP483" s="58"/>
      <c r="BQ483" s="58"/>
      <c r="BR483" s="58"/>
    </row>
    <row r="484">
      <c r="A484" s="106">
        <v>45831.0</v>
      </c>
      <c r="B484" s="64" t="s">
        <v>451</v>
      </c>
      <c r="C484" s="61">
        <v>45831.0</v>
      </c>
      <c r="D484" s="61">
        <v>45831.0</v>
      </c>
      <c r="E484" s="60" t="s">
        <v>452</v>
      </c>
      <c r="F484" s="126" t="s">
        <v>1486</v>
      </c>
      <c r="G484" s="63"/>
      <c r="H484" s="64" t="s">
        <v>1218</v>
      </c>
      <c r="I484" s="118" t="s">
        <v>1270</v>
      </c>
      <c r="J484" s="66" t="s">
        <v>456</v>
      </c>
      <c r="K484" s="66" t="s">
        <v>456</v>
      </c>
      <c r="L484" s="66">
        <v>22.0</v>
      </c>
      <c r="M484" s="66">
        <v>22.0</v>
      </c>
      <c r="N484" s="66" t="s">
        <v>457</v>
      </c>
      <c r="O484" s="66">
        <v>24.0</v>
      </c>
      <c r="P484" s="118" t="s">
        <v>1487</v>
      </c>
      <c r="Q484" s="64" t="s">
        <v>459</v>
      </c>
      <c r="R484" s="64" t="s">
        <v>459</v>
      </c>
      <c r="S484" s="118">
        <v>232.0</v>
      </c>
      <c r="T484" s="64">
        <v>2552.0</v>
      </c>
      <c r="U484" s="118">
        <v>232.0</v>
      </c>
      <c r="V484" s="64">
        <v>2552.0</v>
      </c>
      <c r="W484" s="64">
        <v>2552.0</v>
      </c>
      <c r="X484" s="65" t="s">
        <v>460</v>
      </c>
      <c r="Y484" s="64" t="s">
        <v>461</v>
      </c>
      <c r="Z484" s="64" t="s">
        <v>462</v>
      </c>
      <c r="AA484" s="64" t="s">
        <v>463</v>
      </c>
      <c r="AB484" s="64" t="s">
        <v>464</v>
      </c>
      <c r="AC484" s="60" t="s">
        <v>451</v>
      </c>
      <c r="AD484" s="64" t="s">
        <v>501</v>
      </c>
      <c r="AE484" s="118" t="s">
        <v>502</v>
      </c>
      <c r="AF484" s="118" t="s">
        <v>502</v>
      </c>
      <c r="AG484" s="64" t="s">
        <v>467</v>
      </c>
      <c r="AH484" s="64" t="s">
        <v>467</v>
      </c>
      <c r="AI484" s="64">
        <v>380.0</v>
      </c>
      <c r="AJ484" s="64">
        <v>21.5</v>
      </c>
      <c r="AK484" s="67">
        <v>8170.0</v>
      </c>
      <c r="AL484" s="63"/>
      <c r="AM484" s="63"/>
      <c r="AN484" s="64">
        <v>21.5</v>
      </c>
      <c r="AO484" s="64" t="s">
        <v>468</v>
      </c>
      <c r="AP484" s="63"/>
      <c r="AQ484" s="63"/>
      <c r="AR484" s="63"/>
      <c r="AS484" s="63"/>
      <c r="AT484" s="63"/>
      <c r="AU484" s="63"/>
      <c r="AV484" s="68"/>
      <c r="AW484" s="58" t="s">
        <v>512</v>
      </c>
      <c r="AX484" s="69">
        <v>8170.0</v>
      </c>
      <c r="AY484" s="70"/>
      <c r="AZ484" s="70"/>
      <c r="BA484" s="70"/>
      <c r="BB484" s="70"/>
      <c r="BC484" s="58" t="s">
        <v>469</v>
      </c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  <c r="BQ484" s="58"/>
      <c r="BR484" s="58"/>
    </row>
    <row r="485">
      <c r="A485" s="106">
        <v>45831.0</v>
      </c>
      <c r="B485" s="64" t="s">
        <v>451</v>
      </c>
      <c r="C485" s="61">
        <v>45831.0</v>
      </c>
      <c r="D485" s="61">
        <v>45831.0</v>
      </c>
      <c r="E485" s="60" t="s">
        <v>452</v>
      </c>
      <c r="F485" s="126" t="s">
        <v>1488</v>
      </c>
      <c r="G485" s="63"/>
      <c r="H485" s="64" t="s">
        <v>504</v>
      </c>
      <c r="I485" s="117" t="s">
        <v>505</v>
      </c>
      <c r="J485" s="66" t="s">
        <v>456</v>
      </c>
      <c r="K485" s="66" t="s">
        <v>456</v>
      </c>
      <c r="L485" s="66">
        <v>22.0</v>
      </c>
      <c r="M485" s="66">
        <v>22.0</v>
      </c>
      <c r="N485" s="66" t="s">
        <v>457</v>
      </c>
      <c r="O485" s="66">
        <v>24.0</v>
      </c>
      <c r="P485" s="118" t="s">
        <v>1489</v>
      </c>
      <c r="Q485" s="64" t="s">
        <v>459</v>
      </c>
      <c r="R485" s="64" t="s">
        <v>459</v>
      </c>
      <c r="S485" s="118">
        <v>166.0</v>
      </c>
      <c r="T485" s="64">
        <v>1826.0</v>
      </c>
      <c r="U485" s="118">
        <v>166.0</v>
      </c>
      <c r="V485" s="64">
        <v>1826.0</v>
      </c>
      <c r="W485" s="64">
        <v>1826.0</v>
      </c>
      <c r="X485" s="65" t="s">
        <v>460</v>
      </c>
      <c r="Y485" s="64" t="s">
        <v>461</v>
      </c>
      <c r="Z485" s="64" t="s">
        <v>462</v>
      </c>
      <c r="AA485" s="64" t="s">
        <v>463</v>
      </c>
      <c r="AB485" s="64" t="s">
        <v>464</v>
      </c>
      <c r="AC485" s="60" t="s">
        <v>451</v>
      </c>
      <c r="AD485" s="66" t="s">
        <v>507</v>
      </c>
      <c r="AE485" s="117" t="s">
        <v>508</v>
      </c>
      <c r="AF485" s="117" t="s">
        <v>508</v>
      </c>
      <c r="AG485" s="64" t="s">
        <v>467</v>
      </c>
      <c r="AH485" s="64" t="s">
        <v>467</v>
      </c>
      <c r="AI485" s="64">
        <v>790.0</v>
      </c>
      <c r="AJ485" s="64">
        <v>21.5</v>
      </c>
      <c r="AK485" s="67">
        <v>16985.0</v>
      </c>
      <c r="AL485" s="63"/>
      <c r="AM485" s="63"/>
      <c r="AN485" s="64">
        <v>21.5</v>
      </c>
      <c r="AO485" s="64" t="s">
        <v>468</v>
      </c>
      <c r="AP485" s="63"/>
      <c r="AQ485" s="63"/>
      <c r="AR485" s="63"/>
      <c r="AS485" s="73">
        <v>0.5</v>
      </c>
      <c r="AT485" s="64">
        <v>8492.5</v>
      </c>
      <c r="AU485" s="60" t="s">
        <v>510</v>
      </c>
      <c r="AV485" s="74" t="s">
        <v>511</v>
      </c>
      <c r="AW485" s="58" t="s">
        <v>512</v>
      </c>
      <c r="AX485" s="69">
        <v>8492.5</v>
      </c>
      <c r="AY485" s="70"/>
      <c r="AZ485" s="70"/>
      <c r="BA485" s="69">
        <v>8492.5</v>
      </c>
      <c r="BB485" s="70"/>
      <c r="BC485" s="58" t="s">
        <v>469</v>
      </c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  <c r="BQ485" s="58"/>
      <c r="BR485" s="58"/>
    </row>
    <row r="486">
      <c r="A486" s="105">
        <v>45831.0</v>
      </c>
      <c r="B486" s="66" t="s">
        <v>451</v>
      </c>
      <c r="C486" s="61">
        <v>45831.0</v>
      </c>
      <c r="D486" s="61">
        <v>45831.0</v>
      </c>
      <c r="E486" s="60" t="s">
        <v>452</v>
      </c>
      <c r="F486" s="128" t="s">
        <v>1490</v>
      </c>
      <c r="G486" s="63"/>
      <c r="H486" s="64" t="s">
        <v>504</v>
      </c>
      <c r="I486" s="118" t="s">
        <v>515</v>
      </c>
      <c r="J486" s="64" t="s">
        <v>456</v>
      </c>
      <c r="K486" s="64" t="s">
        <v>456</v>
      </c>
      <c r="L486" s="64">
        <v>22.0</v>
      </c>
      <c r="M486" s="64">
        <v>22.0</v>
      </c>
      <c r="N486" s="64" t="s">
        <v>457</v>
      </c>
      <c r="O486" s="64">
        <v>24.0</v>
      </c>
      <c r="P486" s="117" t="s">
        <v>1491</v>
      </c>
      <c r="Q486" s="66" t="s">
        <v>459</v>
      </c>
      <c r="R486" s="66" t="s">
        <v>459</v>
      </c>
      <c r="S486" s="117">
        <v>126.0</v>
      </c>
      <c r="T486" s="64">
        <v>1386.0</v>
      </c>
      <c r="U486" s="117">
        <v>126.0</v>
      </c>
      <c r="V486" s="64">
        <v>1386.0</v>
      </c>
      <c r="W486" s="64">
        <v>1386.0</v>
      </c>
      <c r="X486" s="65" t="s">
        <v>460</v>
      </c>
      <c r="Y486" s="64" t="s">
        <v>461</v>
      </c>
      <c r="Z486" s="64" t="s">
        <v>462</v>
      </c>
      <c r="AA486" s="64" t="s">
        <v>463</v>
      </c>
      <c r="AB486" s="64" t="s">
        <v>464</v>
      </c>
      <c r="AC486" s="60" t="s">
        <v>451</v>
      </c>
      <c r="AD486" s="64" t="s">
        <v>517</v>
      </c>
      <c r="AE486" s="118" t="s">
        <v>518</v>
      </c>
      <c r="AF486" s="118" t="s">
        <v>518</v>
      </c>
      <c r="AG486" s="64" t="s">
        <v>467</v>
      </c>
      <c r="AH486" s="64" t="s">
        <v>467</v>
      </c>
      <c r="AI486" s="66">
        <v>815.0</v>
      </c>
      <c r="AJ486" s="66">
        <v>21.5</v>
      </c>
      <c r="AK486" s="84">
        <v>17522.5</v>
      </c>
      <c r="AL486" s="63"/>
      <c r="AM486" s="63"/>
      <c r="AN486" s="64">
        <v>21.5</v>
      </c>
      <c r="AO486" s="64" t="s">
        <v>468</v>
      </c>
      <c r="AP486" s="63"/>
      <c r="AQ486" s="63"/>
      <c r="AR486" s="63"/>
      <c r="AS486" s="63"/>
      <c r="AT486" s="63"/>
      <c r="AU486" s="63"/>
      <c r="AV486" s="68"/>
      <c r="AW486" s="58" t="s">
        <v>512</v>
      </c>
      <c r="AX486" s="69">
        <v>17522.5</v>
      </c>
      <c r="AY486" s="70"/>
      <c r="AZ486" s="70"/>
      <c r="BA486" s="70"/>
      <c r="BB486" s="70"/>
      <c r="BC486" s="58" t="s">
        <v>469</v>
      </c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  <c r="BN486" s="58"/>
      <c r="BO486" s="58"/>
      <c r="BP486" s="58"/>
      <c r="BQ486" s="58"/>
      <c r="BR486" s="58"/>
    </row>
    <row r="487">
      <c r="A487" s="106">
        <v>45831.0</v>
      </c>
      <c r="B487" s="64" t="s">
        <v>451</v>
      </c>
      <c r="C487" s="61">
        <v>45831.0</v>
      </c>
      <c r="D487" s="61">
        <v>45831.0</v>
      </c>
      <c r="E487" s="60" t="s">
        <v>452</v>
      </c>
      <c r="F487" s="126" t="s">
        <v>1492</v>
      </c>
      <c r="G487" s="63"/>
      <c r="H487" s="64" t="s">
        <v>521</v>
      </c>
      <c r="I487" s="117" t="s">
        <v>608</v>
      </c>
      <c r="J487" s="66" t="s">
        <v>456</v>
      </c>
      <c r="K487" s="66" t="s">
        <v>456</v>
      </c>
      <c r="L487" s="66">
        <v>22.0</v>
      </c>
      <c r="M487" s="66">
        <v>22.0</v>
      </c>
      <c r="N487" s="66" t="s">
        <v>457</v>
      </c>
      <c r="O487" s="66">
        <v>24.0</v>
      </c>
      <c r="P487" s="118" t="s">
        <v>1493</v>
      </c>
      <c r="Q487" s="64" t="s">
        <v>459</v>
      </c>
      <c r="R487" s="64" t="s">
        <v>459</v>
      </c>
      <c r="S487" s="118">
        <v>187.0</v>
      </c>
      <c r="T487" s="64">
        <v>2057.0</v>
      </c>
      <c r="U487" s="118">
        <v>187.0</v>
      </c>
      <c r="V487" s="64">
        <v>2057.0</v>
      </c>
      <c r="W487" s="64">
        <v>2057.0</v>
      </c>
      <c r="X487" s="65" t="s">
        <v>460</v>
      </c>
      <c r="Y487" s="64" t="s">
        <v>461</v>
      </c>
      <c r="Z487" s="64" t="s">
        <v>462</v>
      </c>
      <c r="AA487" s="64" t="s">
        <v>463</v>
      </c>
      <c r="AB487" s="64" t="s">
        <v>464</v>
      </c>
      <c r="AC487" s="60" t="s">
        <v>451</v>
      </c>
      <c r="AD487" s="66" t="s">
        <v>524</v>
      </c>
      <c r="AE487" s="117" t="s">
        <v>483</v>
      </c>
      <c r="AF487" s="117" t="s">
        <v>483</v>
      </c>
      <c r="AG487" s="64" t="s">
        <v>467</v>
      </c>
      <c r="AH487" s="64" t="s">
        <v>467</v>
      </c>
      <c r="AI487" s="64">
        <v>600.0</v>
      </c>
      <c r="AJ487" s="64">
        <v>21.5</v>
      </c>
      <c r="AK487" s="67">
        <v>12900.0</v>
      </c>
      <c r="AL487" s="63"/>
      <c r="AM487" s="63"/>
      <c r="AN487" s="64">
        <v>21.5</v>
      </c>
      <c r="AO487" s="64" t="s">
        <v>468</v>
      </c>
      <c r="AP487" s="63"/>
      <c r="AQ487" s="63"/>
      <c r="AR487" s="63"/>
      <c r="AS487" s="63"/>
      <c r="AT487" s="63"/>
      <c r="AU487" s="63"/>
      <c r="AV487" s="68"/>
      <c r="AW487" s="58" t="s">
        <v>512</v>
      </c>
      <c r="AX487" s="69">
        <v>12900.0</v>
      </c>
      <c r="AY487" s="70"/>
      <c r="AZ487" s="70"/>
      <c r="BA487" s="70"/>
      <c r="BB487" s="70"/>
      <c r="BC487" s="58" t="s">
        <v>469</v>
      </c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  <c r="BQ487" s="58"/>
      <c r="BR487" s="58"/>
    </row>
    <row r="488">
      <c r="A488" s="105">
        <v>45831.0</v>
      </c>
      <c r="B488" s="66" t="s">
        <v>451</v>
      </c>
      <c r="C488" s="61">
        <v>45831.0</v>
      </c>
      <c r="D488" s="61">
        <v>45831.0</v>
      </c>
      <c r="E488" s="60" t="s">
        <v>452</v>
      </c>
      <c r="F488" s="131" t="s">
        <v>1494</v>
      </c>
      <c r="G488" s="63"/>
      <c r="H488" s="64" t="s">
        <v>492</v>
      </c>
      <c r="I488" s="117" t="s">
        <v>527</v>
      </c>
      <c r="J488" s="64" t="s">
        <v>456</v>
      </c>
      <c r="K488" s="64" t="s">
        <v>456</v>
      </c>
      <c r="L488" s="64">
        <v>22.0</v>
      </c>
      <c r="M488" s="64">
        <v>22.0</v>
      </c>
      <c r="N488" s="64" t="s">
        <v>457</v>
      </c>
      <c r="O488" s="64">
        <v>24.0</v>
      </c>
      <c r="P488" s="117" t="s">
        <v>1495</v>
      </c>
      <c r="Q488" s="66" t="s">
        <v>459</v>
      </c>
      <c r="R488" s="66" t="s">
        <v>459</v>
      </c>
      <c r="S488" s="117">
        <v>282.0</v>
      </c>
      <c r="T488" s="64">
        <v>3102.0</v>
      </c>
      <c r="U488" s="117">
        <v>282.0</v>
      </c>
      <c r="V488" s="64">
        <v>3102.0</v>
      </c>
      <c r="W488" s="64">
        <v>3102.0</v>
      </c>
      <c r="X488" s="65" t="s">
        <v>460</v>
      </c>
      <c r="Y488" s="64" t="s">
        <v>461</v>
      </c>
      <c r="Z488" s="64" t="s">
        <v>462</v>
      </c>
      <c r="AA488" s="64" t="s">
        <v>463</v>
      </c>
      <c r="AB488" s="64" t="s">
        <v>464</v>
      </c>
      <c r="AC488" s="60" t="s">
        <v>451</v>
      </c>
      <c r="AD488" s="66" t="s">
        <v>529</v>
      </c>
      <c r="AE488" s="117" t="s">
        <v>535</v>
      </c>
      <c r="AF488" s="117" t="s">
        <v>535</v>
      </c>
      <c r="AG488" s="64" t="s">
        <v>467</v>
      </c>
      <c r="AH488" s="64" t="s">
        <v>467</v>
      </c>
      <c r="AI488" s="66">
        <v>510.0</v>
      </c>
      <c r="AJ488" s="66">
        <v>21.5</v>
      </c>
      <c r="AK488" s="84">
        <v>10965.0</v>
      </c>
      <c r="AL488" s="63"/>
      <c r="AM488" s="63"/>
      <c r="AN488" s="64">
        <v>21.5</v>
      </c>
      <c r="AO488" s="64" t="s">
        <v>468</v>
      </c>
      <c r="AP488" s="63"/>
      <c r="AQ488" s="63"/>
      <c r="AR488" s="63"/>
      <c r="AS488" s="63"/>
      <c r="AT488" s="63"/>
      <c r="AU488" s="63"/>
      <c r="AV488" s="68"/>
      <c r="AW488" s="58" t="s">
        <v>512</v>
      </c>
      <c r="AX488" s="69">
        <v>10965.0</v>
      </c>
      <c r="AY488" s="70"/>
      <c r="AZ488" s="70"/>
      <c r="BA488" s="70"/>
      <c r="BB488" s="70"/>
      <c r="BC488" s="58" t="s">
        <v>469</v>
      </c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  <c r="BN488" s="58"/>
      <c r="BO488" s="58"/>
      <c r="BP488" s="58"/>
      <c r="BQ488" s="58"/>
      <c r="BR488" s="58"/>
    </row>
    <row r="489">
      <c r="A489" s="106">
        <v>45831.0</v>
      </c>
      <c r="B489" s="64" t="s">
        <v>451</v>
      </c>
      <c r="C489" s="61">
        <v>45831.0</v>
      </c>
      <c r="D489" s="61">
        <v>45831.0</v>
      </c>
      <c r="E489" s="60" t="s">
        <v>452</v>
      </c>
      <c r="F489" s="126" t="s">
        <v>1496</v>
      </c>
      <c r="G489" s="63"/>
      <c r="H489" s="64" t="s">
        <v>492</v>
      </c>
      <c r="I489" s="118" t="s">
        <v>533</v>
      </c>
      <c r="J489" s="66" t="s">
        <v>486</v>
      </c>
      <c r="K489" s="66" t="s">
        <v>486</v>
      </c>
      <c r="L489" s="66">
        <v>22.0</v>
      </c>
      <c r="M489" s="66">
        <v>22.0</v>
      </c>
      <c r="N489" s="66" t="s">
        <v>457</v>
      </c>
      <c r="O489" s="66">
        <v>24.0</v>
      </c>
      <c r="P489" s="118" t="s">
        <v>1497</v>
      </c>
      <c r="Q489" s="64" t="s">
        <v>459</v>
      </c>
      <c r="R489" s="64" t="s">
        <v>459</v>
      </c>
      <c r="S489" s="118">
        <v>88.0</v>
      </c>
      <c r="T489" s="64">
        <v>968.0</v>
      </c>
      <c r="U489" s="118">
        <v>88.0</v>
      </c>
      <c r="V489" s="64">
        <v>968.0</v>
      </c>
      <c r="W489" s="64">
        <v>968.0</v>
      </c>
      <c r="X489" s="65" t="s">
        <v>460</v>
      </c>
      <c r="Y489" s="64" t="s">
        <v>461</v>
      </c>
      <c r="Z489" s="64" t="s">
        <v>462</v>
      </c>
      <c r="AA489" s="64" t="s">
        <v>463</v>
      </c>
      <c r="AB489" s="64" t="s">
        <v>464</v>
      </c>
      <c r="AC489" s="60" t="s">
        <v>451</v>
      </c>
      <c r="AD489" s="64" t="s">
        <v>529</v>
      </c>
      <c r="AE489" s="118" t="s">
        <v>535</v>
      </c>
      <c r="AF489" s="118" t="s">
        <v>535</v>
      </c>
      <c r="AG489" s="64" t="s">
        <v>467</v>
      </c>
      <c r="AH489" s="64" t="s">
        <v>467</v>
      </c>
      <c r="AI489" s="64">
        <v>510.0</v>
      </c>
      <c r="AJ489" s="64">
        <v>23.5</v>
      </c>
      <c r="AK489" s="67">
        <v>11985.0</v>
      </c>
      <c r="AL489" s="63"/>
      <c r="AM489" s="63"/>
      <c r="AN489" s="64">
        <v>23.5</v>
      </c>
      <c r="AO489" s="64" t="s">
        <v>468</v>
      </c>
      <c r="AP489" s="63"/>
      <c r="AQ489" s="63"/>
      <c r="AR489" s="63"/>
      <c r="AS489" s="63"/>
      <c r="AT489" s="63"/>
      <c r="AU489" s="63"/>
      <c r="AV489" s="68"/>
      <c r="AW489" s="58" t="s">
        <v>512</v>
      </c>
      <c r="AX489" s="69">
        <v>11985.0</v>
      </c>
      <c r="AY489" s="70"/>
      <c r="AZ489" s="70"/>
      <c r="BA489" s="70"/>
      <c r="BB489" s="70"/>
      <c r="BC489" s="58" t="s">
        <v>469</v>
      </c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  <c r="BN489" s="58"/>
      <c r="BO489" s="58"/>
      <c r="BP489" s="58"/>
      <c r="BQ489" s="58"/>
      <c r="BR489" s="58"/>
    </row>
    <row r="490">
      <c r="A490" s="105">
        <v>45831.0</v>
      </c>
      <c r="B490" s="66" t="s">
        <v>451</v>
      </c>
      <c r="C490" s="61">
        <v>45831.0</v>
      </c>
      <c r="D490" s="61">
        <v>45831.0</v>
      </c>
      <c r="E490" s="60" t="s">
        <v>452</v>
      </c>
      <c r="F490" s="131" t="s">
        <v>1498</v>
      </c>
      <c r="G490" s="63"/>
      <c r="H490" s="64" t="s">
        <v>538</v>
      </c>
      <c r="I490" s="66" t="s">
        <v>539</v>
      </c>
      <c r="J490" s="64" t="s">
        <v>456</v>
      </c>
      <c r="K490" s="64" t="s">
        <v>456</v>
      </c>
      <c r="L490" s="64">
        <v>32.0</v>
      </c>
      <c r="M490" s="64">
        <v>32.0</v>
      </c>
      <c r="N490" s="64" t="s">
        <v>540</v>
      </c>
      <c r="O490" s="64">
        <v>24.0</v>
      </c>
      <c r="P490" s="66" t="s">
        <v>1499</v>
      </c>
      <c r="Q490" s="66" t="s">
        <v>459</v>
      </c>
      <c r="R490" s="66" t="s">
        <v>459</v>
      </c>
      <c r="S490" s="66">
        <v>148.0</v>
      </c>
      <c r="T490" s="64">
        <v>1628.0</v>
      </c>
      <c r="U490" s="66">
        <v>148.0</v>
      </c>
      <c r="V490" s="64">
        <v>1628.0</v>
      </c>
      <c r="W490" s="64">
        <v>1628.0</v>
      </c>
      <c r="X490" s="65" t="s">
        <v>460</v>
      </c>
      <c r="Y490" s="64" t="s">
        <v>461</v>
      </c>
      <c r="Z490" s="64" t="s">
        <v>462</v>
      </c>
      <c r="AA490" s="64" t="s">
        <v>463</v>
      </c>
      <c r="AB490" s="64" t="s">
        <v>464</v>
      </c>
      <c r="AC490" s="60" t="s">
        <v>451</v>
      </c>
      <c r="AD490" s="66" t="s">
        <v>541</v>
      </c>
      <c r="AE490" s="66" t="s">
        <v>490</v>
      </c>
      <c r="AF490" s="66" t="s">
        <v>490</v>
      </c>
      <c r="AG490" s="64" t="s">
        <v>467</v>
      </c>
      <c r="AH490" s="64" t="s">
        <v>467</v>
      </c>
      <c r="AI490" s="66">
        <v>325.0</v>
      </c>
      <c r="AJ490" s="66">
        <v>28.4</v>
      </c>
      <c r="AK490" s="84">
        <v>9213.75</v>
      </c>
      <c r="AL490" s="63"/>
      <c r="AM490" s="63"/>
      <c r="AN490" s="64">
        <v>28.35</v>
      </c>
      <c r="AO490" s="64" t="s">
        <v>468</v>
      </c>
      <c r="AP490" s="63"/>
      <c r="AQ490" s="63"/>
      <c r="AR490" s="63"/>
      <c r="AS490" s="63"/>
      <c r="AT490" s="63"/>
      <c r="AU490" s="63"/>
      <c r="AV490" s="68"/>
      <c r="AW490" s="58" t="s">
        <v>512</v>
      </c>
      <c r="AX490" s="69">
        <v>9213.75</v>
      </c>
      <c r="AY490" s="70"/>
      <c r="AZ490" s="70"/>
      <c r="BA490" s="70"/>
      <c r="BB490" s="70"/>
      <c r="BC490" s="58" t="s">
        <v>469</v>
      </c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  <c r="BQ490" s="58"/>
      <c r="BR490" s="58"/>
    </row>
    <row r="491">
      <c r="A491" s="106">
        <v>45831.0</v>
      </c>
      <c r="B491" s="64" t="s">
        <v>451</v>
      </c>
      <c r="C491" s="61">
        <v>45831.0</v>
      </c>
      <c r="D491" s="61">
        <v>45831.0</v>
      </c>
      <c r="E491" s="60" t="s">
        <v>452</v>
      </c>
      <c r="F491" s="126" t="s">
        <v>1500</v>
      </c>
      <c r="G491" s="63"/>
      <c r="H491" s="64" t="s">
        <v>1501</v>
      </c>
      <c r="I491" s="98" t="s">
        <v>1502</v>
      </c>
      <c r="J491" s="111" t="s">
        <v>456</v>
      </c>
      <c r="K491" s="111" t="s">
        <v>456</v>
      </c>
      <c r="L491" s="66">
        <v>22.0</v>
      </c>
      <c r="M491" s="66">
        <v>22.0</v>
      </c>
      <c r="N491" s="66" t="s">
        <v>457</v>
      </c>
      <c r="O491" s="66">
        <v>24.0</v>
      </c>
      <c r="P491" s="119">
        <v>2.47E8</v>
      </c>
      <c r="Q491" s="64" t="s">
        <v>459</v>
      </c>
      <c r="R491" s="64" t="s">
        <v>459</v>
      </c>
      <c r="S491" s="118">
        <v>240.0</v>
      </c>
      <c r="T491" s="64">
        <v>2640.0</v>
      </c>
      <c r="U491" s="118">
        <v>240.0</v>
      </c>
      <c r="V491" s="64">
        <v>2640.0</v>
      </c>
      <c r="W491" s="64">
        <v>2640.0</v>
      </c>
      <c r="X491" s="65" t="s">
        <v>460</v>
      </c>
      <c r="Y491" s="64" t="s">
        <v>461</v>
      </c>
      <c r="Z491" s="64" t="s">
        <v>462</v>
      </c>
      <c r="AA491" s="64" t="s">
        <v>463</v>
      </c>
      <c r="AB491" s="64" t="s">
        <v>464</v>
      </c>
      <c r="AC491" s="60" t="s">
        <v>451</v>
      </c>
      <c r="AD491" s="64" t="s">
        <v>544</v>
      </c>
      <c r="AE491" s="118" t="s">
        <v>573</v>
      </c>
      <c r="AF491" s="118" t="s">
        <v>573</v>
      </c>
      <c r="AG491" s="64" t="s">
        <v>467</v>
      </c>
      <c r="AH491" s="64" t="s">
        <v>467</v>
      </c>
      <c r="AI491" s="64">
        <v>440.0</v>
      </c>
      <c r="AJ491" s="64">
        <v>21.5</v>
      </c>
      <c r="AK491" s="67">
        <v>9460.0</v>
      </c>
      <c r="AL491" s="63"/>
      <c r="AM491" s="63"/>
      <c r="AN491" s="64">
        <v>21.5</v>
      </c>
      <c r="AO491" s="60" t="s">
        <v>468</v>
      </c>
      <c r="AP491" s="63"/>
      <c r="AQ491" s="63"/>
      <c r="AR491" s="63"/>
      <c r="AS491" s="63"/>
      <c r="AT491" s="63"/>
      <c r="AU491" s="63"/>
      <c r="AV491" s="63"/>
      <c r="AW491" s="58" t="s">
        <v>443</v>
      </c>
      <c r="AX491" s="85">
        <v>9460.0</v>
      </c>
      <c r="AY491" s="70"/>
      <c r="AZ491" s="70"/>
      <c r="BA491" s="70"/>
      <c r="BB491" s="70"/>
      <c r="BC491" s="58" t="s">
        <v>469</v>
      </c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  <c r="BQ491" s="58"/>
      <c r="BR491" s="58"/>
    </row>
    <row r="492">
      <c r="A492" s="105">
        <v>45831.0</v>
      </c>
      <c r="B492" s="66" t="s">
        <v>451</v>
      </c>
      <c r="C492" s="61">
        <v>45831.0</v>
      </c>
      <c r="D492" s="61">
        <v>45831.0</v>
      </c>
      <c r="E492" s="60" t="s">
        <v>452</v>
      </c>
      <c r="F492" s="131" t="s">
        <v>1503</v>
      </c>
      <c r="G492" s="63"/>
      <c r="H492" s="64" t="s">
        <v>521</v>
      </c>
      <c r="I492" s="110" t="s">
        <v>555</v>
      </c>
      <c r="J492" s="132" t="s">
        <v>486</v>
      </c>
      <c r="K492" s="132" t="s">
        <v>486</v>
      </c>
      <c r="L492" s="64">
        <v>22.0</v>
      </c>
      <c r="M492" s="64">
        <v>22.0</v>
      </c>
      <c r="N492" s="64" t="s">
        <v>457</v>
      </c>
      <c r="O492" s="64">
        <v>24.0</v>
      </c>
      <c r="P492" s="122">
        <v>2.47E8</v>
      </c>
      <c r="Q492" s="66" t="s">
        <v>459</v>
      </c>
      <c r="R492" s="66" t="s">
        <v>459</v>
      </c>
      <c r="S492" s="117">
        <v>158.0</v>
      </c>
      <c r="T492" s="64">
        <v>1738.0</v>
      </c>
      <c r="U492" s="117">
        <v>158.0</v>
      </c>
      <c r="V492" s="64">
        <v>1738.0</v>
      </c>
      <c r="W492" s="64">
        <v>1738.0</v>
      </c>
      <c r="X492" s="65" t="s">
        <v>460</v>
      </c>
      <c r="Y492" s="64" t="s">
        <v>461</v>
      </c>
      <c r="Z492" s="64" t="s">
        <v>462</v>
      </c>
      <c r="AA492" s="64" t="s">
        <v>463</v>
      </c>
      <c r="AB492" s="64" t="s">
        <v>464</v>
      </c>
      <c r="AC492" s="60" t="s">
        <v>451</v>
      </c>
      <c r="AD492" s="66" t="s">
        <v>765</v>
      </c>
      <c r="AE492" s="117" t="s">
        <v>663</v>
      </c>
      <c r="AF492" s="117" t="s">
        <v>663</v>
      </c>
      <c r="AG492" s="64" t="s">
        <v>467</v>
      </c>
      <c r="AH492" s="64" t="s">
        <v>467</v>
      </c>
      <c r="AI492" s="66">
        <v>330.0</v>
      </c>
      <c r="AJ492" s="66">
        <v>23.5</v>
      </c>
      <c r="AK492" s="84">
        <v>7755.0</v>
      </c>
      <c r="AL492" s="63"/>
      <c r="AM492" s="63"/>
      <c r="AN492" s="64">
        <v>23.5</v>
      </c>
      <c r="AO492" s="64" t="s">
        <v>468</v>
      </c>
      <c r="AP492" s="63"/>
      <c r="AQ492" s="63"/>
      <c r="AR492" s="63"/>
      <c r="AS492" s="63"/>
      <c r="AT492" s="63"/>
      <c r="AU492" s="63"/>
      <c r="AV492" s="63"/>
      <c r="AW492" s="58" t="s">
        <v>512</v>
      </c>
      <c r="AX492" s="69">
        <v>7755.0</v>
      </c>
      <c r="AY492" s="70"/>
      <c r="AZ492" s="70"/>
      <c r="BA492" s="70"/>
      <c r="BB492" s="70"/>
      <c r="BC492" s="58" t="s">
        <v>469</v>
      </c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  <c r="BQ492" s="58"/>
      <c r="BR492" s="58"/>
    </row>
    <row r="493">
      <c r="A493" s="106">
        <v>45831.0</v>
      </c>
      <c r="B493" s="64" t="s">
        <v>451</v>
      </c>
      <c r="C493" s="61">
        <v>45831.0</v>
      </c>
      <c r="D493" s="61">
        <v>45831.0</v>
      </c>
      <c r="E493" s="60" t="s">
        <v>452</v>
      </c>
      <c r="F493" s="126" t="s">
        <v>1504</v>
      </c>
      <c r="G493" s="63"/>
      <c r="H493" s="64" t="s">
        <v>521</v>
      </c>
      <c r="I493" s="133" t="s">
        <v>619</v>
      </c>
      <c r="J493" s="134" t="s">
        <v>486</v>
      </c>
      <c r="K493" s="134" t="s">
        <v>486</v>
      </c>
      <c r="L493" s="66">
        <v>22.0</v>
      </c>
      <c r="M493" s="66">
        <v>22.0</v>
      </c>
      <c r="N493" s="66" t="s">
        <v>457</v>
      </c>
      <c r="O493" s="66">
        <v>24.0</v>
      </c>
      <c r="P493" s="117" t="s">
        <v>1505</v>
      </c>
      <c r="Q493" s="66" t="s">
        <v>459</v>
      </c>
      <c r="R493" s="66" t="s">
        <v>459</v>
      </c>
      <c r="S493" s="117">
        <v>240.0</v>
      </c>
      <c r="T493" s="64">
        <v>2640.0</v>
      </c>
      <c r="U493" s="117">
        <v>240.0</v>
      </c>
      <c r="V493" s="64">
        <v>2640.0</v>
      </c>
      <c r="W493" s="64">
        <v>2640.0</v>
      </c>
      <c r="X493" s="76" t="s">
        <v>460</v>
      </c>
      <c r="Y493" s="64" t="s">
        <v>461</v>
      </c>
      <c r="Z493" s="64" t="s">
        <v>462</v>
      </c>
      <c r="AA493" s="64" t="s">
        <v>463</v>
      </c>
      <c r="AB493" s="64" t="s">
        <v>464</v>
      </c>
      <c r="AC493" s="60" t="s">
        <v>451</v>
      </c>
      <c r="AD493" s="66" t="s">
        <v>678</v>
      </c>
      <c r="AE493" s="117" t="s">
        <v>643</v>
      </c>
      <c r="AF493" s="117" t="s">
        <v>643</v>
      </c>
      <c r="AG493" s="64" t="s">
        <v>467</v>
      </c>
      <c r="AH493" s="64" t="s">
        <v>467</v>
      </c>
      <c r="AI493" s="64">
        <v>805.0</v>
      </c>
      <c r="AJ493" s="64">
        <v>23.5</v>
      </c>
      <c r="AK493" s="67">
        <v>18917.5</v>
      </c>
      <c r="AL493" s="63"/>
      <c r="AM493" s="63"/>
      <c r="AN493" s="64">
        <v>23.5</v>
      </c>
      <c r="AO493" s="64" t="s">
        <v>468</v>
      </c>
      <c r="AP493" s="63"/>
      <c r="AQ493" s="63"/>
      <c r="AR493" s="63"/>
      <c r="AS493" s="63"/>
      <c r="AT493" s="63"/>
      <c r="AU493" s="63"/>
      <c r="AV493" s="68"/>
      <c r="AW493" s="58" t="s">
        <v>512</v>
      </c>
      <c r="AX493" s="69">
        <v>18917.5</v>
      </c>
      <c r="AY493" s="70"/>
      <c r="AZ493" s="70"/>
      <c r="BA493" s="70"/>
      <c r="BB493" s="70"/>
      <c r="BC493" s="58" t="s">
        <v>469</v>
      </c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  <c r="BQ493" s="58"/>
      <c r="BR493" s="58"/>
    </row>
    <row r="494">
      <c r="A494" s="105">
        <v>45831.0</v>
      </c>
      <c r="B494" s="66" t="s">
        <v>451</v>
      </c>
      <c r="C494" s="61">
        <v>45831.0</v>
      </c>
      <c r="D494" s="61">
        <v>45831.0</v>
      </c>
      <c r="E494" s="60" t="s">
        <v>452</v>
      </c>
      <c r="F494" s="131" t="s">
        <v>1506</v>
      </c>
      <c r="G494" s="63"/>
      <c r="H494" s="64" t="s">
        <v>771</v>
      </c>
      <c r="I494" s="117" t="s">
        <v>772</v>
      </c>
      <c r="J494" s="64" t="s">
        <v>456</v>
      </c>
      <c r="K494" s="64" t="s">
        <v>456</v>
      </c>
      <c r="L494" s="64">
        <v>22.0</v>
      </c>
      <c r="M494" s="64">
        <v>22.0</v>
      </c>
      <c r="N494" s="64" t="s">
        <v>457</v>
      </c>
      <c r="O494" s="64">
        <v>24.0</v>
      </c>
      <c r="P494" s="117" t="s">
        <v>1507</v>
      </c>
      <c r="Q494" s="66" t="s">
        <v>459</v>
      </c>
      <c r="R494" s="66" t="s">
        <v>459</v>
      </c>
      <c r="S494" s="117">
        <v>202.0</v>
      </c>
      <c r="T494" s="64">
        <v>2222.0</v>
      </c>
      <c r="U494" s="117">
        <v>202.0</v>
      </c>
      <c r="V494" s="64">
        <v>2222.0</v>
      </c>
      <c r="W494" s="64">
        <v>2222.0</v>
      </c>
      <c r="X494" s="65" t="s">
        <v>460</v>
      </c>
      <c r="Y494" s="64" t="s">
        <v>461</v>
      </c>
      <c r="Z494" s="64" t="s">
        <v>462</v>
      </c>
      <c r="AA494" s="64" t="s">
        <v>463</v>
      </c>
      <c r="AB494" s="64" t="s">
        <v>464</v>
      </c>
      <c r="AC494" s="60" t="s">
        <v>451</v>
      </c>
      <c r="AD494" s="66" t="s">
        <v>561</v>
      </c>
      <c r="AE494" s="117" t="s">
        <v>562</v>
      </c>
      <c r="AF494" s="117" t="s">
        <v>562</v>
      </c>
      <c r="AG494" s="64" t="s">
        <v>467</v>
      </c>
      <c r="AH494" s="64" t="s">
        <v>467</v>
      </c>
      <c r="AI494" s="66">
        <v>325.0</v>
      </c>
      <c r="AJ494" s="66">
        <v>21.5</v>
      </c>
      <c r="AK494" s="84">
        <v>6987.5</v>
      </c>
      <c r="AL494" s="63"/>
      <c r="AM494" s="63"/>
      <c r="AN494" s="64">
        <v>21.5</v>
      </c>
      <c r="AO494" s="64" t="s">
        <v>468</v>
      </c>
      <c r="AP494" s="63"/>
      <c r="AQ494" s="63"/>
      <c r="AR494" s="63"/>
      <c r="AS494" s="63"/>
      <c r="AT494" s="63"/>
      <c r="AU494" s="63"/>
      <c r="AV494" s="63"/>
      <c r="AW494" s="58" t="s">
        <v>512</v>
      </c>
      <c r="AX494" s="69">
        <v>6987.5</v>
      </c>
      <c r="AY494" s="70"/>
      <c r="AZ494" s="70"/>
      <c r="BA494" s="70"/>
      <c r="BB494" s="70"/>
      <c r="BC494" s="58" t="s">
        <v>469</v>
      </c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  <c r="BN494" s="58"/>
      <c r="BO494" s="58"/>
      <c r="BP494" s="58"/>
      <c r="BQ494" s="58"/>
      <c r="BR494" s="58"/>
    </row>
    <row r="495">
      <c r="A495" s="106">
        <v>45831.0</v>
      </c>
      <c r="B495" s="64" t="s">
        <v>451</v>
      </c>
      <c r="C495" s="61">
        <v>45831.0</v>
      </c>
      <c r="D495" s="61">
        <v>45831.0</v>
      </c>
      <c r="E495" s="60" t="s">
        <v>452</v>
      </c>
      <c r="F495" s="129" t="s">
        <v>1508</v>
      </c>
      <c r="G495" s="63"/>
      <c r="H495" s="64" t="s">
        <v>771</v>
      </c>
      <c r="I495" s="118" t="s">
        <v>775</v>
      </c>
      <c r="J495" s="66" t="s">
        <v>456</v>
      </c>
      <c r="K495" s="66" t="s">
        <v>456</v>
      </c>
      <c r="L495" s="66">
        <v>22.0</v>
      </c>
      <c r="M495" s="66">
        <v>22.0</v>
      </c>
      <c r="N495" s="66" t="s">
        <v>457</v>
      </c>
      <c r="O495" s="66">
        <v>24.0</v>
      </c>
      <c r="P495" s="118" t="s">
        <v>1509</v>
      </c>
      <c r="Q495" s="64" t="s">
        <v>459</v>
      </c>
      <c r="R495" s="64" t="s">
        <v>459</v>
      </c>
      <c r="S495" s="118">
        <v>195.0</v>
      </c>
      <c r="T495" s="64">
        <v>2145.0</v>
      </c>
      <c r="U495" s="118">
        <v>195.0</v>
      </c>
      <c r="V495" s="64">
        <v>2145.0</v>
      </c>
      <c r="W495" s="64">
        <v>2145.0</v>
      </c>
      <c r="X495" s="65" t="s">
        <v>460</v>
      </c>
      <c r="Y495" s="64" t="s">
        <v>461</v>
      </c>
      <c r="Z495" s="64" t="s">
        <v>462</v>
      </c>
      <c r="AA495" s="64" t="s">
        <v>463</v>
      </c>
      <c r="AB495" s="64" t="s">
        <v>464</v>
      </c>
      <c r="AC495" s="60" t="s">
        <v>451</v>
      </c>
      <c r="AD495" s="64" t="s">
        <v>566</v>
      </c>
      <c r="AE495" s="118" t="s">
        <v>567</v>
      </c>
      <c r="AF495" s="118" t="s">
        <v>567</v>
      </c>
      <c r="AG495" s="64" t="s">
        <v>467</v>
      </c>
      <c r="AH495" s="64" t="s">
        <v>467</v>
      </c>
      <c r="AI495" s="64">
        <v>475.0</v>
      </c>
      <c r="AJ495" s="64">
        <v>21.5</v>
      </c>
      <c r="AK495" s="67">
        <v>10212.5</v>
      </c>
      <c r="AL495" s="63"/>
      <c r="AM495" s="63"/>
      <c r="AN495" s="64">
        <v>21.5</v>
      </c>
      <c r="AO495" s="64" t="s">
        <v>468</v>
      </c>
      <c r="AP495" s="63"/>
      <c r="AQ495" s="63"/>
      <c r="AR495" s="63"/>
      <c r="AS495" s="63"/>
      <c r="AT495" s="63"/>
      <c r="AU495" s="63"/>
      <c r="AV495" s="63"/>
      <c r="AW495" s="58" t="s">
        <v>512</v>
      </c>
      <c r="AX495" s="69">
        <v>10212.5</v>
      </c>
      <c r="AY495" s="70"/>
      <c r="AZ495" s="70"/>
      <c r="BA495" s="70"/>
      <c r="BB495" s="70"/>
      <c r="BC495" s="58" t="s">
        <v>469</v>
      </c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  <c r="BN495" s="58"/>
      <c r="BO495" s="58"/>
      <c r="BP495" s="58"/>
      <c r="BQ495" s="58"/>
      <c r="BR495" s="58"/>
    </row>
    <row r="496">
      <c r="A496" s="105">
        <v>45831.0</v>
      </c>
      <c r="B496" s="66" t="s">
        <v>451</v>
      </c>
      <c r="C496" s="61">
        <v>45831.0</v>
      </c>
      <c r="D496" s="61">
        <v>45831.0</v>
      </c>
      <c r="E496" s="60" t="s">
        <v>452</v>
      </c>
      <c r="F496" s="131" t="s">
        <v>1510</v>
      </c>
      <c r="G496" s="63"/>
      <c r="H496" s="64" t="s">
        <v>492</v>
      </c>
      <c r="I496" s="117" t="s">
        <v>569</v>
      </c>
      <c r="J496" s="64" t="s">
        <v>456</v>
      </c>
      <c r="K496" s="64" t="s">
        <v>456</v>
      </c>
      <c r="L496" s="64">
        <v>22.0</v>
      </c>
      <c r="M496" s="64">
        <v>22.0</v>
      </c>
      <c r="N496" s="64" t="s">
        <v>457</v>
      </c>
      <c r="O496" s="64">
        <v>24.0</v>
      </c>
      <c r="P496" s="122">
        <v>2.47E8</v>
      </c>
      <c r="Q496" s="66" t="s">
        <v>459</v>
      </c>
      <c r="R496" s="66" t="s">
        <v>459</v>
      </c>
      <c r="S496" s="117">
        <v>226.0</v>
      </c>
      <c r="T496" s="64">
        <v>2486.0</v>
      </c>
      <c r="U496" s="117">
        <v>226.0</v>
      </c>
      <c r="V496" s="64">
        <v>2486.0</v>
      </c>
      <c r="W496" s="64">
        <v>2486.0</v>
      </c>
      <c r="X496" s="65" t="s">
        <v>460</v>
      </c>
      <c r="Y496" s="64" t="s">
        <v>461</v>
      </c>
      <c r="Z496" s="64" t="s">
        <v>462</v>
      </c>
      <c r="AA496" s="64" t="s">
        <v>463</v>
      </c>
      <c r="AB496" s="64" t="s">
        <v>464</v>
      </c>
      <c r="AC496" s="60" t="s">
        <v>451</v>
      </c>
      <c r="AD496" s="66" t="s">
        <v>571</v>
      </c>
      <c r="AE496" s="117" t="s">
        <v>572</v>
      </c>
      <c r="AF496" s="117" t="s">
        <v>572</v>
      </c>
      <c r="AG496" s="64" t="s">
        <v>467</v>
      </c>
      <c r="AH496" s="64" t="s">
        <v>467</v>
      </c>
      <c r="AI496" s="66">
        <v>655.0</v>
      </c>
      <c r="AJ496" s="66">
        <v>21.5</v>
      </c>
      <c r="AK496" s="84">
        <v>14082.5</v>
      </c>
      <c r="AL496" s="63"/>
      <c r="AM496" s="63"/>
      <c r="AN496" s="64">
        <v>21.5</v>
      </c>
      <c r="AO496" s="64" t="s">
        <v>468</v>
      </c>
      <c r="AP496" s="63"/>
      <c r="AQ496" s="63"/>
      <c r="AR496" s="63"/>
      <c r="AS496" s="63"/>
      <c r="AT496" s="63"/>
      <c r="AU496" s="63"/>
      <c r="AV496" s="68"/>
      <c r="AW496" s="58" t="s">
        <v>512</v>
      </c>
      <c r="AX496" s="69">
        <v>14082.5</v>
      </c>
      <c r="AY496" s="70"/>
      <c r="AZ496" s="70"/>
      <c r="BA496" s="70"/>
      <c r="BB496" s="70"/>
      <c r="BC496" s="58" t="s">
        <v>469</v>
      </c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  <c r="BN496" s="58"/>
      <c r="BO496" s="58"/>
      <c r="BP496" s="58"/>
      <c r="BQ496" s="58"/>
      <c r="BR496" s="58"/>
    </row>
    <row r="497">
      <c r="A497" s="106">
        <v>45831.0</v>
      </c>
      <c r="B497" s="64" t="s">
        <v>451</v>
      </c>
      <c r="C497" s="61">
        <v>45831.0</v>
      </c>
      <c r="D497" s="61">
        <v>45831.0</v>
      </c>
      <c r="E497" s="60" t="s">
        <v>452</v>
      </c>
      <c r="F497" s="126" t="s">
        <v>1511</v>
      </c>
      <c r="G497" s="63"/>
      <c r="H497" s="64" t="s">
        <v>472</v>
      </c>
      <c r="I497" s="98" t="s">
        <v>632</v>
      </c>
      <c r="J497" s="111" t="s">
        <v>456</v>
      </c>
      <c r="K497" s="111" t="s">
        <v>456</v>
      </c>
      <c r="L497" s="66">
        <v>22.0</v>
      </c>
      <c r="M497" s="66">
        <v>22.0</v>
      </c>
      <c r="N497" s="66" t="s">
        <v>457</v>
      </c>
      <c r="O497" s="66">
        <v>24.0</v>
      </c>
      <c r="P497" s="119">
        <v>2.47E8</v>
      </c>
      <c r="Q497" s="64" t="s">
        <v>459</v>
      </c>
      <c r="R497" s="64" t="s">
        <v>459</v>
      </c>
      <c r="S497" s="118">
        <v>131.0</v>
      </c>
      <c r="T497" s="64">
        <v>1441.0</v>
      </c>
      <c r="U497" s="118">
        <v>131.0</v>
      </c>
      <c r="V497" s="64">
        <v>1441.0</v>
      </c>
      <c r="W497" s="64">
        <v>1441.0</v>
      </c>
      <c r="X497" s="65" t="s">
        <v>460</v>
      </c>
      <c r="Y497" s="64" t="s">
        <v>461</v>
      </c>
      <c r="Z497" s="64" t="s">
        <v>462</v>
      </c>
      <c r="AA497" s="64" t="s">
        <v>463</v>
      </c>
      <c r="AB497" s="64" t="s">
        <v>464</v>
      </c>
      <c r="AC497" s="60" t="s">
        <v>451</v>
      </c>
      <c r="AD497" s="64" t="s">
        <v>577</v>
      </c>
      <c r="AE497" s="98" t="s">
        <v>578</v>
      </c>
      <c r="AF497" s="98" t="s">
        <v>578</v>
      </c>
      <c r="AG497" s="64" t="s">
        <v>467</v>
      </c>
      <c r="AH497" s="64" t="s">
        <v>467</v>
      </c>
      <c r="AI497" s="64">
        <v>396.0</v>
      </c>
      <c r="AJ497" s="64">
        <v>21.5</v>
      </c>
      <c r="AK497" s="67">
        <v>8514.0</v>
      </c>
      <c r="AL497" s="63"/>
      <c r="AM497" s="63"/>
      <c r="AN497" s="64">
        <v>21.5</v>
      </c>
      <c r="AO497" s="64" t="s">
        <v>468</v>
      </c>
      <c r="AP497" s="63"/>
      <c r="AQ497" s="63"/>
      <c r="AR497" s="63"/>
      <c r="AS497" s="63"/>
      <c r="AT497" s="63"/>
      <c r="AU497" s="63"/>
      <c r="AV497" s="63"/>
      <c r="AW497" s="58" t="s">
        <v>512</v>
      </c>
      <c r="AX497" s="69">
        <v>8514.0</v>
      </c>
      <c r="AY497" s="70"/>
      <c r="AZ497" s="70"/>
      <c r="BA497" s="70"/>
      <c r="BB497" s="70"/>
      <c r="BC497" s="58" t="s">
        <v>469</v>
      </c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  <c r="BN497" s="58"/>
      <c r="BO497" s="58"/>
      <c r="BP497" s="58"/>
      <c r="BQ497" s="58"/>
      <c r="BR497" s="58"/>
    </row>
    <row r="498">
      <c r="A498" s="105">
        <v>45831.0</v>
      </c>
      <c r="B498" s="66" t="s">
        <v>451</v>
      </c>
      <c r="C498" s="61">
        <v>45831.0</v>
      </c>
      <c r="D498" s="61">
        <v>45831.0</v>
      </c>
      <c r="E498" s="60" t="s">
        <v>452</v>
      </c>
      <c r="F498" s="128" t="s">
        <v>1512</v>
      </c>
      <c r="G498" s="63"/>
      <c r="H498" s="64" t="s">
        <v>472</v>
      </c>
      <c r="I498" s="98" t="s">
        <v>479</v>
      </c>
      <c r="J498" s="132" t="s">
        <v>456</v>
      </c>
      <c r="K498" s="132" t="s">
        <v>456</v>
      </c>
      <c r="L498" s="64">
        <v>22.0</v>
      </c>
      <c r="M498" s="64">
        <v>22.0</v>
      </c>
      <c r="N498" s="64" t="s">
        <v>457</v>
      </c>
      <c r="O498" s="64">
        <v>24.0</v>
      </c>
      <c r="P498" s="117" t="s">
        <v>1513</v>
      </c>
      <c r="Q498" s="66" t="s">
        <v>459</v>
      </c>
      <c r="R498" s="66" t="s">
        <v>459</v>
      </c>
      <c r="S498" s="117">
        <v>154.0</v>
      </c>
      <c r="T498" s="64">
        <v>1694.0</v>
      </c>
      <c r="U498" s="117">
        <v>154.0</v>
      </c>
      <c r="V498" s="64">
        <v>1694.0</v>
      </c>
      <c r="W498" s="64">
        <v>1694.0</v>
      </c>
      <c r="X498" s="65" t="s">
        <v>460</v>
      </c>
      <c r="Y498" s="64" t="s">
        <v>461</v>
      </c>
      <c r="Z498" s="64" t="s">
        <v>462</v>
      </c>
      <c r="AA498" s="64" t="s">
        <v>463</v>
      </c>
      <c r="AB498" s="64" t="s">
        <v>464</v>
      </c>
      <c r="AC498" s="60" t="s">
        <v>451</v>
      </c>
      <c r="AD498" s="64" t="s">
        <v>583</v>
      </c>
      <c r="AE498" s="118" t="s">
        <v>627</v>
      </c>
      <c r="AF498" s="118" t="s">
        <v>627</v>
      </c>
      <c r="AG498" s="64" t="s">
        <v>467</v>
      </c>
      <c r="AH498" s="64" t="s">
        <v>467</v>
      </c>
      <c r="AI498" s="66">
        <v>510.0</v>
      </c>
      <c r="AJ498" s="66">
        <v>21.5</v>
      </c>
      <c r="AK498" s="84">
        <v>10965.0</v>
      </c>
      <c r="AL498" s="63"/>
      <c r="AM498" s="63"/>
      <c r="AN498" s="64">
        <v>21.5</v>
      </c>
      <c r="AO498" s="64" t="s">
        <v>468</v>
      </c>
      <c r="AP498" s="63"/>
      <c r="AQ498" s="63"/>
      <c r="AR498" s="63"/>
      <c r="AS498" s="63"/>
      <c r="AT498" s="63"/>
      <c r="AU498" s="63"/>
      <c r="AV498" s="68"/>
      <c r="AW498" s="58" t="s">
        <v>512</v>
      </c>
      <c r="AX498" s="69">
        <v>10965.0</v>
      </c>
      <c r="AY498" s="70"/>
      <c r="AZ498" s="70"/>
      <c r="BA498" s="70"/>
      <c r="BB498" s="70"/>
      <c r="BC498" s="58" t="s">
        <v>469</v>
      </c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  <c r="BN498" s="58"/>
      <c r="BO498" s="58"/>
      <c r="BP498" s="58"/>
      <c r="BQ498" s="58"/>
      <c r="BR498" s="5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5" t="s">
        <v>1514</v>
      </c>
      <c r="B1" s="135" t="s">
        <v>1515</v>
      </c>
      <c r="C1" s="135" t="s">
        <v>1516</v>
      </c>
      <c r="D1" s="135" t="s">
        <v>1517</v>
      </c>
      <c r="E1" s="135" t="s">
        <v>1518</v>
      </c>
      <c r="F1" s="135" t="s">
        <v>1519</v>
      </c>
      <c r="G1" s="135" t="s">
        <v>1520</v>
      </c>
      <c r="H1" s="135" t="s">
        <v>1521</v>
      </c>
      <c r="I1" s="135" t="s">
        <v>1522</v>
      </c>
      <c r="J1" s="135" t="s">
        <v>1523</v>
      </c>
      <c r="K1" s="135" t="s">
        <v>1524</v>
      </c>
      <c r="L1" s="135" t="s">
        <v>1525</v>
      </c>
      <c r="M1" s="135" t="s">
        <v>1526</v>
      </c>
      <c r="N1" s="135" t="s">
        <v>1527</v>
      </c>
      <c r="O1" s="135" t="s">
        <v>1528</v>
      </c>
      <c r="P1" s="135" t="s">
        <v>1529</v>
      </c>
      <c r="Q1" s="135" t="s">
        <v>1530</v>
      </c>
      <c r="R1" s="135" t="s">
        <v>1531</v>
      </c>
      <c r="S1" s="135" t="s">
        <v>1532</v>
      </c>
      <c r="T1" s="135" t="s">
        <v>1533</v>
      </c>
      <c r="U1" s="135" t="s">
        <v>1534</v>
      </c>
      <c r="V1" s="135" t="s">
        <v>1535</v>
      </c>
      <c r="W1" s="135" t="s">
        <v>1536</v>
      </c>
      <c r="X1" s="135" t="s">
        <v>1537</v>
      </c>
      <c r="Y1" s="135" t="s">
        <v>1538</v>
      </c>
      <c r="Z1" s="135" t="s">
        <v>1539</v>
      </c>
      <c r="AA1" s="135" t="s">
        <v>1540</v>
      </c>
      <c r="AB1" s="135" t="s">
        <v>1541</v>
      </c>
      <c r="AC1" s="135" t="s">
        <v>1542</v>
      </c>
      <c r="AD1" s="135" t="s">
        <v>1543</v>
      </c>
      <c r="AE1" s="135" t="s">
        <v>1544</v>
      </c>
      <c r="AF1" s="135" t="s">
        <v>1545</v>
      </c>
      <c r="AG1" s="135" t="s">
        <v>1546</v>
      </c>
      <c r="AH1" s="135" t="s">
        <v>1547</v>
      </c>
      <c r="AI1" s="135" t="s">
        <v>1548</v>
      </c>
      <c r="AJ1" s="135" t="s">
        <v>1549</v>
      </c>
      <c r="AK1" s="135" t="s">
        <v>1550</v>
      </c>
      <c r="AL1" s="135" t="s">
        <v>1551</v>
      </c>
      <c r="AM1" s="135" t="s">
        <v>1552</v>
      </c>
      <c r="AN1" s="135" t="s">
        <v>1553</v>
      </c>
      <c r="AO1" s="135" t="s">
        <v>1554</v>
      </c>
      <c r="AP1" s="135" t="s">
        <v>1555</v>
      </c>
      <c r="AQ1" s="135" t="s">
        <v>1556</v>
      </c>
      <c r="AR1" s="135" t="s">
        <v>1557</v>
      </c>
      <c r="AS1" s="135" t="s">
        <v>1558</v>
      </c>
      <c r="AT1" s="135" t="s">
        <v>1559</v>
      </c>
      <c r="AU1" s="135" t="s">
        <v>1560</v>
      </c>
      <c r="AV1" s="135" t="s">
        <v>1561</v>
      </c>
      <c r="AW1" s="135" t="s">
        <v>1562</v>
      </c>
      <c r="AX1" s="135" t="s">
        <v>1563</v>
      </c>
      <c r="AY1" s="135" t="s">
        <v>1564</v>
      </c>
      <c r="AZ1" s="135" t="s">
        <v>1565</v>
      </c>
      <c r="BA1" s="135" t="s">
        <v>1566</v>
      </c>
      <c r="BB1" s="135" t="s">
        <v>1567</v>
      </c>
      <c r="BC1" s="135" t="s">
        <v>1568</v>
      </c>
      <c r="BD1" s="135" t="s">
        <v>1569</v>
      </c>
      <c r="BE1" s="135" t="s">
        <v>1570</v>
      </c>
      <c r="BF1" s="135" t="s">
        <v>1571</v>
      </c>
      <c r="BG1" s="135" t="s">
        <v>1572</v>
      </c>
      <c r="BH1" s="135" t="s">
        <v>1573</v>
      </c>
      <c r="BI1" s="135" t="s">
        <v>1574</v>
      </c>
      <c r="BJ1" s="135" t="s">
        <v>1575</v>
      </c>
      <c r="BK1" s="135" t="s">
        <v>1576</v>
      </c>
      <c r="BL1" s="135" t="s">
        <v>1577</v>
      </c>
      <c r="BM1" s="135" t="s">
        <v>1578</v>
      </c>
      <c r="BN1" s="135" t="s">
        <v>1579</v>
      </c>
      <c r="BO1" s="135" t="s">
        <v>1580</v>
      </c>
      <c r="BP1" s="135" t="s">
        <v>1581</v>
      </c>
      <c r="BQ1" s="135" t="s">
        <v>1582</v>
      </c>
      <c r="BR1" s="135" t="s">
        <v>1583</v>
      </c>
      <c r="BS1" s="135" t="s">
        <v>1584</v>
      </c>
      <c r="BT1" s="135" t="s">
        <v>1585</v>
      </c>
      <c r="BU1" s="135" t="s">
        <v>1586</v>
      </c>
      <c r="BV1" s="135" t="s">
        <v>1587</v>
      </c>
      <c r="BW1" s="135" t="s">
        <v>1588</v>
      </c>
      <c r="BX1" s="135" t="s">
        <v>1589</v>
      </c>
      <c r="BY1" s="135" t="s">
        <v>1590</v>
      </c>
      <c r="BZ1" s="135" t="s">
        <v>1591</v>
      </c>
      <c r="CA1" s="135" t="s">
        <v>1592</v>
      </c>
      <c r="CB1" s="135" t="s">
        <v>1593</v>
      </c>
      <c r="CC1" s="135" t="s">
        <v>1594</v>
      </c>
      <c r="CD1" s="135" t="s">
        <v>1595</v>
      </c>
      <c r="CE1" s="135" t="s">
        <v>1596</v>
      </c>
      <c r="CF1" s="135" t="s">
        <v>1597</v>
      </c>
      <c r="CG1" s="135" t="s">
        <v>1598</v>
      </c>
      <c r="CH1" s="135" t="s">
        <v>1599</v>
      </c>
      <c r="CI1" s="135" t="s">
        <v>1600</v>
      </c>
    </row>
    <row r="2">
      <c r="A2" s="136">
        <v>2.51E8</v>
      </c>
      <c r="B2" s="135" t="s">
        <v>1601</v>
      </c>
      <c r="C2" s="136">
        <v>1.11E8</v>
      </c>
      <c r="D2" s="135" t="s">
        <v>1602</v>
      </c>
      <c r="E2" s="135" t="s">
        <v>1603</v>
      </c>
      <c r="F2" s="135" t="s">
        <v>1604</v>
      </c>
      <c r="G2" s="135" t="s">
        <v>1605</v>
      </c>
      <c r="H2" s="135" t="s">
        <v>443</v>
      </c>
      <c r="I2" s="135" t="s">
        <v>1606</v>
      </c>
      <c r="J2" s="135" t="s">
        <v>1607</v>
      </c>
      <c r="K2" s="135" t="s">
        <v>1608</v>
      </c>
      <c r="L2" s="135" t="s">
        <v>1609</v>
      </c>
      <c r="M2" s="135" t="s">
        <v>1610</v>
      </c>
      <c r="N2" s="135" t="s">
        <v>1611</v>
      </c>
      <c r="O2" s="135" t="s">
        <v>1612</v>
      </c>
      <c r="P2" s="135" t="s">
        <v>1612</v>
      </c>
      <c r="Q2" s="135" t="s">
        <v>1613</v>
      </c>
      <c r="R2" s="135" t="s">
        <v>1614</v>
      </c>
      <c r="S2" s="135" t="s">
        <v>1615</v>
      </c>
      <c r="T2" s="137" t="s">
        <v>459</v>
      </c>
      <c r="U2" s="137" t="s">
        <v>459</v>
      </c>
      <c r="V2" s="137" t="s">
        <v>459</v>
      </c>
      <c r="W2" s="137" t="s">
        <v>459</v>
      </c>
      <c r="X2" s="138"/>
      <c r="Y2" s="138"/>
      <c r="Z2" s="137" t="s">
        <v>459</v>
      </c>
      <c r="AA2" s="139">
        <v>296232.0</v>
      </c>
      <c r="AB2" s="139">
        <v>192551.0</v>
      </c>
      <c r="AC2" s="135" t="s">
        <v>1610</v>
      </c>
      <c r="AD2" s="135" t="s">
        <v>1611</v>
      </c>
      <c r="AE2" s="135" t="s">
        <v>1616</v>
      </c>
      <c r="AF2" s="135" t="s">
        <v>1616</v>
      </c>
      <c r="AG2" s="135" t="s">
        <v>1608</v>
      </c>
      <c r="AH2" s="135" t="s">
        <v>1609</v>
      </c>
      <c r="AI2" s="137" t="s">
        <v>459</v>
      </c>
      <c r="AJ2" s="137" t="s">
        <v>459</v>
      </c>
      <c r="AK2" s="139">
        <v>1912.19</v>
      </c>
      <c r="AL2" s="135" t="s">
        <v>1617</v>
      </c>
      <c r="AM2" s="139">
        <v>0.0</v>
      </c>
      <c r="AN2" s="135" t="s">
        <v>1618</v>
      </c>
      <c r="AO2" s="139">
        <v>17.0</v>
      </c>
      <c r="AP2" s="139">
        <v>7.0</v>
      </c>
      <c r="AQ2" s="139">
        <v>7.0</v>
      </c>
      <c r="AR2" s="139">
        <v>753.0</v>
      </c>
      <c r="AS2" s="135" t="s">
        <v>1619</v>
      </c>
      <c r="AT2" s="139">
        <v>0.0</v>
      </c>
      <c r="AU2" s="139">
        <v>153.0</v>
      </c>
      <c r="AV2" s="139">
        <v>0.0</v>
      </c>
      <c r="AW2" s="139">
        <v>0.0</v>
      </c>
      <c r="AX2" s="139">
        <v>0.0</v>
      </c>
      <c r="AY2" s="139">
        <v>0.0</v>
      </c>
      <c r="AZ2" s="139">
        <v>0.0</v>
      </c>
      <c r="BA2" s="139">
        <v>4976.0</v>
      </c>
      <c r="BB2" s="139">
        <v>0.0</v>
      </c>
      <c r="BC2" s="139">
        <v>0.0</v>
      </c>
      <c r="BD2" s="139">
        <v>0.0</v>
      </c>
      <c r="BE2" s="139">
        <v>0.0</v>
      </c>
      <c r="BF2" s="139">
        <v>0.0</v>
      </c>
      <c r="BG2" s="139">
        <v>0.0</v>
      </c>
      <c r="BH2" s="139">
        <v>470.0</v>
      </c>
      <c r="BI2" s="139">
        <v>0.0</v>
      </c>
      <c r="BJ2" s="139">
        <v>0.0</v>
      </c>
      <c r="BK2" s="139">
        <v>0.0</v>
      </c>
      <c r="BL2" s="139">
        <v>4506.0</v>
      </c>
      <c r="BM2" s="139">
        <v>0.0</v>
      </c>
      <c r="BN2" s="139">
        <v>0.0</v>
      </c>
      <c r="BO2" s="139">
        <v>0.0</v>
      </c>
      <c r="BP2" s="139">
        <v>0.0</v>
      </c>
      <c r="BQ2" s="139">
        <v>0.0</v>
      </c>
      <c r="BR2" s="139">
        <v>0.0</v>
      </c>
      <c r="BS2" s="135" t="s">
        <v>1620</v>
      </c>
      <c r="BT2" s="135" t="s">
        <v>1621</v>
      </c>
      <c r="BU2" s="135" t="s">
        <v>1622</v>
      </c>
      <c r="BV2" s="139">
        <v>0.0</v>
      </c>
      <c r="BW2" s="138"/>
      <c r="BX2" s="135" t="s">
        <v>1623</v>
      </c>
      <c r="BY2" s="135" t="s">
        <v>1624</v>
      </c>
      <c r="BZ2" s="135" t="s">
        <v>1623</v>
      </c>
      <c r="CA2" s="135" t="s">
        <v>1624</v>
      </c>
      <c r="CB2" s="139">
        <v>0.0</v>
      </c>
      <c r="CC2" s="138"/>
      <c r="CD2" s="135" t="s">
        <v>1625</v>
      </c>
      <c r="CE2" s="137" t="s">
        <v>459</v>
      </c>
      <c r="CF2" s="135" t="s">
        <v>486</v>
      </c>
      <c r="CG2" s="139">
        <v>251.0</v>
      </c>
      <c r="CH2" s="139">
        <v>3.0</v>
      </c>
      <c r="CI2" s="139">
        <v>248.0</v>
      </c>
    </row>
    <row r="3">
      <c r="A3" s="136">
        <v>2.58E8</v>
      </c>
      <c r="B3" s="135" t="s">
        <v>1626</v>
      </c>
      <c r="C3" s="136">
        <v>1.13E8</v>
      </c>
      <c r="D3" s="135" t="s">
        <v>1602</v>
      </c>
      <c r="E3" s="135" t="s">
        <v>1603</v>
      </c>
      <c r="F3" s="135" t="s">
        <v>1604</v>
      </c>
      <c r="G3" s="135" t="s">
        <v>1605</v>
      </c>
      <c r="H3" s="135" t="s">
        <v>443</v>
      </c>
      <c r="I3" s="135" t="s">
        <v>1606</v>
      </c>
      <c r="J3" s="135" t="s">
        <v>1607</v>
      </c>
      <c r="K3" s="135" t="s">
        <v>1627</v>
      </c>
      <c r="L3" s="135" t="s">
        <v>1627</v>
      </c>
      <c r="M3" s="135" t="s">
        <v>1611</v>
      </c>
      <c r="N3" s="135" t="s">
        <v>1611</v>
      </c>
      <c r="O3" s="135" t="s">
        <v>1628</v>
      </c>
      <c r="P3" s="135" t="s">
        <v>1628</v>
      </c>
      <c r="Q3" s="135" t="s">
        <v>1613</v>
      </c>
      <c r="R3" s="135" t="s">
        <v>1629</v>
      </c>
      <c r="S3" s="135" t="s">
        <v>1630</v>
      </c>
      <c r="T3" s="137" t="s">
        <v>459</v>
      </c>
      <c r="U3" s="137" t="s">
        <v>459</v>
      </c>
      <c r="V3" s="137" t="s">
        <v>459</v>
      </c>
      <c r="W3" s="137" t="s">
        <v>459</v>
      </c>
      <c r="X3" s="138"/>
      <c r="Y3" s="138"/>
      <c r="Z3" s="137" t="s">
        <v>459</v>
      </c>
      <c r="AA3" s="139">
        <v>219450.0</v>
      </c>
      <c r="AB3" s="139">
        <v>222947.0</v>
      </c>
      <c r="AC3" s="135" t="s">
        <v>1611</v>
      </c>
      <c r="AD3" s="135" t="s">
        <v>1611</v>
      </c>
      <c r="AE3" s="135" t="s">
        <v>1631</v>
      </c>
      <c r="AF3" s="135" t="s">
        <v>1631</v>
      </c>
      <c r="AG3" s="135" t="s">
        <v>1627</v>
      </c>
      <c r="AH3" s="135" t="s">
        <v>1632</v>
      </c>
      <c r="AI3" s="137" t="s">
        <v>459</v>
      </c>
      <c r="AJ3" s="137" t="s">
        <v>459</v>
      </c>
      <c r="AK3" s="139">
        <v>3.0</v>
      </c>
      <c r="AL3" s="135" t="s">
        <v>1617</v>
      </c>
      <c r="AM3" s="139">
        <v>0.0</v>
      </c>
      <c r="AN3" s="135" t="s">
        <v>1633</v>
      </c>
      <c r="AO3" s="139">
        <v>6.5</v>
      </c>
      <c r="AP3" s="139">
        <v>4.5</v>
      </c>
      <c r="AQ3" s="139">
        <v>4.5</v>
      </c>
      <c r="AR3" s="139">
        <v>738.0</v>
      </c>
      <c r="AS3" s="135" t="s">
        <v>1634</v>
      </c>
      <c r="AT3" s="139">
        <v>0.0</v>
      </c>
      <c r="AU3" s="139">
        <v>0.0</v>
      </c>
      <c r="AV3" s="139">
        <v>0.0</v>
      </c>
      <c r="AW3" s="139">
        <v>3.0</v>
      </c>
      <c r="AX3" s="139">
        <v>0.0</v>
      </c>
      <c r="AY3" s="139">
        <v>0.0</v>
      </c>
      <c r="AZ3" s="139">
        <v>0.0</v>
      </c>
      <c r="BA3" s="139">
        <v>0.0</v>
      </c>
      <c r="BB3" s="139">
        <v>0.0</v>
      </c>
      <c r="BC3" s="139">
        <v>0.0</v>
      </c>
      <c r="BD3" s="139">
        <v>0.0</v>
      </c>
      <c r="BE3" s="139">
        <v>0.0</v>
      </c>
      <c r="BF3" s="139">
        <v>0.0</v>
      </c>
      <c r="BG3" s="139">
        <v>0.0</v>
      </c>
      <c r="BH3" s="139">
        <v>0.0</v>
      </c>
      <c r="BI3" s="139">
        <v>0.0</v>
      </c>
      <c r="BJ3" s="139">
        <v>0.0</v>
      </c>
      <c r="BK3" s="139">
        <v>0.0</v>
      </c>
      <c r="BL3" s="139">
        <v>0.0</v>
      </c>
      <c r="BM3" s="139">
        <v>0.0</v>
      </c>
      <c r="BN3" s="139">
        <v>0.0</v>
      </c>
      <c r="BO3" s="139">
        <v>0.0</v>
      </c>
      <c r="BP3" s="139">
        <v>0.0</v>
      </c>
      <c r="BQ3" s="139">
        <v>0.0</v>
      </c>
      <c r="BR3" s="139">
        <v>0.0</v>
      </c>
      <c r="BS3" s="135" t="s">
        <v>1635</v>
      </c>
      <c r="BT3" s="135" t="s">
        <v>1636</v>
      </c>
      <c r="BU3" s="135" t="s">
        <v>1631</v>
      </c>
      <c r="BV3" s="139">
        <v>0.0</v>
      </c>
      <c r="BW3" s="138"/>
      <c r="BX3" s="135" t="s">
        <v>1637</v>
      </c>
      <c r="BY3" s="135" t="s">
        <v>1637</v>
      </c>
      <c r="BZ3" s="135" t="s">
        <v>1637</v>
      </c>
      <c r="CA3" s="135" t="s">
        <v>1637</v>
      </c>
      <c r="CB3" s="139">
        <v>1.0</v>
      </c>
      <c r="CC3" s="138"/>
      <c r="CD3" s="135" t="s">
        <v>1638</v>
      </c>
      <c r="CE3" s="137" t="s">
        <v>459</v>
      </c>
      <c r="CF3" s="135" t="s">
        <v>456</v>
      </c>
      <c r="CG3" s="139">
        <v>3.0</v>
      </c>
      <c r="CH3" s="139">
        <v>3.0</v>
      </c>
      <c r="CI3" s="139">
        <v>0.0</v>
      </c>
    </row>
    <row r="4">
      <c r="A4" s="136">
        <v>2.54E8</v>
      </c>
      <c r="B4" s="135" t="s">
        <v>1639</v>
      </c>
      <c r="C4" s="136">
        <v>1.11E8</v>
      </c>
      <c r="D4" s="135" t="s">
        <v>1602</v>
      </c>
      <c r="E4" s="135" t="s">
        <v>1603</v>
      </c>
      <c r="F4" s="135" t="s">
        <v>1604</v>
      </c>
      <c r="G4" s="135" t="s">
        <v>1605</v>
      </c>
      <c r="H4" s="135" t="s">
        <v>443</v>
      </c>
      <c r="I4" s="135" t="s">
        <v>1606</v>
      </c>
      <c r="J4" s="135" t="s">
        <v>1607</v>
      </c>
      <c r="K4" s="135" t="s">
        <v>1640</v>
      </c>
      <c r="L4" s="135" t="s">
        <v>1641</v>
      </c>
      <c r="M4" s="135" t="s">
        <v>1611</v>
      </c>
      <c r="N4" s="135" t="s">
        <v>1611</v>
      </c>
      <c r="O4" s="135" t="s">
        <v>1612</v>
      </c>
      <c r="P4" s="135" t="s">
        <v>1612</v>
      </c>
      <c r="Q4" s="135" t="s">
        <v>1613</v>
      </c>
      <c r="R4" s="135" t="s">
        <v>1642</v>
      </c>
      <c r="S4" s="135" t="s">
        <v>1615</v>
      </c>
      <c r="T4" s="137" t="s">
        <v>459</v>
      </c>
      <c r="U4" s="137" t="s">
        <v>459</v>
      </c>
      <c r="V4" s="137" t="s">
        <v>459</v>
      </c>
      <c r="W4" s="137" t="s">
        <v>459</v>
      </c>
      <c r="X4" s="138"/>
      <c r="Y4" s="138"/>
      <c r="Z4" s="137" t="s">
        <v>459</v>
      </c>
      <c r="AA4" s="139">
        <v>54844.0</v>
      </c>
      <c r="AB4" s="139">
        <v>298945.0</v>
      </c>
      <c r="AC4" s="135" t="s">
        <v>1611</v>
      </c>
      <c r="AD4" s="135" t="s">
        <v>1611</v>
      </c>
      <c r="AE4" s="135" t="s">
        <v>1616</v>
      </c>
      <c r="AF4" s="135" t="s">
        <v>1616</v>
      </c>
      <c r="AG4" s="135" t="s">
        <v>1640</v>
      </c>
      <c r="AH4" s="135" t="s">
        <v>1641</v>
      </c>
      <c r="AI4" s="137" t="s">
        <v>459</v>
      </c>
      <c r="AJ4" s="137" t="s">
        <v>459</v>
      </c>
      <c r="AK4" s="139">
        <v>200.55</v>
      </c>
      <c r="AL4" s="135" t="s">
        <v>1617</v>
      </c>
      <c r="AM4" s="139">
        <v>0.0</v>
      </c>
      <c r="AN4" s="135" t="s">
        <v>1643</v>
      </c>
      <c r="AO4" s="139">
        <v>6.5</v>
      </c>
      <c r="AP4" s="139">
        <v>4.5</v>
      </c>
      <c r="AQ4" s="139">
        <v>4.5</v>
      </c>
      <c r="AR4" s="139">
        <v>223.0</v>
      </c>
      <c r="AS4" s="135" t="s">
        <v>1644</v>
      </c>
      <c r="AT4" s="139">
        <v>0.0</v>
      </c>
      <c r="AU4" s="139">
        <v>17.0</v>
      </c>
      <c r="AV4" s="139">
        <v>0.0</v>
      </c>
      <c r="AW4" s="139">
        <v>0.0</v>
      </c>
      <c r="AX4" s="139">
        <v>0.0</v>
      </c>
      <c r="AY4" s="139">
        <v>0.0</v>
      </c>
      <c r="AZ4" s="139">
        <v>0.0</v>
      </c>
      <c r="BA4" s="139">
        <v>467.0</v>
      </c>
      <c r="BB4" s="139">
        <v>0.0</v>
      </c>
      <c r="BC4" s="139">
        <v>0.0</v>
      </c>
      <c r="BD4" s="139">
        <v>0.0</v>
      </c>
      <c r="BE4" s="139">
        <v>0.0</v>
      </c>
      <c r="BF4" s="139">
        <v>0.0</v>
      </c>
      <c r="BG4" s="139">
        <v>0.0</v>
      </c>
      <c r="BH4" s="139">
        <v>379.0</v>
      </c>
      <c r="BI4" s="139">
        <v>0.0</v>
      </c>
      <c r="BJ4" s="139">
        <v>0.0</v>
      </c>
      <c r="BK4" s="139">
        <v>0.0</v>
      </c>
      <c r="BL4" s="139">
        <v>88.0</v>
      </c>
      <c r="BM4" s="139">
        <v>0.0</v>
      </c>
      <c r="BN4" s="139">
        <v>0.0</v>
      </c>
      <c r="BO4" s="139">
        <v>0.0</v>
      </c>
      <c r="BP4" s="139">
        <v>0.0</v>
      </c>
      <c r="BQ4" s="139">
        <v>0.0</v>
      </c>
      <c r="BR4" s="139">
        <v>0.0</v>
      </c>
      <c r="BS4" s="135" t="s">
        <v>1635</v>
      </c>
      <c r="BT4" s="135" t="s">
        <v>1621</v>
      </c>
      <c r="BU4" s="135" t="s">
        <v>1622</v>
      </c>
      <c r="BV4" s="139">
        <v>0.0</v>
      </c>
      <c r="BW4" s="138"/>
      <c r="BX4" s="135" t="s">
        <v>1645</v>
      </c>
      <c r="BY4" s="135" t="s">
        <v>1646</v>
      </c>
      <c r="BZ4" s="135" t="s">
        <v>1645</v>
      </c>
      <c r="CA4" s="135" t="s">
        <v>1645</v>
      </c>
      <c r="CB4" s="139">
        <v>0.0</v>
      </c>
      <c r="CC4" s="138"/>
      <c r="CD4" s="135" t="s">
        <v>1647</v>
      </c>
      <c r="CE4" s="137" t="s">
        <v>459</v>
      </c>
      <c r="CF4" s="135" t="s">
        <v>456</v>
      </c>
      <c r="CG4" s="139">
        <v>28.0</v>
      </c>
      <c r="CH4" s="139">
        <v>28.0</v>
      </c>
      <c r="CI4" s="139">
        <v>0.0</v>
      </c>
    </row>
    <row r="5">
      <c r="A5" s="136">
        <v>2.53E8</v>
      </c>
      <c r="B5" s="135" t="s">
        <v>1648</v>
      </c>
      <c r="C5" s="136">
        <v>1.12E8</v>
      </c>
      <c r="D5" s="135" t="s">
        <v>1602</v>
      </c>
      <c r="E5" s="135" t="s">
        <v>1603</v>
      </c>
      <c r="F5" s="135" t="s">
        <v>1604</v>
      </c>
      <c r="G5" s="135" t="s">
        <v>1649</v>
      </c>
      <c r="H5" s="135" t="s">
        <v>443</v>
      </c>
      <c r="I5" s="135" t="s">
        <v>1606</v>
      </c>
      <c r="J5" s="135" t="s">
        <v>1650</v>
      </c>
      <c r="K5" s="135" t="s">
        <v>1651</v>
      </c>
      <c r="L5" s="135" t="s">
        <v>1652</v>
      </c>
      <c r="M5" s="135" t="s">
        <v>1610</v>
      </c>
      <c r="N5" s="135" t="s">
        <v>1610</v>
      </c>
      <c r="O5" s="135" t="s">
        <v>1612</v>
      </c>
      <c r="P5" s="135" t="s">
        <v>1612</v>
      </c>
      <c r="Q5" s="135" t="s">
        <v>1613</v>
      </c>
      <c r="R5" s="135" t="s">
        <v>1653</v>
      </c>
      <c r="S5" s="135" t="s">
        <v>1615</v>
      </c>
      <c r="T5" s="137" t="s">
        <v>459</v>
      </c>
      <c r="U5" s="137" t="s">
        <v>459</v>
      </c>
      <c r="V5" s="137" t="s">
        <v>459</v>
      </c>
      <c r="W5" s="137" t="s">
        <v>459</v>
      </c>
      <c r="X5" s="138"/>
      <c r="Y5" s="138"/>
      <c r="Z5" s="137" t="s">
        <v>459</v>
      </c>
      <c r="AA5" s="139">
        <v>348111.0</v>
      </c>
      <c r="AB5" s="139">
        <v>266577.0</v>
      </c>
      <c r="AC5" s="135" t="s">
        <v>1610</v>
      </c>
      <c r="AD5" s="135" t="s">
        <v>1610</v>
      </c>
      <c r="AE5" s="135" t="s">
        <v>1616</v>
      </c>
      <c r="AF5" s="135" t="s">
        <v>1616</v>
      </c>
      <c r="AG5" s="135" t="s">
        <v>1654</v>
      </c>
      <c r="AH5" s="135" t="s">
        <v>1652</v>
      </c>
      <c r="AI5" s="137" t="s">
        <v>459</v>
      </c>
      <c r="AJ5" s="137" t="s">
        <v>459</v>
      </c>
      <c r="AK5" s="139">
        <v>2934.64</v>
      </c>
      <c r="AL5" s="135" t="s">
        <v>1617</v>
      </c>
      <c r="AM5" s="139">
        <v>0.0</v>
      </c>
      <c r="AN5" s="135" t="s">
        <v>1655</v>
      </c>
      <c r="AO5" s="139">
        <v>32.0</v>
      </c>
      <c r="AP5" s="139">
        <v>8.0</v>
      </c>
      <c r="AQ5" s="139">
        <v>8.0</v>
      </c>
      <c r="AR5" s="139">
        <v>343.0</v>
      </c>
      <c r="AS5" s="135" t="s">
        <v>1656</v>
      </c>
      <c r="AT5" s="139">
        <v>0.0</v>
      </c>
      <c r="AU5" s="139">
        <v>0.0</v>
      </c>
      <c r="AV5" s="139">
        <v>0.0</v>
      </c>
      <c r="AW5" s="139">
        <v>0.0</v>
      </c>
      <c r="AX5" s="139">
        <v>0.0</v>
      </c>
      <c r="AY5" s="139">
        <v>119.0</v>
      </c>
      <c r="AZ5" s="139">
        <v>0.0</v>
      </c>
      <c r="BA5" s="139">
        <v>0.0</v>
      </c>
      <c r="BB5" s="139">
        <v>0.0</v>
      </c>
      <c r="BC5" s="139">
        <v>0.0</v>
      </c>
      <c r="BD5" s="139">
        <v>0.0</v>
      </c>
      <c r="BE5" s="139">
        <v>119.0</v>
      </c>
      <c r="BF5" s="139">
        <v>0.0</v>
      </c>
      <c r="BG5" s="139">
        <v>0.0</v>
      </c>
      <c r="BH5" s="139">
        <v>0.0</v>
      </c>
      <c r="BI5" s="139">
        <v>0.0</v>
      </c>
      <c r="BJ5" s="139">
        <v>107.0</v>
      </c>
      <c r="BK5" s="139">
        <v>0.0</v>
      </c>
      <c r="BL5" s="139">
        <v>0.0</v>
      </c>
      <c r="BM5" s="139">
        <v>0.0</v>
      </c>
      <c r="BN5" s="139">
        <v>0.0</v>
      </c>
      <c r="BO5" s="139">
        <v>0.0</v>
      </c>
      <c r="BP5" s="139">
        <v>12.0</v>
      </c>
      <c r="BQ5" s="139">
        <v>0.0</v>
      </c>
      <c r="BR5" s="139">
        <v>0.0</v>
      </c>
      <c r="BS5" s="135" t="s">
        <v>1657</v>
      </c>
      <c r="BT5" s="135" t="s">
        <v>1658</v>
      </c>
      <c r="BU5" s="135" t="s">
        <v>1622</v>
      </c>
      <c r="BV5" s="139">
        <v>0.0</v>
      </c>
      <c r="BW5" s="138"/>
      <c r="BX5" s="135" t="s">
        <v>1659</v>
      </c>
      <c r="BY5" s="135" t="s">
        <v>1623</v>
      </c>
      <c r="BZ5" s="135" t="s">
        <v>1659</v>
      </c>
      <c r="CA5" s="135" t="s">
        <v>1623</v>
      </c>
      <c r="CB5" s="139">
        <v>0.0</v>
      </c>
      <c r="CC5" s="138"/>
      <c r="CD5" s="140" t="s">
        <v>1660</v>
      </c>
      <c r="CE5" s="137" t="s">
        <v>459</v>
      </c>
      <c r="CF5" s="135" t="s">
        <v>486</v>
      </c>
      <c r="CG5" s="139">
        <v>0.0</v>
      </c>
      <c r="CH5" s="139">
        <v>0.0</v>
      </c>
      <c r="CI5" s="139">
        <v>0.0</v>
      </c>
    </row>
    <row r="6">
      <c r="A6" s="136">
        <v>2.55E8</v>
      </c>
      <c r="B6" s="135" t="s">
        <v>1661</v>
      </c>
      <c r="C6" s="136">
        <v>1.11E8</v>
      </c>
      <c r="D6" s="135" t="s">
        <v>1602</v>
      </c>
      <c r="E6" s="135" t="s">
        <v>1099</v>
      </c>
      <c r="F6" s="135" t="s">
        <v>1604</v>
      </c>
      <c r="G6" s="135" t="s">
        <v>1605</v>
      </c>
      <c r="H6" s="135" t="s">
        <v>443</v>
      </c>
      <c r="I6" s="135" t="s">
        <v>1662</v>
      </c>
      <c r="J6" s="135" t="s">
        <v>1607</v>
      </c>
      <c r="K6" s="135" t="s">
        <v>1663</v>
      </c>
      <c r="L6" s="135" t="s">
        <v>1664</v>
      </c>
      <c r="M6" s="135" t="s">
        <v>1611</v>
      </c>
      <c r="N6" s="135" t="s">
        <v>1610</v>
      </c>
      <c r="O6" s="135" t="s">
        <v>1612</v>
      </c>
      <c r="P6" s="135" t="s">
        <v>1612</v>
      </c>
      <c r="Q6" s="135" t="s">
        <v>1613</v>
      </c>
      <c r="R6" s="138"/>
      <c r="S6" s="135" t="s">
        <v>1615</v>
      </c>
      <c r="T6" s="137" t="s">
        <v>459</v>
      </c>
      <c r="U6" s="137" t="s">
        <v>459</v>
      </c>
      <c r="V6" s="137" t="s">
        <v>459</v>
      </c>
      <c r="W6" s="137" t="s">
        <v>459</v>
      </c>
      <c r="X6" s="138"/>
      <c r="Y6" s="138"/>
      <c r="Z6" s="137" t="s">
        <v>459</v>
      </c>
      <c r="AA6" s="139">
        <v>192661.0</v>
      </c>
      <c r="AB6" s="139">
        <v>351759.0</v>
      </c>
      <c r="AC6" s="135" t="s">
        <v>1611</v>
      </c>
      <c r="AD6" s="135" t="s">
        <v>1610</v>
      </c>
      <c r="AE6" s="135" t="s">
        <v>1616</v>
      </c>
      <c r="AF6" s="135" t="s">
        <v>1616</v>
      </c>
      <c r="AG6" s="135" t="s">
        <v>1663</v>
      </c>
      <c r="AH6" s="135" t="s">
        <v>1664</v>
      </c>
      <c r="AI6" s="137" t="s">
        <v>459</v>
      </c>
      <c r="AJ6" s="137" t="s">
        <v>459</v>
      </c>
      <c r="AK6" s="139">
        <v>0.0</v>
      </c>
      <c r="AL6" s="135" t="s">
        <v>1617</v>
      </c>
      <c r="AM6" s="139">
        <v>0.0</v>
      </c>
      <c r="AN6" s="138"/>
      <c r="AO6" s="138"/>
      <c r="AP6" s="138"/>
      <c r="AQ6" s="138"/>
      <c r="AR6" s="139">
        <v>269.0</v>
      </c>
      <c r="AS6" s="135" t="s">
        <v>1665</v>
      </c>
      <c r="AT6" s="139">
        <v>0.0</v>
      </c>
      <c r="AU6" s="139">
        <v>7.0</v>
      </c>
      <c r="AV6" s="139">
        <v>0.0</v>
      </c>
      <c r="AW6" s="139">
        <v>0.0</v>
      </c>
      <c r="AX6" s="139">
        <v>0.0</v>
      </c>
      <c r="AY6" s="139">
        <v>0.0</v>
      </c>
      <c r="AZ6" s="139">
        <v>0.0</v>
      </c>
      <c r="BA6" s="139">
        <v>112.0</v>
      </c>
      <c r="BB6" s="139">
        <v>0.0</v>
      </c>
      <c r="BC6" s="139">
        <v>0.0</v>
      </c>
      <c r="BD6" s="139">
        <v>0.0</v>
      </c>
      <c r="BE6" s="139">
        <v>0.0</v>
      </c>
      <c r="BF6" s="139">
        <v>0.0</v>
      </c>
      <c r="BG6" s="139">
        <v>0.0</v>
      </c>
      <c r="BH6" s="139">
        <v>0.0</v>
      </c>
      <c r="BI6" s="139">
        <v>0.0</v>
      </c>
      <c r="BJ6" s="139">
        <v>0.0</v>
      </c>
      <c r="BK6" s="139">
        <v>0.0</v>
      </c>
      <c r="BL6" s="139">
        <v>112.0</v>
      </c>
      <c r="BM6" s="139">
        <v>0.0</v>
      </c>
      <c r="BN6" s="139">
        <v>0.0</v>
      </c>
      <c r="BO6" s="139">
        <v>0.0</v>
      </c>
      <c r="BP6" s="139">
        <v>0.0</v>
      </c>
      <c r="BQ6" s="139">
        <v>0.0</v>
      </c>
      <c r="BR6" s="139">
        <v>0.0</v>
      </c>
      <c r="BS6" s="138"/>
      <c r="BT6" s="135" t="s">
        <v>1621</v>
      </c>
      <c r="BU6" s="135" t="s">
        <v>1622</v>
      </c>
      <c r="BV6" s="139">
        <v>0.0</v>
      </c>
      <c r="BW6" s="138"/>
      <c r="BX6" s="135" t="s">
        <v>1666</v>
      </c>
      <c r="BY6" s="135" t="s">
        <v>1667</v>
      </c>
      <c r="BZ6" s="135" t="s">
        <v>1666</v>
      </c>
      <c r="CA6" s="135" t="s">
        <v>1667</v>
      </c>
      <c r="CB6" s="139">
        <v>0.0</v>
      </c>
      <c r="CC6" s="138"/>
      <c r="CD6" s="135" t="s">
        <v>1668</v>
      </c>
      <c r="CE6" s="137" t="s">
        <v>459</v>
      </c>
      <c r="CF6" s="135" t="s">
        <v>486</v>
      </c>
      <c r="CG6" s="139">
        <v>1.0</v>
      </c>
      <c r="CH6" s="139">
        <v>0.0</v>
      </c>
      <c r="CI6" s="139">
        <v>1.0</v>
      </c>
    </row>
    <row r="7">
      <c r="A7" s="136">
        <v>2.55E8</v>
      </c>
      <c r="B7" s="135" t="s">
        <v>1669</v>
      </c>
      <c r="C7" s="136">
        <v>1.12E8</v>
      </c>
      <c r="D7" s="135" t="s">
        <v>1602</v>
      </c>
      <c r="E7" s="135" t="s">
        <v>1603</v>
      </c>
      <c r="F7" s="135" t="s">
        <v>1604</v>
      </c>
      <c r="G7" s="135" t="s">
        <v>1605</v>
      </c>
      <c r="H7" s="135" t="s">
        <v>443</v>
      </c>
      <c r="I7" s="135" t="s">
        <v>1606</v>
      </c>
      <c r="J7" s="135" t="s">
        <v>1607</v>
      </c>
      <c r="K7" s="135" t="s">
        <v>1670</v>
      </c>
      <c r="L7" s="135" t="s">
        <v>1671</v>
      </c>
      <c r="M7" s="135" t="s">
        <v>1611</v>
      </c>
      <c r="N7" s="135" t="s">
        <v>1611</v>
      </c>
      <c r="O7" s="135" t="s">
        <v>1628</v>
      </c>
      <c r="P7" s="135" t="s">
        <v>1628</v>
      </c>
      <c r="Q7" s="135" t="s">
        <v>1613</v>
      </c>
      <c r="R7" s="135" t="s">
        <v>1672</v>
      </c>
      <c r="S7" s="135" t="s">
        <v>1615</v>
      </c>
      <c r="T7" s="137" t="s">
        <v>459</v>
      </c>
      <c r="U7" s="137" t="s">
        <v>459</v>
      </c>
      <c r="V7" s="137" t="s">
        <v>459</v>
      </c>
      <c r="W7" s="137" t="s">
        <v>459</v>
      </c>
      <c r="X7" s="138"/>
      <c r="Y7" s="138"/>
      <c r="Z7" s="137" t="s">
        <v>459</v>
      </c>
      <c r="AA7" s="139">
        <v>219050.0</v>
      </c>
      <c r="AB7" s="139">
        <v>222699.0</v>
      </c>
      <c r="AC7" s="135" t="s">
        <v>1611</v>
      </c>
      <c r="AD7" s="135" t="s">
        <v>1611</v>
      </c>
      <c r="AE7" s="135" t="s">
        <v>1631</v>
      </c>
      <c r="AF7" s="135" t="s">
        <v>1631</v>
      </c>
      <c r="AG7" s="135" t="s">
        <v>1670</v>
      </c>
      <c r="AH7" s="135" t="s">
        <v>1671</v>
      </c>
      <c r="AI7" s="137" t="s">
        <v>459</v>
      </c>
      <c r="AJ7" s="137" t="s">
        <v>459</v>
      </c>
      <c r="AK7" s="139">
        <v>21.0</v>
      </c>
      <c r="AL7" s="135" t="s">
        <v>1617</v>
      </c>
      <c r="AM7" s="139">
        <v>0.0</v>
      </c>
      <c r="AN7" s="135" t="s">
        <v>1673</v>
      </c>
      <c r="AO7" s="139">
        <v>8.0</v>
      </c>
      <c r="AP7" s="139">
        <v>4.8</v>
      </c>
      <c r="AQ7" s="139">
        <v>4.8</v>
      </c>
      <c r="AR7" s="139">
        <v>254.0</v>
      </c>
      <c r="AS7" s="135" t="s">
        <v>1674</v>
      </c>
      <c r="AT7" s="139">
        <v>0.0</v>
      </c>
      <c r="AU7" s="139">
        <v>4.0</v>
      </c>
      <c r="AV7" s="139">
        <v>0.0</v>
      </c>
      <c r="AW7" s="139">
        <v>0.0</v>
      </c>
      <c r="AX7" s="139">
        <v>0.0</v>
      </c>
      <c r="AY7" s="139">
        <v>0.0</v>
      </c>
      <c r="AZ7" s="139">
        <v>0.0</v>
      </c>
      <c r="BA7" s="139">
        <v>0.0</v>
      </c>
      <c r="BB7" s="139">
        <v>0.0</v>
      </c>
      <c r="BC7" s="139">
        <v>0.0</v>
      </c>
      <c r="BD7" s="139">
        <v>0.0</v>
      </c>
      <c r="BE7" s="139">
        <v>0.0</v>
      </c>
      <c r="BF7" s="139">
        <v>0.0</v>
      </c>
      <c r="BG7" s="139">
        <v>0.0</v>
      </c>
      <c r="BH7" s="139">
        <v>0.0</v>
      </c>
      <c r="BI7" s="139">
        <v>0.0</v>
      </c>
      <c r="BJ7" s="139">
        <v>0.0</v>
      </c>
      <c r="BK7" s="139">
        <v>0.0</v>
      </c>
      <c r="BL7" s="139">
        <v>0.0</v>
      </c>
      <c r="BM7" s="139">
        <v>0.0</v>
      </c>
      <c r="BN7" s="139">
        <v>0.0</v>
      </c>
      <c r="BO7" s="139">
        <v>0.0</v>
      </c>
      <c r="BP7" s="139">
        <v>0.0</v>
      </c>
      <c r="BQ7" s="139">
        <v>0.0</v>
      </c>
      <c r="BR7" s="139">
        <v>0.0</v>
      </c>
      <c r="BS7" s="135" t="s">
        <v>1675</v>
      </c>
      <c r="BT7" s="135" t="s">
        <v>1621</v>
      </c>
      <c r="BU7" s="135" t="s">
        <v>1631</v>
      </c>
      <c r="BV7" s="139">
        <v>0.0</v>
      </c>
      <c r="BW7" s="138"/>
      <c r="BX7" s="135" t="s">
        <v>1676</v>
      </c>
      <c r="BY7" s="135" t="s">
        <v>1676</v>
      </c>
      <c r="BZ7" s="135" t="s">
        <v>1676</v>
      </c>
      <c r="CA7" s="135" t="s">
        <v>1676</v>
      </c>
      <c r="CB7" s="139">
        <v>0.0</v>
      </c>
      <c r="CC7" s="138"/>
      <c r="CD7" s="135" t="s">
        <v>1677</v>
      </c>
      <c r="CE7" s="137" t="s">
        <v>459</v>
      </c>
      <c r="CF7" s="135" t="s">
        <v>456</v>
      </c>
      <c r="CG7" s="139">
        <v>49.0</v>
      </c>
      <c r="CH7" s="139">
        <v>39.0</v>
      </c>
      <c r="CI7" s="139">
        <v>10.0</v>
      </c>
    </row>
    <row r="8">
      <c r="A8" s="136">
        <v>2.55E8</v>
      </c>
      <c r="B8" s="135" t="s">
        <v>1678</v>
      </c>
      <c r="C8" s="136">
        <v>1.11E8</v>
      </c>
      <c r="D8" s="135" t="s">
        <v>1602</v>
      </c>
      <c r="E8" s="135" t="s">
        <v>1099</v>
      </c>
      <c r="F8" s="135" t="s">
        <v>1604</v>
      </c>
      <c r="G8" s="135" t="s">
        <v>1605</v>
      </c>
      <c r="H8" s="135" t="s">
        <v>443</v>
      </c>
      <c r="I8" s="135" t="s">
        <v>1662</v>
      </c>
      <c r="J8" s="135" t="s">
        <v>1607</v>
      </c>
      <c r="K8" s="135" t="s">
        <v>1679</v>
      </c>
      <c r="L8" s="135" t="s">
        <v>1680</v>
      </c>
      <c r="M8" s="135" t="s">
        <v>1610</v>
      </c>
      <c r="N8" s="135" t="s">
        <v>1611</v>
      </c>
      <c r="O8" s="135" t="s">
        <v>1628</v>
      </c>
      <c r="P8" s="135" t="s">
        <v>1628</v>
      </c>
      <c r="Q8" s="135" t="s">
        <v>1613</v>
      </c>
      <c r="R8" s="138"/>
      <c r="S8" s="135" t="s">
        <v>1615</v>
      </c>
      <c r="T8" s="137" t="s">
        <v>459</v>
      </c>
      <c r="U8" s="137" t="s">
        <v>459</v>
      </c>
      <c r="V8" s="137" t="s">
        <v>459</v>
      </c>
      <c r="W8" s="137" t="s">
        <v>459</v>
      </c>
      <c r="X8" s="138"/>
      <c r="Y8" s="138"/>
      <c r="Z8" s="137" t="s">
        <v>459</v>
      </c>
      <c r="AA8" s="139">
        <v>270455.0</v>
      </c>
      <c r="AB8" s="139">
        <v>317196.0</v>
      </c>
      <c r="AC8" s="135" t="s">
        <v>1610</v>
      </c>
      <c r="AD8" s="135" t="s">
        <v>1611</v>
      </c>
      <c r="AE8" s="135" t="s">
        <v>1616</v>
      </c>
      <c r="AF8" s="135" t="s">
        <v>1616</v>
      </c>
      <c r="AG8" s="135" t="s">
        <v>1679</v>
      </c>
      <c r="AH8" s="135" t="s">
        <v>1680</v>
      </c>
      <c r="AI8" s="137" t="s">
        <v>459</v>
      </c>
      <c r="AJ8" s="137" t="s">
        <v>459</v>
      </c>
      <c r="AK8" s="139">
        <v>21.15</v>
      </c>
      <c r="AL8" s="135" t="s">
        <v>1617</v>
      </c>
      <c r="AM8" s="139">
        <v>0.0</v>
      </c>
      <c r="AN8" s="138"/>
      <c r="AO8" s="138"/>
      <c r="AP8" s="138"/>
      <c r="AQ8" s="138"/>
      <c r="AR8" s="139">
        <v>594.0</v>
      </c>
      <c r="AS8" s="135" t="s">
        <v>1681</v>
      </c>
      <c r="AT8" s="139">
        <v>0.0</v>
      </c>
      <c r="AU8" s="139">
        <v>0.0</v>
      </c>
      <c r="AV8" s="139">
        <v>0.0</v>
      </c>
      <c r="AW8" s="139">
        <v>0.0</v>
      </c>
      <c r="AX8" s="139">
        <v>0.0</v>
      </c>
      <c r="AY8" s="139">
        <v>0.0</v>
      </c>
      <c r="AZ8" s="139">
        <v>1.0</v>
      </c>
      <c r="BA8" s="139">
        <v>0.0</v>
      </c>
      <c r="BB8" s="139">
        <v>0.0</v>
      </c>
      <c r="BC8" s="139">
        <v>0.0</v>
      </c>
      <c r="BD8" s="139">
        <v>0.0</v>
      </c>
      <c r="BE8" s="139">
        <v>0.0</v>
      </c>
      <c r="BF8" s="139">
        <v>0.0</v>
      </c>
      <c r="BG8" s="139">
        <v>4.0</v>
      </c>
      <c r="BH8" s="139">
        <v>0.0</v>
      </c>
      <c r="BI8" s="139">
        <v>0.0</v>
      </c>
      <c r="BJ8" s="139">
        <v>0.0</v>
      </c>
      <c r="BK8" s="139">
        <v>4.0</v>
      </c>
      <c r="BL8" s="139">
        <v>0.0</v>
      </c>
      <c r="BM8" s="139">
        <v>0.0</v>
      </c>
      <c r="BN8" s="139">
        <v>0.0</v>
      </c>
      <c r="BO8" s="139">
        <v>0.0</v>
      </c>
      <c r="BP8" s="139">
        <v>0.0</v>
      </c>
      <c r="BQ8" s="139">
        <v>0.0</v>
      </c>
      <c r="BR8" s="139">
        <v>0.0</v>
      </c>
      <c r="BS8" s="138"/>
      <c r="BT8" s="135" t="s">
        <v>1682</v>
      </c>
      <c r="BU8" s="135" t="s">
        <v>1622</v>
      </c>
      <c r="BV8" s="139">
        <v>0.0</v>
      </c>
      <c r="BW8" s="135" t="s">
        <v>1683</v>
      </c>
      <c r="BX8" s="135" t="s">
        <v>1684</v>
      </c>
      <c r="BY8" s="135" t="s">
        <v>1685</v>
      </c>
      <c r="BZ8" s="135" t="s">
        <v>1684</v>
      </c>
      <c r="CA8" s="135" t="s">
        <v>1685</v>
      </c>
      <c r="CB8" s="139">
        <v>0.0</v>
      </c>
      <c r="CC8" s="138"/>
      <c r="CD8" s="135" t="s">
        <v>1686</v>
      </c>
      <c r="CE8" s="137" t="s">
        <v>459</v>
      </c>
      <c r="CF8" s="135" t="s">
        <v>456</v>
      </c>
      <c r="CG8" s="139">
        <v>0.0</v>
      </c>
      <c r="CH8" s="139">
        <v>0.0</v>
      </c>
      <c r="CI8" s="139">
        <v>0.0</v>
      </c>
    </row>
  </sheetData>
  <hyperlinks>
    <hyperlink r:id="rId1" ref="CD5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358</v>
      </c>
      <c r="B1" s="24" t="s">
        <v>359</v>
      </c>
      <c r="C1" s="24" t="s">
        <v>170</v>
      </c>
      <c r="D1" s="24" t="s">
        <v>175</v>
      </c>
      <c r="E1" s="24" t="s">
        <v>176</v>
      </c>
      <c r="F1" s="24" t="s">
        <v>177</v>
      </c>
      <c r="G1" s="24" t="s">
        <v>178</v>
      </c>
      <c r="H1" s="24" t="s">
        <v>360</v>
      </c>
      <c r="I1" s="24" t="s">
        <v>361</v>
      </c>
      <c r="J1" s="24" t="s">
        <v>362</v>
      </c>
      <c r="K1" s="24" t="s">
        <v>363</v>
      </c>
      <c r="L1" s="24" t="s">
        <v>179</v>
      </c>
      <c r="S1" s="24" t="s">
        <v>358</v>
      </c>
      <c r="T1" s="24" t="s">
        <v>359</v>
      </c>
      <c r="U1" s="24" t="s">
        <v>170</v>
      </c>
      <c r="V1" s="24" t="s">
        <v>175</v>
      </c>
      <c r="W1" s="24" t="s">
        <v>176</v>
      </c>
      <c r="X1" s="24" t="s">
        <v>177</v>
      </c>
      <c r="Y1" s="24" t="s">
        <v>178</v>
      </c>
      <c r="Z1" s="24" t="s">
        <v>360</v>
      </c>
      <c r="AA1" s="24" t="s">
        <v>361</v>
      </c>
      <c r="AB1" s="24" t="s">
        <v>362</v>
      </c>
      <c r="AC1" s="24" t="s">
        <v>363</v>
      </c>
      <c r="AD1" s="24" t="s">
        <v>179</v>
      </c>
      <c r="AE1" s="2" t="s">
        <v>1687</v>
      </c>
      <c r="AF1" s="2" t="s">
        <v>1688</v>
      </c>
      <c r="AG1" s="2" t="s">
        <v>1689</v>
      </c>
      <c r="AH1" s="2" t="s">
        <v>1690</v>
      </c>
    </row>
    <row r="2">
      <c r="A2" s="24" t="s">
        <v>1691</v>
      </c>
      <c r="B2" s="27">
        <v>3.0</v>
      </c>
      <c r="C2" s="24" t="s">
        <v>1692</v>
      </c>
      <c r="D2" s="27">
        <v>2137.0</v>
      </c>
      <c r="E2" s="27">
        <v>32.0</v>
      </c>
      <c r="F2" s="24" t="s">
        <v>1693</v>
      </c>
      <c r="G2" s="24" t="s">
        <v>1694</v>
      </c>
      <c r="H2" s="27">
        <v>713.0</v>
      </c>
      <c r="I2" s="27">
        <v>262.0</v>
      </c>
      <c r="J2" s="27">
        <v>599.0</v>
      </c>
      <c r="K2" s="26" t="s">
        <v>368</v>
      </c>
      <c r="L2" s="27">
        <v>675.0</v>
      </c>
      <c r="Q2" s="141"/>
      <c r="S2" s="24" t="s">
        <v>1691</v>
      </c>
      <c r="T2" s="27">
        <v>3.0</v>
      </c>
      <c r="U2" s="24" t="s">
        <v>1692</v>
      </c>
      <c r="V2" s="27">
        <v>2137.0</v>
      </c>
      <c r="W2" s="27">
        <v>32.0</v>
      </c>
      <c r="X2" s="24" t="s">
        <v>1693</v>
      </c>
      <c r="Y2" s="24" t="s">
        <v>1694</v>
      </c>
      <c r="Z2" s="27">
        <v>713.0</v>
      </c>
      <c r="AA2" s="27">
        <v>262.0</v>
      </c>
      <c r="AB2" s="27">
        <v>599.0</v>
      </c>
      <c r="AC2" s="24" t="s">
        <v>368</v>
      </c>
      <c r="AD2" s="27">
        <v>675.0</v>
      </c>
      <c r="AE2" s="27">
        <v>32.0</v>
      </c>
      <c r="AF2" s="24">
        <v>1.0</v>
      </c>
      <c r="AG2" s="24">
        <v>28.5</v>
      </c>
      <c r="AH2" s="28">
        <f t="shared" ref="AH2:AH13" si="1">AG2*AB2*1.05*30/AF2</f>
        <v>537752.25</v>
      </c>
      <c r="AI2" s="141"/>
    </row>
    <row r="3">
      <c r="A3" s="24" t="s">
        <v>1691</v>
      </c>
      <c r="B3" s="27">
        <v>2.0</v>
      </c>
      <c r="C3" s="24" t="s">
        <v>369</v>
      </c>
      <c r="D3" s="27">
        <v>1270.0</v>
      </c>
      <c r="E3" s="27">
        <v>22.0</v>
      </c>
      <c r="F3" s="24" t="s">
        <v>370</v>
      </c>
      <c r="G3" s="24" t="s">
        <v>371</v>
      </c>
      <c r="H3" s="27">
        <v>599.8</v>
      </c>
      <c r="I3" s="27">
        <v>360.0</v>
      </c>
      <c r="J3" s="27">
        <v>690.2</v>
      </c>
      <c r="K3" s="26" t="s">
        <v>368</v>
      </c>
      <c r="L3" s="27">
        <v>855.0</v>
      </c>
      <c r="Q3" s="141"/>
      <c r="S3" s="24" t="s">
        <v>1691</v>
      </c>
      <c r="T3" s="27">
        <v>2.0</v>
      </c>
      <c r="U3" s="24" t="s">
        <v>369</v>
      </c>
      <c r="V3" s="27">
        <v>1270.0</v>
      </c>
      <c r="W3" s="27">
        <v>22.0</v>
      </c>
      <c r="X3" s="24" t="s">
        <v>370</v>
      </c>
      <c r="Y3" s="24" t="s">
        <v>371</v>
      </c>
      <c r="Z3" s="27">
        <v>599.8</v>
      </c>
      <c r="AA3" s="27">
        <v>360.0</v>
      </c>
      <c r="AB3" s="27">
        <v>690.2</v>
      </c>
      <c r="AC3" s="24" t="s">
        <v>368</v>
      </c>
      <c r="AD3" s="27">
        <v>855.0</v>
      </c>
      <c r="AE3" s="27">
        <v>22.0</v>
      </c>
      <c r="AF3" s="24">
        <v>1.0</v>
      </c>
      <c r="AG3" s="24">
        <v>21.5</v>
      </c>
      <c r="AH3" s="28">
        <f t="shared" si="1"/>
        <v>467437.95</v>
      </c>
      <c r="AI3" s="141"/>
    </row>
    <row r="4">
      <c r="A4" s="24" t="s">
        <v>1695</v>
      </c>
      <c r="B4" s="27">
        <v>2.0</v>
      </c>
      <c r="C4" s="24" t="s">
        <v>1696</v>
      </c>
      <c r="D4" s="27">
        <v>1453.0</v>
      </c>
      <c r="E4" s="27">
        <v>24.0</v>
      </c>
      <c r="F4" s="24" t="s">
        <v>1697</v>
      </c>
      <c r="G4" s="24" t="s">
        <v>374</v>
      </c>
      <c r="H4" s="27">
        <v>564.0</v>
      </c>
      <c r="I4" s="27">
        <v>294.0</v>
      </c>
      <c r="J4" s="27">
        <v>588.0</v>
      </c>
      <c r="K4" s="26" t="s">
        <v>368</v>
      </c>
      <c r="L4" s="27">
        <v>945.0</v>
      </c>
      <c r="Q4" s="141"/>
      <c r="S4" s="24" t="s">
        <v>1695</v>
      </c>
      <c r="T4" s="27">
        <v>2.0</v>
      </c>
      <c r="U4" s="24" t="s">
        <v>1696</v>
      </c>
      <c r="V4" s="27">
        <v>1453.0</v>
      </c>
      <c r="W4" s="27">
        <v>24.0</v>
      </c>
      <c r="X4" s="24" t="s">
        <v>1697</v>
      </c>
      <c r="Y4" s="24" t="s">
        <v>374</v>
      </c>
      <c r="Z4" s="27">
        <v>564.0</v>
      </c>
      <c r="AA4" s="27">
        <v>294.0</v>
      </c>
      <c r="AB4" s="27">
        <v>588.0</v>
      </c>
      <c r="AC4" s="24" t="s">
        <v>368</v>
      </c>
      <c r="AD4" s="27">
        <v>945.0</v>
      </c>
      <c r="AE4" s="27">
        <v>24.0</v>
      </c>
      <c r="AF4" s="24">
        <v>1.0</v>
      </c>
      <c r="AG4" s="24">
        <v>23.0</v>
      </c>
      <c r="AH4" s="28">
        <f t="shared" si="1"/>
        <v>426006</v>
      </c>
      <c r="AI4" s="141"/>
    </row>
    <row r="5">
      <c r="A5" s="24" t="s">
        <v>1691</v>
      </c>
      <c r="B5" s="27">
        <v>3.0</v>
      </c>
      <c r="C5" s="24" t="s">
        <v>1698</v>
      </c>
      <c r="D5" s="27">
        <v>951.0</v>
      </c>
      <c r="E5" s="27">
        <v>20.0</v>
      </c>
      <c r="F5" s="24" t="s">
        <v>1699</v>
      </c>
      <c r="G5" s="24" t="s">
        <v>1700</v>
      </c>
      <c r="H5" s="27">
        <v>542.0</v>
      </c>
      <c r="I5" s="27">
        <v>228.0</v>
      </c>
      <c r="J5" s="27">
        <v>504.0</v>
      </c>
      <c r="K5" s="26" t="s">
        <v>368</v>
      </c>
      <c r="L5" s="27">
        <v>720.0</v>
      </c>
      <c r="Q5" s="141"/>
      <c r="S5" s="24" t="s">
        <v>1691</v>
      </c>
      <c r="T5" s="27">
        <v>3.0</v>
      </c>
      <c r="U5" s="24" t="s">
        <v>1698</v>
      </c>
      <c r="V5" s="27">
        <v>951.0</v>
      </c>
      <c r="W5" s="27">
        <v>20.0</v>
      </c>
      <c r="X5" s="24" t="s">
        <v>1699</v>
      </c>
      <c r="Y5" s="24" t="s">
        <v>1700</v>
      </c>
      <c r="Z5" s="27">
        <v>542.0</v>
      </c>
      <c r="AA5" s="27">
        <v>228.0</v>
      </c>
      <c r="AB5" s="27">
        <v>504.0</v>
      </c>
      <c r="AC5" s="24" t="s">
        <v>368</v>
      </c>
      <c r="AD5" s="27">
        <v>720.0</v>
      </c>
      <c r="AE5" s="27">
        <v>20.0</v>
      </c>
      <c r="AF5" s="24">
        <v>1.0</v>
      </c>
      <c r="AG5" s="24">
        <v>21.0</v>
      </c>
      <c r="AH5" s="28">
        <f t="shared" si="1"/>
        <v>333396</v>
      </c>
      <c r="AI5" s="141"/>
    </row>
    <row r="6">
      <c r="A6" s="24" t="s">
        <v>1691</v>
      </c>
      <c r="B6" s="27">
        <v>2.0</v>
      </c>
      <c r="C6" s="24" t="s">
        <v>375</v>
      </c>
      <c r="D6" s="27">
        <v>696.0</v>
      </c>
      <c r="E6" s="27">
        <v>17.0</v>
      </c>
      <c r="F6" s="24" t="s">
        <v>1701</v>
      </c>
      <c r="G6" s="24" t="s">
        <v>1702</v>
      </c>
      <c r="H6" s="27">
        <v>430.6</v>
      </c>
      <c r="I6" s="27">
        <v>249.0</v>
      </c>
      <c r="J6" s="27">
        <v>533.4</v>
      </c>
      <c r="K6" s="26" t="s">
        <v>368</v>
      </c>
      <c r="L6" s="27">
        <v>990.0</v>
      </c>
      <c r="Q6" s="141"/>
      <c r="S6" s="24" t="s">
        <v>1691</v>
      </c>
      <c r="T6" s="27">
        <v>2.0</v>
      </c>
      <c r="U6" s="24" t="s">
        <v>375</v>
      </c>
      <c r="V6" s="27">
        <v>696.0</v>
      </c>
      <c r="W6" s="27">
        <v>17.0</v>
      </c>
      <c r="X6" s="24" t="s">
        <v>1701</v>
      </c>
      <c r="Y6" s="24" t="s">
        <v>1702</v>
      </c>
      <c r="Z6" s="27">
        <v>430.6</v>
      </c>
      <c r="AA6" s="27">
        <v>249.0</v>
      </c>
      <c r="AB6" s="27">
        <v>533.4</v>
      </c>
      <c r="AC6" s="24" t="s">
        <v>368</v>
      </c>
      <c r="AD6" s="27">
        <v>990.0</v>
      </c>
      <c r="AE6" s="27">
        <v>17.0</v>
      </c>
      <c r="AF6" s="24">
        <v>1.0</v>
      </c>
      <c r="AG6" s="24">
        <v>19.0</v>
      </c>
      <c r="AH6" s="28">
        <f t="shared" si="1"/>
        <v>319239.9</v>
      </c>
      <c r="AI6" s="141"/>
    </row>
    <row r="7">
      <c r="A7" s="24" t="s">
        <v>1691</v>
      </c>
      <c r="B7" s="27">
        <v>3.0</v>
      </c>
      <c r="C7" s="24" t="s">
        <v>1703</v>
      </c>
      <c r="D7" s="27">
        <v>2259.0</v>
      </c>
      <c r="E7" s="27">
        <v>32.0</v>
      </c>
      <c r="F7" s="24" t="s">
        <v>1704</v>
      </c>
      <c r="G7" s="24" t="s">
        <v>1705</v>
      </c>
      <c r="H7" s="27">
        <v>390.3</v>
      </c>
      <c r="I7" s="27">
        <v>184.0</v>
      </c>
      <c r="J7" s="27">
        <v>432.3</v>
      </c>
      <c r="K7" s="26" t="s">
        <v>368</v>
      </c>
      <c r="L7" s="27">
        <v>780.0</v>
      </c>
      <c r="Q7" s="141"/>
      <c r="S7" s="24" t="s">
        <v>1691</v>
      </c>
      <c r="T7" s="27">
        <v>3.0</v>
      </c>
      <c r="U7" s="24" t="s">
        <v>1703</v>
      </c>
      <c r="V7" s="27">
        <v>2259.0</v>
      </c>
      <c r="W7" s="27">
        <v>32.0</v>
      </c>
      <c r="X7" s="24" t="s">
        <v>1704</v>
      </c>
      <c r="Y7" s="24" t="s">
        <v>1705</v>
      </c>
      <c r="Z7" s="27">
        <v>390.3</v>
      </c>
      <c r="AA7" s="27">
        <v>184.0</v>
      </c>
      <c r="AB7" s="27">
        <v>432.3</v>
      </c>
      <c r="AC7" s="24" t="s">
        <v>368</v>
      </c>
      <c r="AD7" s="27">
        <v>780.0</v>
      </c>
      <c r="AE7" s="27">
        <v>32.0</v>
      </c>
      <c r="AF7" s="24">
        <v>1.0</v>
      </c>
      <c r="AG7" s="24">
        <v>28.5</v>
      </c>
      <c r="AH7" s="28">
        <f t="shared" si="1"/>
        <v>388097.325</v>
      </c>
      <c r="AI7" s="141"/>
    </row>
    <row r="8">
      <c r="A8" s="24" t="s">
        <v>1691</v>
      </c>
      <c r="B8" s="27">
        <v>2.0</v>
      </c>
      <c r="C8" s="24" t="s">
        <v>1706</v>
      </c>
      <c r="D8" s="27">
        <v>937.0</v>
      </c>
      <c r="E8" s="27">
        <v>20.0</v>
      </c>
      <c r="F8" s="24" t="s">
        <v>1707</v>
      </c>
      <c r="G8" s="24" t="s">
        <v>1708</v>
      </c>
      <c r="H8" s="27">
        <v>294.0</v>
      </c>
      <c r="I8" s="27">
        <v>372.0</v>
      </c>
      <c r="J8" s="27">
        <v>794.0</v>
      </c>
      <c r="K8" s="26" t="s">
        <v>368</v>
      </c>
      <c r="L8" s="27">
        <v>825.0</v>
      </c>
      <c r="Q8" s="141"/>
      <c r="S8" s="24" t="s">
        <v>1691</v>
      </c>
      <c r="T8" s="27">
        <v>2.0</v>
      </c>
      <c r="U8" s="24" t="s">
        <v>1706</v>
      </c>
      <c r="V8" s="27">
        <v>937.0</v>
      </c>
      <c r="W8" s="27">
        <v>20.0</v>
      </c>
      <c r="X8" s="24" t="s">
        <v>1707</v>
      </c>
      <c r="Y8" s="24" t="s">
        <v>1708</v>
      </c>
      <c r="Z8" s="27">
        <v>294.0</v>
      </c>
      <c r="AA8" s="27">
        <v>372.0</v>
      </c>
      <c r="AB8" s="27">
        <v>794.0</v>
      </c>
      <c r="AC8" s="24" t="s">
        <v>368</v>
      </c>
      <c r="AD8" s="27">
        <v>825.0</v>
      </c>
      <c r="AE8" s="27">
        <v>20.0</v>
      </c>
      <c r="AF8" s="24">
        <v>1.0</v>
      </c>
      <c r="AG8" s="24">
        <v>21.0</v>
      </c>
      <c r="AH8" s="28">
        <f t="shared" si="1"/>
        <v>525231</v>
      </c>
      <c r="AI8" s="141"/>
    </row>
    <row r="9">
      <c r="A9" s="24" t="s">
        <v>1691</v>
      </c>
      <c r="B9" s="27">
        <v>3.0</v>
      </c>
      <c r="C9" s="24" t="s">
        <v>1709</v>
      </c>
      <c r="D9" s="27">
        <v>2184.0</v>
      </c>
      <c r="E9" s="27">
        <v>32.0</v>
      </c>
      <c r="F9" s="24" t="s">
        <v>1710</v>
      </c>
      <c r="G9" s="24" t="s">
        <v>1711</v>
      </c>
      <c r="H9" s="27">
        <v>247.7</v>
      </c>
      <c r="I9" s="27">
        <v>148.0</v>
      </c>
      <c r="J9" s="27">
        <v>487.3</v>
      </c>
      <c r="K9" s="26" t="s">
        <v>368</v>
      </c>
      <c r="L9" s="27">
        <v>690.0</v>
      </c>
      <c r="Q9" s="141"/>
      <c r="S9" s="24" t="s">
        <v>1691</v>
      </c>
      <c r="T9" s="27">
        <v>3.0</v>
      </c>
      <c r="U9" s="24" t="s">
        <v>1709</v>
      </c>
      <c r="V9" s="27">
        <v>2184.0</v>
      </c>
      <c r="W9" s="27">
        <v>32.0</v>
      </c>
      <c r="X9" s="24" t="s">
        <v>1710</v>
      </c>
      <c r="Y9" s="24" t="s">
        <v>1711</v>
      </c>
      <c r="Z9" s="27">
        <v>247.7</v>
      </c>
      <c r="AA9" s="27">
        <v>148.0</v>
      </c>
      <c r="AB9" s="27">
        <v>487.3</v>
      </c>
      <c r="AC9" s="24" t="s">
        <v>368</v>
      </c>
      <c r="AD9" s="27">
        <v>690.0</v>
      </c>
      <c r="AE9" s="27">
        <v>32.0</v>
      </c>
      <c r="AF9" s="24">
        <v>1.0</v>
      </c>
      <c r="AG9" s="24">
        <v>28.5</v>
      </c>
      <c r="AH9" s="28">
        <f t="shared" si="1"/>
        <v>437473.575</v>
      </c>
      <c r="AI9" s="141"/>
    </row>
    <row r="10">
      <c r="A10" s="24" t="s">
        <v>1712</v>
      </c>
      <c r="B10" s="27">
        <v>1.0</v>
      </c>
      <c r="C10" s="24" t="s">
        <v>1713</v>
      </c>
      <c r="D10" s="27">
        <v>600.0</v>
      </c>
      <c r="E10" s="27">
        <v>14.0</v>
      </c>
      <c r="F10" s="24" t="s">
        <v>1714</v>
      </c>
      <c r="G10" s="24">
        <v>1980.0</v>
      </c>
      <c r="H10" s="27">
        <v>0.0</v>
      </c>
      <c r="I10" s="27">
        <v>353.0</v>
      </c>
      <c r="J10" s="27">
        <v>706.0</v>
      </c>
      <c r="K10" s="26" t="s">
        <v>368</v>
      </c>
      <c r="L10" s="27">
        <v>1185.0</v>
      </c>
      <c r="Q10" s="141"/>
      <c r="S10" s="24" t="s">
        <v>1691</v>
      </c>
      <c r="T10" s="27">
        <v>1.0</v>
      </c>
      <c r="U10" s="24" t="s">
        <v>1715</v>
      </c>
      <c r="V10" s="27">
        <v>772.0</v>
      </c>
      <c r="W10" s="27">
        <v>17.0</v>
      </c>
      <c r="X10" s="24" t="s">
        <v>1716</v>
      </c>
      <c r="Y10" s="24">
        <v>1980.0</v>
      </c>
      <c r="Z10" s="27">
        <v>0.0</v>
      </c>
      <c r="AA10" s="27">
        <v>61.4</v>
      </c>
      <c r="AB10" s="27">
        <v>122.8</v>
      </c>
      <c r="AC10" s="24" t="s">
        <v>368</v>
      </c>
      <c r="AD10" s="27">
        <v>1605.0</v>
      </c>
      <c r="AE10" s="27">
        <v>17.0</v>
      </c>
      <c r="AF10" s="24">
        <v>1.0</v>
      </c>
      <c r="AG10" s="24">
        <v>19.0</v>
      </c>
      <c r="AH10" s="28">
        <f t="shared" si="1"/>
        <v>73495.8</v>
      </c>
      <c r="AI10" s="141"/>
    </row>
    <row r="11">
      <c r="A11" s="24" t="s">
        <v>1691</v>
      </c>
      <c r="B11" s="27">
        <v>1.0</v>
      </c>
      <c r="C11" s="24" t="s">
        <v>386</v>
      </c>
      <c r="D11" s="27">
        <v>1158.0</v>
      </c>
      <c r="E11" s="27">
        <v>20.0</v>
      </c>
      <c r="F11" s="24" t="s">
        <v>387</v>
      </c>
      <c r="G11" s="24">
        <v>1980.0</v>
      </c>
      <c r="H11" s="27">
        <v>0.0</v>
      </c>
      <c r="I11" s="27">
        <v>212.0</v>
      </c>
      <c r="J11" s="27">
        <v>424.0</v>
      </c>
      <c r="K11" s="26" t="s">
        <v>368</v>
      </c>
      <c r="L11" s="27">
        <v>1425.0</v>
      </c>
      <c r="Q11" s="141"/>
      <c r="S11" s="24" t="s">
        <v>1691</v>
      </c>
      <c r="T11" s="27">
        <v>1.0</v>
      </c>
      <c r="U11" s="24" t="s">
        <v>1717</v>
      </c>
      <c r="V11" s="27">
        <v>909.0</v>
      </c>
      <c r="W11" s="27">
        <v>20.0</v>
      </c>
      <c r="X11" s="24" t="s">
        <v>1718</v>
      </c>
      <c r="Y11" s="24">
        <v>1980.0</v>
      </c>
      <c r="Z11" s="27">
        <v>0.0</v>
      </c>
      <c r="AA11" s="27">
        <v>242.0</v>
      </c>
      <c r="AB11" s="27">
        <v>484.0</v>
      </c>
      <c r="AC11" s="24" t="s">
        <v>368</v>
      </c>
      <c r="AD11" s="27">
        <v>1395.0</v>
      </c>
      <c r="AE11" s="24">
        <v>32.0</v>
      </c>
      <c r="AF11" s="24">
        <v>1.0</v>
      </c>
      <c r="AG11" s="24">
        <v>28.5</v>
      </c>
      <c r="AH11" s="28">
        <f t="shared" si="1"/>
        <v>434511</v>
      </c>
      <c r="AI11" s="141"/>
    </row>
    <row r="12">
      <c r="A12" s="24" t="s">
        <v>1691</v>
      </c>
      <c r="B12" s="27">
        <v>1.0</v>
      </c>
      <c r="C12" s="24" t="s">
        <v>392</v>
      </c>
      <c r="D12" s="27">
        <v>1233.0</v>
      </c>
      <c r="E12" s="27">
        <v>22.0</v>
      </c>
      <c r="F12" s="24" t="s">
        <v>393</v>
      </c>
      <c r="G12" s="24">
        <v>1980.0</v>
      </c>
      <c r="H12" s="27">
        <v>0.0</v>
      </c>
      <c r="I12" s="27">
        <v>264.0</v>
      </c>
      <c r="J12" s="27">
        <v>528.0</v>
      </c>
      <c r="K12" s="26" t="s">
        <v>368</v>
      </c>
      <c r="L12" s="27">
        <v>1350.0</v>
      </c>
      <c r="Q12" s="141"/>
      <c r="S12" s="24" t="s">
        <v>1691</v>
      </c>
      <c r="T12" s="27">
        <v>1.0</v>
      </c>
      <c r="U12" s="24" t="s">
        <v>388</v>
      </c>
      <c r="V12" s="27">
        <v>1607.0</v>
      </c>
      <c r="W12" s="27">
        <v>24.0</v>
      </c>
      <c r="X12" s="24" t="s">
        <v>389</v>
      </c>
      <c r="Y12" s="24">
        <v>1980.0</v>
      </c>
      <c r="Z12" s="27">
        <v>0.0</v>
      </c>
      <c r="AA12" s="27">
        <v>220.0</v>
      </c>
      <c r="AB12" s="27">
        <v>440.0</v>
      </c>
      <c r="AC12" s="24" t="s">
        <v>368</v>
      </c>
      <c r="AD12" s="27">
        <v>1365.0</v>
      </c>
      <c r="AE12" s="27">
        <v>24.0</v>
      </c>
      <c r="AF12" s="24">
        <v>1.0</v>
      </c>
      <c r="AG12" s="24">
        <v>23.0</v>
      </c>
      <c r="AH12" s="28">
        <f t="shared" si="1"/>
        <v>318780</v>
      </c>
    </row>
    <row r="13">
      <c r="A13" s="24" t="s">
        <v>1691</v>
      </c>
      <c r="B13" s="27">
        <v>1.0</v>
      </c>
      <c r="C13" s="24" t="s">
        <v>1715</v>
      </c>
      <c r="D13" s="27">
        <v>772.0</v>
      </c>
      <c r="E13" s="27">
        <v>17.0</v>
      </c>
      <c r="F13" s="24" t="s">
        <v>1716</v>
      </c>
      <c r="G13" s="24">
        <v>1980.0</v>
      </c>
      <c r="H13" s="27">
        <v>0.0</v>
      </c>
      <c r="I13" s="27">
        <v>61.4</v>
      </c>
      <c r="J13" s="27">
        <v>122.8</v>
      </c>
      <c r="K13" s="24" t="s">
        <v>368</v>
      </c>
      <c r="L13" s="27">
        <v>1605.0</v>
      </c>
      <c r="S13" s="24" t="s">
        <v>1691</v>
      </c>
      <c r="T13" s="27">
        <v>1.0</v>
      </c>
      <c r="U13" s="24" t="s">
        <v>386</v>
      </c>
      <c r="V13" s="27">
        <v>1158.0</v>
      </c>
      <c r="W13" s="27">
        <v>20.0</v>
      </c>
      <c r="X13" s="24" t="s">
        <v>387</v>
      </c>
      <c r="Y13" s="24">
        <v>1980.0</v>
      </c>
      <c r="Z13" s="27">
        <v>0.0</v>
      </c>
      <c r="AA13" s="27">
        <v>212.0</v>
      </c>
      <c r="AB13" s="27">
        <v>424.0</v>
      </c>
      <c r="AC13" s="24" t="s">
        <v>368</v>
      </c>
      <c r="AD13" s="27">
        <v>1425.0</v>
      </c>
      <c r="AE13" s="27">
        <v>20.0</v>
      </c>
      <c r="AF13" s="24">
        <v>1.0</v>
      </c>
      <c r="AG13" s="24">
        <v>21.0</v>
      </c>
      <c r="AH13" s="28">
        <f t="shared" si="1"/>
        <v>280476</v>
      </c>
      <c r="AI13" s="142"/>
    </row>
    <row r="14">
      <c r="A14" s="24" t="s">
        <v>1691</v>
      </c>
      <c r="B14" s="27">
        <v>1.0</v>
      </c>
      <c r="C14" s="24" t="s">
        <v>1717</v>
      </c>
      <c r="D14" s="27">
        <v>909.0</v>
      </c>
      <c r="E14" s="27">
        <v>20.0</v>
      </c>
      <c r="F14" s="24" t="s">
        <v>1718</v>
      </c>
      <c r="G14" s="24">
        <v>1980.0</v>
      </c>
      <c r="H14" s="27">
        <v>0.0</v>
      </c>
      <c r="I14" s="27">
        <v>242.0</v>
      </c>
      <c r="J14" s="27">
        <v>484.0</v>
      </c>
      <c r="K14" s="24" t="s">
        <v>368</v>
      </c>
      <c r="L14" s="27">
        <v>1395.0</v>
      </c>
      <c r="S14" s="24" t="s">
        <v>1719</v>
      </c>
      <c r="T14" s="27">
        <v>1.0</v>
      </c>
      <c r="U14" s="24" t="s">
        <v>1713</v>
      </c>
      <c r="V14" s="27">
        <v>600.0</v>
      </c>
      <c r="W14" s="27">
        <v>14.0</v>
      </c>
      <c r="X14" s="24" t="s">
        <v>1714</v>
      </c>
      <c r="Y14" s="24">
        <v>1980.0</v>
      </c>
      <c r="Z14" s="27">
        <v>0.0</v>
      </c>
      <c r="AA14" s="27">
        <v>353.0</v>
      </c>
      <c r="AB14" s="27">
        <v>706.0</v>
      </c>
      <c r="AC14" s="24" t="s">
        <v>368</v>
      </c>
      <c r="AD14" s="27">
        <v>1185.0</v>
      </c>
      <c r="AE14" s="24">
        <v>22.0</v>
      </c>
      <c r="AF14" s="24">
        <v>1.0</v>
      </c>
      <c r="AG14" s="24">
        <v>21.5</v>
      </c>
      <c r="AH14" s="28">
        <f>AG14*AB14*1.05*30*0.5/AF14</f>
        <v>239069.25</v>
      </c>
      <c r="AI14" s="24" t="s">
        <v>1720</v>
      </c>
    </row>
    <row r="15">
      <c r="A15" s="24" t="s">
        <v>1691</v>
      </c>
      <c r="B15" s="27">
        <v>1.0</v>
      </c>
      <c r="C15" s="24" t="s">
        <v>1721</v>
      </c>
      <c r="D15" s="27">
        <v>901.0</v>
      </c>
      <c r="E15" s="27">
        <v>20.0</v>
      </c>
      <c r="F15" s="24" t="s">
        <v>1716</v>
      </c>
      <c r="G15" s="24">
        <v>1980.0</v>
      </c>
      <c r="H15" s="27">
        <v>0.0</v>
      </c>
      <c r="I15" s="27">
        <v>85.3</v>
      </c>
      <c r="J15" s="27">
        <v>170.6</v>
      </c>
      <c r="K15" s="24" t="s">
        <v>368</v>
      </c>
      <c r="L15" s="27">
        <v>1605.0</v>
      </c>
      <c r="S15" s="24" t="s">
        <v>1691</v>
      </c>
      <c r="T15" s="27">
        <v>1.0</v>
      </c>
      <c r="U15" s="24" t="s">
        <v>392</v>
      </c>
      <c r="V15" s="27">
        <v>1233.0</v>
      </c>
      <c r="W15" s="27">
        <v>22.0</v>
      </c>
      <c r="X15" s="24" t="s">
        <v>393</v>
      </c>
      <c r="Y15" s="24">
        <v>1980.0</v>
      </c>
      <c r="Z15" s="27">
        <v>0.0</v>
      </c>
      <c r="AA15" s="27">
        <v>264.0</v>
      </c>
      <c r="AB15" s="27">
        <v>528.0</v>
      </c>
      <c r="AC15" s="24" t="s">
        <v>368</v>
      </c>
      <c r="AD15" s="27">
        <v>1350.0</v>
      </c>
      <c r="AE15" s="27">
        <v>22.0</v>
      </c>
      <c r="AF15" s="24">
        <v>1.0</v>
      </c>
      <c r="AG15" s="24">
        <v>21.5</v>
      </c>
      <c r="AH15" s="28">
        <f>AG15*AB15*1.05*30/AF15</f>
        <v>357588</v>
      </c>
    </row>
    <row r="16">
      <c r="AH16" s="141">
        <f>sum(AH2:AH15)</f>
        <v>5138554.05</v>
      </c>
    </row>
    <row r="18">
      <c r="A18" s="24" t="s">
        <v>358</v>
      </c>
      <c r="B18" s="24" t="s">
        <v>359</v>
      </c>
      <c r="C18" s="24" t="s">
        <v>170</v>
      </c>
      <c r="D18" s="24" t="s">
        <v>175</v>
      </c>
      <c r="E18" s="24" t="s">
        <v>176</v>
      </c>
      <c r="F18" s="24" t="s">
        <v>177</v>
      </c>
      <c r="G18" s="24" t="s">
        <v>178</v>
      </c>
      <c r="H18" s="24" t="s">
        <v>360</v>
      </c>
      <c r="I18" s="24" t="s">
        <v>361</v>
      </c>
      <c r="J18" s="24" t="s">
        <v>362</v>
      </c>
      <c r="K18" s="24" t="s">
        <v>363</v>
      </c>
      <c r="L18" s="24" t="s">
        <v>179</v>
      </c>
      <c r="M18" s="2" t="s">
        <v>1687</v>
      </c>
      <c r="N18" s="2" t="s">
        <v>1688</v>
      </c>
      <c r="O18" s="2" t="s">
        <v>1689</v>
      </c>
      <c r="P18" s="2" t="s">
        <v>1690</v>
      </c>
    </row>
    <row r="19">
      <c r="A19" s="24" t="s">
        <v>1691</v>
      </c>
      <c r="B19" s="27">
        <v>3.0</v>
      </c>
      <c r="C19" s="24" t="s">
        <v>1692</v>
      </c>
      <c r="D19" s="27">
        <v>2137.0</v>
      </c>
      <c r="E19" s="27">
        <v>32.0</v>
      </c>
      <c r="F19" s="24" t="s">
        <v>1693</v>
      </c>
      <c r="G19" s="24" t="s">
        <v>1694</v>
      </c>
      <c r="H19" s="27">
        <v>713.0</v>
      </c>
      <c r="I19" s="27">
        <v>262.0</v>
      </c>
      <c r="J19" s="27">
        <v>599.0</v>
      </c>
      <c r="K19" s="26" t="s">
        <v>368</v>
      </c>
      <c r="L19" s="27">
        <v>675.0</v>
      </c>
      <c r="M19" s="27">
        <v>32.0</v>
      </c>
      <c r="N19" s="24">
        <v>1.0</v>
      </c>
      <c r="O19" s="24">
        <v>28.5</v>
      </c>
      <c r="P19" s="28">
        <f t="shared" ref="P19:P31" si="2">O19*1.05*J19*30/N19</f>
        <v>537752.25</v>
      </c>
    </row>
    <row r="20">
      <c r="A20" s="24" t="s">
        <v>1691</v>
      </c>
      <c r="B20" s="27">
        <v>2.0</v>
      </c>
      <c r="C20" s="24" t="s">
        <v>369</v>
      </c>
      <c r="D20" s="27">
        <v>1270.0</v>
      </c>
      <c r="E20" s="27">
        <v>22.0</v>
      </c>
      <c r="F20" s="24" t="s">
        <v>370</v>
      </c>
      <c r="G20" s="24" t="s">
        <v>371</v>
      </c>
      <c r="H20" s="27">
        <v>599.8</v>
      </c>
      <c r="I20" s="27">
        <v>360.0</v>
      </c>
      <c r="J20" s="27">
        <v>690.2</v>
      </c>
      <c r="K20" s="26" t="s">
        <v>368</v>
      </c>
      <c r="L20" s="27">
        <v>855.0</v>
      </c>
      <c r="M20" s="27">
        <v>22.0</v>
      </c>
      <c r="N20" s="24">
        <v>1.0</v>
      </c>
      <c r="O20" s="24">
        <v>23.5</v>
      </c>
      <c r="P20" s="28">
        <f t="shared" si="2"/>
        <v>510920.55</v>
      </c>
    </row>
    <row r="21">
      <c r="A21" s="24" t="s">
        <v>1695</v>
      </c>
      <c r="B21" s="27">
        <v>2.0</v>
      </c>
      <c r="C21" s="24" t="s">
        <v>1696</v>
      </c>
      <c r="D21" s="27">
        <v>1453.0</v>
      </c>
      <c r="E21" s="27">
        <v>24.0</v>
      </c>
      <c r="F21" s="24" t="s">
        <v>1697</v>
      </c>
      <c r="G21" s="24" t="s">
        <v>374</v>
      </c>
      <c r="H21" s="27">
        <v>564.0</v>
      </c>
      <c r="I21" s="27">
        <v>294.0</v>
      </c>
      <c r="J21" s="27">
        <v>588.0</v>
      </c>
      <c r="K21" s="26" t="s">
        <v>368</v>
      </c>
      <c r="L21" s="27">
        <v>945.0</v>
      </c>
      <c r="M21" s="27">
        <v>24.0</v>
      </c>
      <c r="N21" s="24">
        <v>1.0</v>
      </c>
      <c r="O21" s="24">
        <v>23.5</v>
      </c>
      <c r="P21" s="28">
        <f t="shared" si="2"/>
        <v>435267</v>
      </c>
    </row>
    <row r="22">
      <c r="A22" s="24" t="s">
        <v>1691</v>
      </c>
      <c r="B22" s="27">
        <v>3.0</v>
      </c>
      <c r="C22" s="24" t="s">
        <v>1698</v>
      </c>
      <c r="D22" s="27">
        <v>951.0</v>
      </c>
      <c r="E22" s="27">
        <v>20.0</v>
      </c>
      <c r="F22" s="24" t="s">
        <v>1699</v>
      </c>
      <c r="G22" s="24" t="s">
        <v>1700</v>
      </c>
      <c r="H22" s="27">
        <v>542.0</v>
      </c>
      <c r="I22" s="27">
        <v>228.0</v>
      </c>
      <c r="J22" s="27">
        <v>504.0</v>
      </c>
      <c r="K22" s="26" t="s">
        <v>368</v>
      </c>
      <c r="L22" s="27">
        <v>720.0</v>
      </c>
      <c r="M22" s="27">
        <v>20.0</v>
      </c>
      <c r="N22" s="24">
        <v>1.0</v>
      </c>
      <c r="O22" s="24">
        <v>22.0</v>
      </c>
      <c r="P22" s="28">
        <f t="shared" si="2"/>
        <v>349272</v>
      </c>
    </row>
    <row r="23">
      <c r="A23" s="24" t="s">
        <v>1691</v>
      </c>
      <c r="B23" s="27">
        <v>2.0</v>
      </c>
      <c r="C23" s="24" t="s">
        <v>375</v>
      </c>
      <c r="D23" s="27">
        <v>696.0</v>
      </c>
      <c r="E23" s="27">
        <v>17.0</v>
      </c>
      <c r="F23" s="24" t="s">
        <v>1701</v>
      </c>
      <c r="G23" s="24" t="s">
        <v>1702</v>
      </c>
      <c r="H23" s="27">
        <v>430.6</v>
      </c>
      <c r="I23" s="27">
        <v>249.0</v>
      </c>
      <c r="J23" s="27">
        <v>533.4</v>
      </c>
      <c r="K23" s="26" t="s">
        <v>368</v>
      </c>
      <c r="L23" s="27">
        <v>990.0</v>
      </c>
      <c r="M23" s="24">
        <v>24.0</v>
      </c>
      <c r="N23" s="24">
        <v>2.0</v>
      </c>
      <c r="O23" s="24">
        <v>23.5</v>
      </c>
      <c r="P23" s="28">
        <f t="shared" si="2"/>
        <v>197424.675</v>
      </c>
    </row>
    <row r="24">
      <c r="A24" s="24" t="s">
        <v>1691</v>
      </c>
      <c r="B24" s="27">
        <v>3.0</v>
      </c>
      <c r="C24" s="24" t="s">
        <v>1703</v>
      </c>
      <c r="D24" s="27">
        <v>2259.0</v>
      </c>
      <c r="E24" s="27">
        <v>32.0</v>
      </c>
      <c r="F24" s="24" t="s">
        <v>1704</v>
      </c>
      <c r="G24" s="24" t="s">
        <v>1705</v>
      </c>
      <c r="H24" s="27">
        <v>390.3</v>
      </c>
      <c r="I24" s="27">
        <v>184.0</v>
      </c>
      <c r="J24" s="27">
        <v>432.3</v>
      </c>
      <c r="K24" s="26" t="s">
        <v>368</v>
      </c>
      <c r="L24" s="27">
        <v>780.0</v>
      </c>
      <c r="M24" s="27">
        <v>32.0</v>
      </c>
      <c r="N24" s="24">
        <v>1.0</v>
      </c>
      <c r="O24" s="24">
        <v>28.5</v>
      </c>
      <c r="P24" s="28">
        <f t="shared" si="2"/>
        <v>388097.325</v>
      </c>
    </row>
    <row r="25">
      <c r="A25" s="24" t="s">
        <v>1691</v>
      </c>
      <c r="B25" s="27">
        <v>2.0</v>
      </c>
      <c r="C25" s="24" t="s">
        <v>1706</v>
      </c>
      <c r="D25" s="27">
        <v>937.0</v>
      </c>
      <c r="E25" s="27">
        <v>20.0</v>
      </c>
      <c r="F25" s="24" t="s">
        <v>1707</v>
      </c>
      <c r="G25" s="24" t="s">
        <v>1708</v>
      </c>
      <c r="H25" s="27">
        <v>294.0</v>
      </c>
      <c r="I25" s="27">
        <v>372.0</v>
      </c>
      <c r="J25" s="27">
        <v>794.0</v>
      </c>
      <c r="K25" s="26" t="s">
        <v>368</v>
      </c>
      <c r="L25" s="27">
        <v>825.0</v>
      </c>
      <c r="M25" s="27">
        <v>20.0</v>
      </c>
      <c r="N25" s="24">
        <v>1.0</v>
      </c>
      <c r="O25" s="24">
        <v>22.0</v>
      </c>
      <c r="P25" s="28">
        <f t="shared" si="2"/>
        <v>550242</v>
      </c>
    </row>
    <row r="26">
      <c r="A26" s="24" t="s">
        <v>1691</v>
      </c>
      <c r="B26" s="27">
        <v>3.0</v>
      </c>
      <c r="C26" s="24" t="s">
        <v>1709</v>
      </c>
      <c r="D26" s="27">
        <v>2184.0</v>
      </c>
      <c r="E26" s="27">
        <v>32.0</v>
      </c>
      <c r="F26" s="24" t="s">
        <v>1710</v>
      </c>
      <c r="G26" s="24" t="s">
        <v>1711</v>
      </c>
      <c r="H26" s="27">
        <v>247.7</v>
      </c>
      <c r="I26" s="27">
        <v>148.0</v>
      </c>
      <c r="J26" s="27">
        <v>487.3</v>
      </c>
      <c r="K26" s="26" t="s">
        <v>368</v>
      </c>
      <c r="L26" s="27">
        <v>690.0</v>
      </c>
      <c r="M26" s="27">
        <v>32.0</v>
      </c>
      <c r="N26" s="24">
        <v>1.0</v>
      </c>
      <c r="O26" s="24">
        <v>28.5</v>
      </c>
      <c r="P26" s="28">
        <f t="shared" si="2"/>
        <v>437473.575</v>
      </c>
    </row>
    <row r="27">
      <c r="A27" s="24" t="s">
        <v>1691</v>
      </c>
      <c r="B27" s="27">
        <v>1.0</v>
      </c>
      <c r="C27" s="24" t="s">
        <v>386</v>
      </c>
      <c r="D27" s="27">
        <v>1158.0</v>
      </c>
      <c r="E27" s="27">
        <v>20.0</v>
      </c>
      <c r="F27" s="24" t="s">
        <v>387</v>
      </c>
      <c r="G27" s="24">
        <v>1980.0</v>
      </c>
      <c r="H27" s="27">
        <v>0.0</v>
      </c>
      <c r="I27" s="27">
        <v>212.0</v>
      </c>
      <c r="J27" s="27">
        <v>424.0</v>
      </c>
      <c r="K27" s="26" t="s">
        <v>368</v>
      </c>
      <c r="L27" s="27">
        <v>1425.0</v>
      </c>
      <c r="M27" s="27">
        <v>20.0</v>
      </c>
      <c r="N27" s="24">
        <v>1.0</v>
      </c>
      <c r="O27" s="24">
        <v>22.0</v>
      </c>
      <c r="P27" s="28">
        <f t="shared" si="2"/>
        <v>293832</v>
      </c>
    </row>
    <row r="28">
      <c r="A28" s="24" t="s">
        <v>1691</v>
      </c>
      <c r="B28" s="27">
        <v>1.0</v>
      </c>
      <c r="C28" s="24" t="s">
        <v>392</v>
      </c>
      <c r="D28" s="27">
        <v>1233.0</v>
      </c>
      <c r="E28" s="27">
        <v>22.0</v>
      </c>
      <c r="F28" s="24" t="s">
        <v>393</v>
      </c>
      <c r="G28" s="24">
        <v>1980.0</v>
      </c>
      <c r="H28" s="27">
        <v>0.0</v>
      </c>
      <c r="I28" s="27">
        <v>264.0</v>
      </c>
      <c r="J28" s="27">
        <v>528.0</v>
      </c>
      <c r="K28" s="26" t="s">
        <v>368</v>
      </c>
      <c r="L28" s="27">
        <v>1350.0</v>
      </c>
      <c r="M28" s="27">
        <v>22.0</v>
      </c>
      <c r="N28" s="24">
        <v>1.0</v>
      </c>
      <c r="O28" s="24">
        <v>23.5</v>
      </c>
      <c r="P28" s="28">
        <f t="shared" si="2"/>
        <v>390852</v>
      </c>
    </row>
    <row r="29">
      <c r="A29" s="24" t="s">
        <v>1691</v>
      </c>
      <c r="B29" s="27">
        <v>1.0</v>
      </c>
      <c r="C29" s="24" t="s">
        <v>1715</v>
      </c>
      <c r="D29" s="27">
        <v>772.0</v>
      </c>
      <c r="E29" s="27">
        <v>17.0</v>
      </c>
      <c r="F29" s="24" t="s">
        <v>1716</v>
      </c>
      <c r="G29" s="24">
        <v>1980.0</v>
      </c>
      <c r="H29" s="27">
        <v>0.0</v>
      </c>
      <c r="I29" s="27">
        <v>61.4</v>
      </c>
      <c r="J29" s="27">
        <v>122.8</v>
      </c>
      <c r="K29" s="24" t="s">
        <v>368</v>
      </c>
      <c r="L29" s="27">
        <v>1605.0</v>
      </c>
      <c r="M29" s="27">
        <v>20.0</v>
      </c>
      <c r="N29" s="24">
        <v>1.0</v>
      </c>
      <c r="O29" s="24">
        <v>22.0</v>
      </c>
      <c r="P29" s="28">
        <f t="shared" si="2"/>
        <v>85100.4</v>
      </c>
    </row>
    <row r="30">
      <c r="A30" s="24" t="s">
        <v>1691</v>
      </c>
      <c r="B30" s="27">
        <v>1.0</v>
      </c>
      <c r="C30" s="24" t="s">
        <v>1717</v>
      </c>
      <c r="D30" s="27">
        <v>909.0</v>
      </c>
      <c r="E30" s="27">
        <v>20.0</v>
      </c>
      <c r="F30" s="24" t="s">
        <v>1718</v>
      </c>
      <c r="G30" s="24">
        <v>1980.0</v>
      </c>
      <c r="H30" s="27">
        <v>0.0</v>
      </c>
      <c r="I30" s="27">
        <v>242.0</v>
      </c>
      <c r="J30" s="27">
        <v>484.0</v>
      </c>
      <c r="K30" s="24" t="s">
        <v>368</v>
      </c>
      <c r="L30" s="27">
        <v>1395.0</v>
      </c>
      <c r="M30" s="27">
        <v>20.0</v>
      </c>
      <c r="N30" s="24">
        <v>1.0</v>
      </c>
      <c r="O30" s="24">
        <v>22.0</v>
      </c>
      <c r="P30" s="28">
        <f t="shared" si="2"/>
        <v>335412</v>
      </c>
    </row>
    <row r="31">
      <c r="A31" s="24" t="s">
        <v>1691</v>
      </c>
      <c r="B31" s="27">
        <v>1.0</v>
      </c>
      <c r="C31" s="24" t="s">
        <v>1721</v>
      </c>
      <c r="D31" s="27">
        <v>901.0</v>
      </c>
      <c r="E31" s="27">
        <v>20.0</v>
      </c>
      <c r="F31" s="24" t="s">
        <v>1716</v>
      </c>
      <c r="G31" s="24">
        <v>1980.0</v>
      </c>
      <c r="H31" s="27">
        <v>0.0</v>
      </c>
      <c r="I31" s="27">
        <v>85.3</v>
      </c>
      <c r="J31" s="27">
        <v>170.6</v>
      </c>
      <c r="K31" s="24" t="s">
        <v>368</v>
      </c>
      <c r="L31" s="27">
        <v>1605.0</v>
      </c>
      <c r="M31" s="24">
        <v>32.0</v>
      </c>
      <c r="N31" s="24">
        <v>2.0</v>
      </c>
      <c r="O31" s="24">
        <v>28.5</v>
      </c>
      <c r="P31" s="28">
        <f t="shared" si="2"/>
        <v>76578.075</v>
      </c>
    </row>
    <row r="32">
      <c r="P32" s="28">
        <f>sum(P19:P31)</f>
        <v>4588223.85</v>
      </c>
    </row>
    <row r="33">
      <c r="A33" s="24" t="s">
        <v>358</v>
      </c>
      <c r="B33" s="24" t="s">
        <v>359</v>
      </c>
      <c r="C33" s="24" t="s">
        <v>170</v>
      </c>
      <c r="D33" s="24" t="s">
        <v>175</v>
      </c>
      <c r="E33" s="24" t="s">
        <v>176</v>
      </c>
      <c r="F33" s="24" t="s">
        <v>177</v>
      </c>
      <c r="G33" s="24" t="s">
        <v>178</v>
      </c>
      <c r="H33" s="24" t="s">
        <v>360</v>
      </c>
      <c r="I33" s="24" t="s">
        <v>361</v>
      </c>
      <c r="J33" s="24" t="s">
        <v>362</v>
      </c>
      <c r="K33" s="24" t="s">
        <v>363</v>
      </c>
      <c r="L33" s="24" t="s">
        <v>179</v>
      </c>
      <c r="M33" s="2" t="s">
        <v>1687</v>
      </c>
      <c r="N33" s="2" t="s">
        <v>1688</v>
      </c>
      <c r="O33" s="2" t="s">
        <v>1689</v>
      </c>
      <c r="P33" s="2" t="s">
        <v>1690</v>
      </c>
    </row>
    <row r="34">
      <c r="A34" s="24" t="s">
        <v>1691</v>
      </c>
      <c r="B34" s="27">
        <v>2.0</v>
      </c>
      <c r="C34" s="24" t="s">
        <v>1706</v>
      </c>
      <c r="D34" s="27">
        <v>937.0</v>
      </c>
      <c r="E34" s="27">
        <v>20.0</v>
      </c>
      <c r="F34" s="24" t="s">
        <v>1707</v>
      </c>
      <c r="G34" s="24" t="s">
        <v>1708</v>
      </c>
      <c r="H34" s="27">
        <v>294.0</v>
      </c>
      <c r="I34" s="27">
        <v>372.0</v>
      </c>
      <c r="J34" s="27">
        <v>794.0</v>
      </c>
      <c r="K34" s="24" t="s">
        <v>368</v>
      </c>
      <c r="L34" s="27">
        <v>825.0</v>
      </c>
      <c r="M34" s="28">
        <f>VLOOKUP(C34,'3_Hop'!U:AE,11,0)</f>
        <v>20</v>
      </c>
      <c r="N34" s="24">
        <v>1.0</v>
      </c>
      <c r="O34" s="28">
        <f>VLOOKUP(M34,'3_Hop'!AE:AG,3,0)</f>
        <v>21</v>
      </c>
      <c r="P34" s="28">
        <f t="shared" ref="P34:P35" si="3">O34*J34*1.05*30/N34</f>
        <v>525231</v>
      </c>
    </row>
    <row r="35">
      <c r="A35" s="24" t="s">
        <v>1691</v>
      </c>
      <c r="B35" s="27">
        <v>2.0</v>
      </c>
      <c r="C35" s="24" t="s">
        <v>369</v>
      </c>
      <c r="D35" s="27">
        <v>1270.0</v>
      </c>
      <c r="E35" s="27">
        <v>22.0</v>
      </c>
      <c r="F35" s="24" t="s">
        <v>370</v>
      </c>
      <c r="G35" s="24" t="s">
        <v>371</v>
      </c>
      <c r="H35" s="27">
        <v>599.8</v>
      </c>
      <c r="I35" s="27">
        <v>360.0</v>
      </c>
      <c r="J35" s="27">
        <v>690.2</v>
      </c>
      <c r="K35" s="24" t="s">
        <v>368</v>
      </c>
      <c r="L35" s="27">
        <v>855.0</v>
      </c>
      <c r="M35" s="28">
        <f>VLOOKUP(C35,'3_Hop'!U:AE,11,0)</f>
        <v>22</v>
      </c>
      <c r="N35" s="24">
        <v>1.0</v>
      </c>
      <c r="O35" s="28">
        <f>VLOOKUP(M35,'3_Hop'!AE:AG,3,0)</f>
        <v>21.5</v>
      </c>
      <c r="P35" s="28">
        <f t="shared" si="3"/>
        <v>467437.95</v>
      </c>
    </row>
    <row r="36">
      <c r="A36" s="24" t="s">
        <v>1719</v>
      </c>
      <c r="B36" s="27">
        <v>1.0</v>
      </c>
      <c r="C36" s="143" t="s">
        <v>1713</v>
      </c>
      <c r="D36" s="27">
        <v>600.0</v>
      </c>
      <c r="E36" s="27">
        <v>14.0</v>
      </c>
      <c r="F36" s="24" t="s">
        <v>1714</v>
      </c>
      <c r="G36" s="24">
        <v>1980.0</v>
      </c>
      <c r="H36" s="27">
        <v>0.0</v>
      </c>
      <c r="I36" s="27">
        <v>353.0</v>
      </c>
      <c r="J36" s="27">
        <v>706.0</v>
      </c>
      <c r="K36" s="24" t="s">
        <v>368</v>
      </c>
      <c r="L36" s="27">
        <v>1185.0</v>
      </c>
      <c r="M36" s="28">
        <f>VLOOKUP(C36,'3_Hop'!U:AE,11,0)</f>
        <v>22</v>
      </c>
      <c r="N36" s="24">
        <v>1.0</v>
      </c>
      <c r="O36" s="28">
        <f>VLOOKUP(M36,'3_Hop'!AE:AG,3,0)</f>
        <v>21.5</v>
      </c>
      <c r="P36" s="28">
        <f>O36*J36*1.05*0.5*30/N36</f>
        <v>239069.25</v>
      </c>
    </row>
    <row r="37">
      <c r="A37" s="24" t="s">
        <v>1695</v>
      </c>
      <c r="B37" s="27">
        <v>2.0</v>
      </c>
      <c r="C37" s="24" t="s">
        <v>372</v>
      </c>
      <c r="D37" s="27">
        <v>1453.0</v>
      </c>
      <c r="E37" s="27">
        <v>24.0</v>
      </c>
      <c r="F37" s="24" t="s">
        <v>373</v>
      </c>
      <c r="G37" s="24" t="s">
        <v>374</v>
      </c>
      <c r="H37" s="27">
        <v>564.0</v>
      </c>
      <c r="I37" s="27">
        <v>294.0</v>
      </c>
      <c r="J37" s="27">
        <v>588.0</v>
      </c>
      <c r="K37" s="24" t="s">
        <v>368</v>
      </c>
      <c r="L37" s="27">
        <v>975.0</v>
      </c>
      <c r="M37" s="24">
        <v>24.0</v>
      </c>
      <c r="N37" s="24">
        <v>1.0</v>
      </c>
      <c r="O37" s="28">
        <f>VLOOKUP(M37,'3_Hop'!AE:AG,3,0)</f>
        <v>23</v>
      </c>
      <c r="P37" s="28">
        <f t="shared" ref="P37:P48" si="4">O37*J37*1.05*30/N37</f>
        <v>426006</v>
      </c>
    </row>
    <row r="38">
      <c r="A38" s="24" t="s">
        <v>1691</v>
      </c>
      <c r="B38" s="27">
        <v>1.0</v>
      </c>
      <c r="C38" s="143" t="s">
        <v>392</v>
      </c>
      <c r="D38" s="27">
        <v>1233.0</v>
      </c>
      <c r="E38" s="27">
        <v>22.0</v>
      </c>
      <c r="F38" s="24" t="s">
        <v>393</v>
      </c>
      <c r="G38" s="24">
        <v>1980.0</v>
      </c>
      <c r="H38" s="27">
        <v>0.0</v>
      </c>
      <c r="I38" s="27">
        <v>264.0</v>
      </c>
      <c r="J38" s="27">
        <v>528.0</v>
      </c>
      <c r="K38" s="24" t="s">
        <v>368</v>
      </c>
      <c r="L38" s="27">
        <v>1350.0</v>
      </c>
      <c r="M38" s="28">
        <f>VLOOKUP(C38,'3_Hop'!U:AE,11,0)</f>
        <v>22</v>
      </c>
      <c r="N38" s="24">
        <v>1.0</v>
      </c>
      <c r="O38" s="28">
        <f>VLOOKUP(M38,'3_Hop'!AE:AG,3,0)</f>
        <v>21.5</v>
      </c>
      <c r="P38" s="28">
        <f t="shared" si="4"/>
        <v>357588</v>
      </c>
    </row>
    <row r="39">
      <c r="A39" s="24" t="s">
        <v>1691</v>
      </c>
      <c r="B39" s="27">
        <v>3.0</v>
      </c>
      <c r="C39" s="24" t="s">
        <v>1692</v>
      </c>
      <c r="D39" s="27">
        <v>2137.0</v>
      </c>
      <c r="E39" s="27">
        <v>32.0</v>
      </c>
      <c r="F39" s="24" t="s">
        <v>1693</v>
      </c>
      <c r="G39" s="24" t="s">
        <v>1694</v>
      </c>
      <c r="H39" s="27">
        <v>713.0</v>
      </c>
      <c r="I39" s="27">
        <v>262.0</v>
      </c>
      <c r="J39" s="27">
        <v>599.0</v>
      </c>
      <c r="K39" s="24" t="s">
        <v>368</v>
      </c>
      <c r="L39" s="27">
        <v>675.0</v>
      </c>
      <c r="M39" s="28">
        <f>VLOOKUP(C39,'3_Hop'!U:AE,11,0)</f>
        <v>32</v>
      </c>
      <c r="N39" s="24">
        <v>1.0</v>
      </c>
      <c r="O39" s="28">
        <f>VLOOKUP(M39,'3_Hop'!AE:AG,3,0)</f>
        <v>28.5</v>
      </c>
      <c r="P39" s="28">
        <f t="shared" si="4"/>
        <v>537752.25</v>
      </c>
    </row>
    <row r="40">
      <c r="A40" s="24" t="s">
        <v>1691</v>
      </c>
      <c r="B40" s="27">
        <v>2.0</v>
      </c>
      <c r="C40" s="24" t="s">
        <v>1722</v>
      </c>
      <c r="D40" s="27">
        <v>696.0</v>
      </c>
      <c r="E40" s="27">
        <v>17.0</v>
      </c>
      <c r="F40" s="24" t="s">
        <v>1723</v>
      </c>
      <c r="G40" s="24" t="s">
        <v>367</v>
      </c>
      <c r="H40" s="27">
        <v>430.6</v>
      </c>
      <c r="I40" s="27">
        <v>249.0</v>
      </c>
      <c r="J40" s="27">
        <v>533.4</v>
      </c>
      <c r="K40" s="24" t="s">
        <v>368</v>
      </c>
      <c r="L40" s="27">
        <v>1050.0</v>
      </c>
      <c r="M40" s="24">
        <v>17.0</v>
      </c>
      <c r="N40" s="24">
        <v>1.0</v>
      </c>
      <c r="O40" s="28">
        <f>VLOOKUP(M40,'3_Hop'!AE:AG,3,0)</f>
        <v>19</v>
      </c>
      <c r="P40" s="28">
        <f t="shared" si="4"/>
        <v>319239.9</v>
      </c>
    </row>
    <row r="41">
      <c r="A41" s="24" t="s">
        <v>1691</v>
      </c>
      <c r="B41" s="27">
        <v>1.0</v>
      </c>
      <c r="C41" s="143" t="s">
        <v>1717</v>
      </c>
      <c r="D41" s="27">
        <v>909.0</v>
      </c>
      <c r="E41" s="27">
        <v>20.0</v>
      </c>
      <c r="F41" s="24" t="s">
        <v>1718</v>
      </c>
      <c r="G41" s="24">
        <v>1980.0</v>
      </c>
      <c r="H41" s="27">
        <v>0.0</v>
      </c>
      <c r="I41" s="27">
        <v>242.0</v>
      </c>
      <c r="J41" s="27">
        <v>484.0</v>
      </c>
      <c r="K41" s="24" t="s">
        <v>368</v>
      </c>
      <c r="L41" s="27">
        <v>1395.0</v>
      </c>
      <c r="M41" s="28">
        <f>VLOOKUP(C41,'3_Hop'!U:AE,11,0)</f>
        <v>32</v>
      </c>
      <c r="N41" s="24">
        <v>1.0</v>
      </c>
      <c r="O41" s="28">
        <f>VLOOKUP(M41,'3_Hop'!AE:AG,3,0)</f>
        <v>28.5</v>
      </c>
      <c r="P41" s="28">
        <f t="shared" si="4"/>
        <v>434511</v>
      </c>
    </row>
    <row r="42">
      <c r="A42" s="24" t="s">
        <v>1691</v>
      </c>
      <c r="B42" s="27">
        <v>3.0</v>
      </c>
      <c r="C42" s="24" t="s">
        <v>1698</v>
      </c>
      <c r="D42" s="27">
        <v>951.0</v>
      </c>
      <c r="E42" s="27">
        <v>20.0</v>
      </c>
      <c r="F42" s="24" t="s">
        <v>1699</v>
      </c>
      <c r="G42" s="24" t="s">
        <v>1700</v>
      </c>
      <c r="H42" s="27">
        <v>542.0</v>
      </c>
      <c r="I42" s="27">
        <v>228.0</v>
      </c>
      <c r="J42" s="27">
        <v>504.0</v>
      </c>
      <c r="K42" s="24" t="s">
        <v>368</v>
      </c>
      <c r="L42" s="27">
        <v>720.0</v>
      </c>
      <c r="M42" s="28">
        <f>VLOOKUP(C42,'3_Hop'!U:AE,11,0)</f>
        <v>20</v>
      </c>
      <c r="N42" s="24">
        <v>1.0</v>
      </c>
      <c r="O42" s="28">
        <f>VLOOKUP(M42,'3_Hop'!AE:AG,3,0)</f>
        <v>21</v>
      </c>
      <c r="P42" s="28">
        <f t="shared" si="4"/>
        <v>333396</v>
      </c>
    </row>
    <row r="43">
      <c r="A43" s="24" t="s">
        <v>1691</v>
      </c>
      <c r="B43" s="27">
        <v>1.0</v>
      </c>
      <c r="C43" s="143" t="s">
        <v>388</v>
      </c>
      <c r="D43" s="27">
        <v>1607.0</v>
      </c>
      <c r="E43" s="27">
        <v>24.0</v>
      </c>
      <c r="F43" s="24" t="s">
        <v>389</v>
      </c>
      <c r="G43" s="24">
        <v>1980.0</v>
      </c>
      <c r="H43" s="27">
        <v>0.0</v>
      </c>
      <c r="I43" s="27">
        <v>220.0</v>
      </c>
      <c r="J43" s="27">
        <v>440.0</v>
      </c>
      <c r="K43" s="24" t="s">
        <v>368</v>
      </c>
      <c r="L43" s="27">
        <v>1365.0</v>
      </c>
      <c r="M43" s="28">
        <f>VLOOKUP(C43,'3_Hop'!U:AE,11,0)</f>
        <v>24</v>
      </c>
      <c r="N43" s="24">
        <v>1.0</v>
      </c>
      <c r="O43" s="28">
        <f>VLOOKUP(M43,'3_Hop'!AE:AG,3,0)</f>
        <v>23</v>
      </c>
      <c r="P43" s="28">
        <f t="shared" si="4"/>
        <v>318780</v>
      </c>
    </row>
    <row r="44">
      <c r="A44" s="24" t="s">
        <v>1691</v>
      </c>
      <c r="B44" s="27">
        <v>1.0</v>
      </c>
      <c r="C44" s="24" t="s">
        <v>386</v>
      </c>
      <c r="D44" s="27">
        <v>1158.0</v>
      </c>
      <c r="E44" s="27">
        <v>20.0</v>
      </c>
      <c r="F44" s="24" t="s">
        <v>387</v>
      </c>
      <c r="G44" s="24">
        <v>1980.0</v>
      </c>
      <c r="H44" s="27">
        <v>0.0</v>
      </c>
      <c r="I44" s="27">
        <v>212.0</v>
      </c>
      <c r="J44" s="27">
        <v>424.0</v>
      </c>
      <c r="K44" s="24" t="s">
        <v>368</v>
      </c>
      <c r="L44" s="27">
        <v>1425.0</v>
      </c>
      <c r="M44" s="28">
        <f>VLOOKUP(C44,'3_Hop'!U:AE,11,0)</f>
        <v>20</v>
      </c>
      <c r="N44" s="24">
        <v>1.0</v>
      </c>
      <c r="O44" s="28">
        <f>VLOOKUP(M44,'3_Hop'!AE:AG,3,0)</f>
        <v>21</v>
      </c>
      <c r="P44" s="28">
        <f t="shared" si="4"/>
        <v>280476</v>
      </c>
    </row>
    <row r="45">
      <c r="A45" s="24" t="s">
        <v>1691</v>
      </c>
      <c r="B45" s="27">
        <v>3.0</v>
      </c>
      <c r="C45" s="143" t="s">
        <v>1724</v>
      </c>
      <c r="D45" s="27">
        <v>2259.0</v>
      </c>
      <c r="E45" s="27">
        <v>32.0</v>
      </c>
      <c r="F45" s="24" t="s">
        <v>1704</v>
      </c>
      <c r="G45" s="24" t="s">
        <v>1705</v>
      </c>
      <c r="H45" s="27">
        <v>390.3</v>
      </c>
      <c r="I45" s="27">
        <v>184.0</v>
      </c>
      <c r="J45" s="27">
        <v>432.3</v>
      </c>
      <c r="K45" s="24" t="s">
        <v>368</v>
      </c>
      <c r="L45" s="27">
        <v>780.0</v>
      </c>
      <c r="M45" s="28" t="str">
        <f>VLOOKUP(C45,'3_Hop'!U:AE,11,0)</f>
        <v>#N/A</v>
      </c>
      <c r="N45" s="24">
        <v>1.0</v>
      </c>
      <c r="O45" s="28" t="str">
        <f>VLOOKUP(M45,'3_Hop'!AE:AG,3,0)</f>
        <v>#N/A</v>
      </c>
      <c r="P45" s="28" t="str">
        <f t="shared" si="4"/>
        <v>#N/A</v>
      </c>
    </row>
    <row r="46">
      <c r="A46" s="24" t="s">
        <v>1691</v>
      </c>
      <c r="B46" s="27">
        <v>2.0</v>
      </c>
      <c r="C46" s="24" t="s">
        <v>1725</v>
      </c>
      <c r="D46" s="27">
        <v>1372.0</v>
      </c>
      <c r="E46" s="27">
        <v>24.0</v>
      </c>
      <c r="F46" s="24" t="s">
        <v>1726</v>
      </c>
      <c r="G46" s="24" t="s">
        <v>1727</v>
      </c>
      <c r="H46" s="27">
        <v>171.7</v>
      </c>
      <c r="I46" s="27">
        <v>148.0</v>
      </c>
      <c r="J46" s="27">
        <v>309.3</v>
      </c>
      <c r="K46" s="24" t="s">
        <v>368</v>
      </c>
      <c r="L46" s="27">
        <v>1245.0</v>
      </c>
      <c r="M46" s="24">
        <v>24.0</v>
      </c>
      <c r="N46" s="24">
        <v>1.0</v>
      </c>
      <c r="O46" s="28">
        <f>VLOOKUP(M46,'3_Hop'!AE:AG,3,0)</f>
        <v>23</v>
      </c>
      <c r="P46" s="28">
        <f t="shared" si="4"/>
        <v>224087.85</v>
      </c>
    </row>
    <row r="47">
      <c r="A47" s="24" t="s">
        <v>1728</v>
      </c>
      <c r="B47" s="27">
        <v>1.0</v>
      </c>
      <c r="C47" s="143" t="s">
        <v>1729</v>
      </c>
      <c r="D47" s="27">
        <v>812.0</v>
      </c>
      <c r="E47" s="27">
        <v>17.0</v>
      </c>
      <c r="F47" s="24" t="s">
        <v>1730</v>
      </c>
      <c r="G47" s="24">
        <v>1980.0</v>
      </c>
      <c r="H47" s="27">
        <v>0.0</v>
      </c>
      <c r="I47" s="27">
        <v>127.0</v>
      </c>
      <c r="J47" s="27">
        <v>254.0</v>
      </c>
      <c r="K47" s="24" t="s">
        <v>368</v>
      </c>
      <c r="L47" s="27">
        <v>1515.0</v>
      </c>
      <c r="M47" s="24">
        <v>32.0</v>
      </c>
      <c r="N47" s="24">
        <v>1.0</v>
      </c>
      <c r="O47" s="28">
        <f>VLOOKUP(M47,'3_Hop'!AE:AG,3,0)</f>
        <v>28.5</v>
      </c>
      <c r="P47" s="28">
        <f t="shared" si="4"/>
        <v>228028.5</v>
      </c>
    </row>
    <row r="48">
      <c r="A48" s="24" t="s">
        <v>1691</v>
      </c>
      <c r="B48" s="27">
        <v>1.0</v>
      </c>
      <c r="C48" s="24" t="s">
        <v>1715</v>
      </c>
      <c r="D48" s="27">
        <v>772.0</v>
      </c>
      <c r="E48" s="27">
        <v>17.0</v>
      </c>
      <c r="F48" s="24" t="s">
        <v>1716</v>
      </c>
      <c r="G48" s="24">
        <v>1980.0</v>
      </c>
      <c r="H48" s="27">
        <v>0.0</v>
      </c>
      <c r="I48" s="27">
        <v>61.4</v>
      </c>
      <c r="J48" s="27">
        <v>122.8</v>
      </c>
      <c r="K48" s="24" t="s">
        <v>368</v>
      </c>
      <c r="L48" s="27">
        <v>1605.0</v>
      </c>
      <c r="M48" s="28">
        <f>VLOOKUP(C48,'3_Hop'!U:AE,11,0)</f>
        <v>17</v>
      </c>
      <c r="N48" s="24">
        <v>1.0</v>
      </c>
      <c r="O48" s="28">
        <f>VLOOKUP(M48,'3_Hop'!AE:AG,3,0)</f>
        <v>19</v>
      </c>
      <c r="P48" s="28">
        <f t="shared" si="4"/>
        <v>73495.8</v>
      </c>
    </row>
    <row r="51">
      <c r="A51" s="24" t="s">
        <v>358</v>
      </c>
      <c r="B51" s="24" t="s">
        <v>359</v>
      </c>
      <c r="C51" s="24" t="s">
        <v>170</v>
      </c>
      <c r="D51" s="24" t="s">
        <v>175</v>
      </c>
      <c r="E51" s="24" t="s">
        <v>176</v>
      </c>
      <c r="F51" s="24" t="s">
        <v>177</v>
      </c>
      <c r="G51" s="24" t="s">
        <v>178</v>
      </c>
      <c r="H51" s="24" t="s">
        <v>360</v>
      </c>
      <c r="I51" s="24" t="s">
        <v>361</v>
      </c>
      <c r="J51" s="24" t="s">
        <v>362</v>
      </c>
      <c r="K51" s="24" t="s">
        <v>363</v>
      </c>
      <c r="L51" s="24" t="s">
        <v>179</v>
      </c>
    </row>
    <row r="52">
      <c r="A52" s="24" t="s">
        <v>364</v>
      </c>
      <c r="B52" s="27">
        <v>2.0</v>
      </c>
      <c r="C52" s="144" t="s">
        <v>365</v>
      </c>
      <c r="D52" s="27">
        <v>1308.0</v>
      </c>
      <c r="E52" s="27">
        <v>22.0</v>
      </c>
      <c r="F52" s="24" t="s">
        <v>366</v>
      </c>
      <c r="G52" s="24" t="s">
        <v>367</v>
      </c>
      <c r="H52" s="27">
        <v>690.0</v>
      </c>
      <c r="I52" s="27">
        <v>372.0</v>
      </c>
      <c r="J52" s="27">
        <v>760.0</v>
      </c>
      <c r="K52" s="24" t="s">
        <v>368</v>
      </c>
      <c r="L52" s="27">
        <v>900.0</v>
      </c>
    </row>
    <row r="53">
      <c r="A53" s="24" t="s">
        <v>364</v>
      </c>
      <c r="B53" s="27">
        <v>2.0</v>
      </c>
      <c r="C53" s="144" t="s">
        <v>369</v>
      </c>
      <c r="D53" s="27">
        <v>1270.0</v>
      </c>
      <c r="E53" s="27">
        <v>22.0</v>
      </c>
      <c r="F53" s="24" t="s">
        <v>370</v>
      </c>
      <c r="G53" s="24" t="s">
        <v>371</v>
      </c>
      <c r="H53" s="27">
        <v>599.8</v>
      </c>
      <c r="I53" s="27">
        <v>360.0</v>
      </c>
      <c r="J53" s="27">
        <v>690.2</v>
      </c>
      <c r="K53" s="24" t="s">
        <v>368</v>
      </c>
      <c r="L53" s="27">
        <v>855.0</v>
      </c>
    </row>
    <row r="54">
      <c r="A54" s="24" t="s">
        <v>1731</v>
      </c>
      <c r="B54" s="27">
        <v>2.0</v>
      </c>
      <c r="C54" s="144" t="s">
        <v>372</v>
      </c>
      <c r="D54" s="27">
        <v>1551.0</v>
      </c>
      <c r="E54" s="27">
        <v>24.0</v>
      </c>
      <c r="F54" s="24" t="s">
        <v>373</v>
      </c>
      <c r="G54" s="24" t="s">
        <v>374</v>
      </c>
      <c r="H54" s="27">
        <v>564.0</v>
      </c>
      <c r="I54" s="27">
        <v>294.0</v>
      </c>
      <c r="J54" s="27">
        <v>588.0</v>
      </c>
      <c r="K54" s="24" t="s">
        <v>368</v>
      </c>
      <c r="L54" s="27">
        <v>975.0</v>
      </c>
    </row>
    <row r="55">
      <c r="A55" s="24" t="s">
        <v>364</v>
      </c>
      <c r="B55" s="27">
        <v>1.0</v>
      </c>
      <c r="C55" s="144" t="s">
        <v>392</v>
      </c>
      <c r="D55" s="27">
        <v>1233.0</v>
      </c>
      <c r="E55" s="27">
        <v>22.0</v>
      </c>
      <c r="F55" s="24" t="s">
        <v>393</v>
      </c>
      <c r="G55" s="24">
        <v>1980.0</v>
      </c>
      <c r="H55" s="27">
        <v>0.0</v>
      </c>
      <c r="I55" s="27">
        <v>264.0</v>
      </c>
      <c r="J55" s="27">
        <v>528.0</v>
      </c>
      <c r="K55" s="24" t="s">
        <v>368</v>
      </c>
      <c r="L55" s="27">
        <v>1350.0</v>
      </c>
    </row>
    <row r="56">
      <c r="A56" s="24" t="s">
        <v>364</v>
      </c>
      <c r="B56" s="27">
        <v>2.0</v>
      </c>
      <c r="C56" s="143" t="s">
        <v>1732</v>
      </c>
      <c r="D56" s="27">
        <v>1948.0</v>
      </c>
      <c r="E56" s="27">
        <v>32.0</v>
      </c>
      <c r="F56" s="24" t="s">
        <v>1733</v>
      </c>
      <c r="G56" s="24" t="s">
        <v>1734</v>
      </c>
      <c r="H56" s="27">
        <v>327.0</v>
      </c>
      <c r="I56" s="27">
        <v>262.0</v>
      </c>
      <c r="J56" s="27">
        <v>601.0</v>
      </c>
      <c r="K56" s="24" t="s">
        <v>368</v>
      </c>
      <c r="L56" s="27">
        <v>960.0</v>
      </c>
    </row>
    <row r="57">
      <c r="A57" s="24" t="s">
        <v>364</v>
      </c>
      <c r="B57" s="27">
        <v>2.0</v>
      </c>
      <c r="C57" s="144" t="s">
        <v>1722</v>
      </c>
      <c r="D57" s="27">
        <v>767.0</v>
      </c>
      <c r="E57" s="27">
        <v>17.0</v>
      </c>
      <c r="F57" s="24" t="s">
        <v>376</v>
      </c>
      <c r="G57" s="24" t="s">
        <v>367</v>
      </c>
      <c r="H57" s="27">
        <v>430.6</v>
      </c>
      <c r="I57" s="27">
        <v>249.0</v>
      </c>
      <c r="J57" s="27">
        <v>533.4</v>
      </c>
      <c r="K57" s="24" t="s">
        <v>368</v>
      </c>
      <c r="L57" s="27">
        <v>990.0</v>
      </c>
    </row>
    <row r="58">
      <c r="A58" s="24" t="s">
        <v>364</v>
      </c>
      <c r="B58" s="27">
        <v>3.0</v>
      </c>
      <c r="C58" s="24" t="s">
        <v>1735</v>
      </c>
      <c r="D58" s="27">
        <v>1096.0</v>
      </c>
      <c r="E58" s="27">
        <v>20.0</v>
      </c>
      <c r="F58" s="24" t="s">
        <v>1736</v>
      </c>
      <c r="G58" s="24" t="s">
        <v>1737</v>
      </c>
      <c r="H58" s="27">
        <v>647.8</v>
      </c>
      <c r="I58" s="27">
        <v>228.0</v>
      </c>
      <c r="J58" s="27">
        <v>496.2</v>
      </c>
      <c r="K58" s="24" t="s">
        <v>368</v>
      </c>
      <c r="L58" s="27">
        <v>930.0</v>
      </c>
    </row>
    <row r="59">
      <c r="A59" s="24" t="s">
        <v>364</v>
      </c>
      <c r="B59" s="27">
        <v>1.0</v>
      </c>
      <c r="C59" s="144" t="s">
        <v>388</v>
      </c>
      <c r="D59" s="27">
        <v>1607.0</v>
      </c>
      <c r="E59" s="27">
        <v>24.0</v>
      </c>
      <c r="F59" s="24" t="s">
        <v>389</v>
      </c>
      <c r="G59" s="24">
        <v>1980.0</v>
      </c>
      <c r="H59" s="27">
        <v>0.0</v>
      </c>
      <c r="I59" s="27">
        <v>220.0</v>
      </c>
      <c r="J59" s="27">
        <v>440.0</v>
      </c>
      <c r="K59" s="24" t="s">
        <v>368</v>
      </c>
      <c r="L59" s="27">
        <v>1365.0</v>
      </c>
    </row>
    <row r="60">
      <c r="A60" s="24" t="s">
        <v>364</v>
      </c>
      <c r="B60" s="27">
        <v>1.0</v>
      </c>
      <c r="C60" s="144" t="s">
        <v>386</v>
      </c>
      <c r="D60" s="27">
        <v>1158.0</v>
      </c>
      <c r="E60" s="27">
        <v>20.0</v>
      </c>
      <c r="F60" s="24" t="s">
        <v>387</v>
      </c>
      <c r="G60" s="24">
        <v>1980.0</v>
      </c>
      <c r="H60" s="27">
        <v>0.0</v>
      </c>
      <c r="I60" s="27">
        <v>212.0</v>
      </c>
      <c r="J60" s="27">
        <v>424.0</v>
      </c>
      <c r="K60" s="24" t="s">
        <v>368</v>
      </c>
      <c r="L60" s="27">
        <v>1425.0</v>
      </c>
    </row>
    <row r="61">
      <c r="A61" s="24" t="s">
        <v>364</v>
      </c>
      <c r="B61" s="27">
        <v>2.0</v>
      </c>
      <c r="C61" s="144" t="s">
        <v>1738</v>
      </c>
      <c r="D61" s="27">
        <v>1256.0</v>
      </c>
      <c r="E61" s="27">
        <v>22.0</v>
      </c>
      <c r="F61" s="24" t="s">
        <v>384</v>
      </c>
      <c r="G61" s="24" t="s">
        <v>385</v>
      </c>
      <c r="H61" s="27">
        <v>245.0</v>
      </c>
      <c r="I61" s="27">
        <v>172.0</v>
      </c>
      <c r="J61" s="27">
        <v>395.0</v>
      </c>
      <c r="K61" s="24" t="s">
        <v>368</v>
      </c>
      <c r="L61" s="27">
        <v>1140.0</v>
      </c>
    </row>
    <row r="62">
      <c r="A62" s="24" t="s">
        <v>364</v>
      </c>
      <c r="B62" s="27">
        <v>2.0</v>
      </c>
      <c r="C62" s="144" t="s">
        <v>1724</v>
      </c>
      <c r="D62" s="27">
        <v>1665.0</v>
      </c>
      <c r="E62" s="27">
        <v>32.0</v>
      </c>
      <c r="F62" s="24" t="s">
        <v>1739</v>
      </c>
      <c r="G62" s="24" t="s">
        <v>1740</v>
      </c>
      <c r="H62" s="27">
        <v>190.3</v>
      </c>
      <c r="I62" s="27">
        <v>131.0</v>
      </c>
      <c r="J62" s="27">
        <v>264.3</v>
      </c>
      <c r="K62" s="24" t="s">
        <v>368</v>
      </c>
      <c r="L62" s="27">
        <v>1305.0</v>
      </c>
    </row>
    <row r="64">
      <c r="A64" s="24" t="s">
        <v>358</v>
      </c>
      <c r="B64" s="24" t="s">
        <v>359</v>
      </c>
      <c r="C64" s="24" t="s">
        <v>170</v>
      </c>
      <c r="D64" s="24" t="s">
        <v>175</v>
      </c>
      <c r="E64" s="24" t="s">
        <v>176</v>
      </c>
      <c r="F64" s="24" t="s">
        <v>177</v>
      </c>
      <c r="G64" s="24" t="s">
        <v>178</v>
      </c>
      <c r="H64" s="24" t="s">
        <v>360</v>
      </c>
      <c r="I64" s="24" t="s">
        <v>361</v>
      </c>
      <c r="J64" s="24" t="s">
        <v>362</v>
      </c>
      <c r="K64" s="24" t="s">
        <v>363</v>
      </c>
      <c r="L64" s="24" t="s">
        <v>179</v>
      </c>
    </row>
    <row r="65">
      <c r="A65" s="24" t="s">
        <v>364</v>
      </c>
      <c r="B65" s="27">
        <v>2.0</v>
      </c>
      <c r="C65" s="24" t="s">
        <v>1741</v>
      </c>
      <c r="D65" s="27">
        <v>1308.0</v>
      </c>
      <c r="E65" s="27">
        <v>22.0</v>
      </c>
      <c r="F65" s="24" t="s">
        <v>1742</v>
      </c>
      <c r="G65" s="24" t="s">
        <v>367</v>
      </c>
      <c r="H65" s="27">
        <v>690.0</v>
      </c>
      <c r="I65" s="27">
        <v>372.0</v>
      </c>
      <c r="J65" s="27">
        <v>760.0</v>
      </c>
      <c r="K65" s="24" t="s">
        <v>368</v>
      </c>
      <c r="L65" s="27">
        <v>855.0</v>
      </c>
    </row>
    <row r="66">
      <c r="A66" s="24" t="s">
        <v>364</v>
      </c>
      <c r="B66" s="27">
        <v>2.0</v>
      </c>
      <c r="C66" s="24" t="s">
        <v>369</v>
      </c>
      <c r="D66" s="27">
        <v>1270.0</v>
      </c>
      <c r="E66" s="27">
        <v>22.0</v>
      </c>
      <c r="F66" s="24" t="s">
        <v>370</v>
      </c>
      <c r="G66" s="24" t="s">
        <v>371</v>
      </c>
      <c r="H66" s="27">
        <v>599.8</v>
      </c>
      <c r="I66" s="27">
        <v>360.0</v>
      </c>
      <c r="J66" s="27">
        <v>690.2</v>
      </c>
      <c r="K66" s="24" t="s">
        <v>368</v>
      </c>
      <c r="L66" s="27">
        <v>855.0</v>
      </c>
    </row>
    <row r="67">
      <c r="A67" s="24" t="s">
        <v>1731</v>
      </c>
      <c r="B67" s="27">
        <v>2.0</v>
      </c>
      <c r="C67" s="24" t="s">
        <v>372</v>
      </c>
      <c r="D67" s="27">
        <v>1551.0</v>
      </c>
      <c r="E67" s="27">
        <v>24.0</v>
      </c>
      <c r="F67" s="24" t="s">
        <v>373</v>
      </c>
      <c r="G67" s="24" t="s">
        <v>374</v>
      </c>
      <c r="H67" s="27">
        <v>564.0</v>
      </c>
      <c r="I67" s="27">
        <v>294.0</v>
      </c>
      <c r="J67" s="27">
        <v>588.0</v>
      </c>
      <c r="K67" s="24" t="s">
        <v>368</v>
      </c>
      <c r="L67" s="27">
        <v>975.0</v>
      </c>
    </row>
    <row r="68">
      <c r="A68" s="24" t="s">
        <v>364</v>
      </c>
      <c r="B68" s="27">
        <v>2.0</v>
      </c>
      <c r="C68" s="24" t="s">
        <v>1722</v>
      </c>
      <c r="D68" s="27">
        <v>767.0</v>
      </c>
      <c r="E68" s="27">
        <v>17.0</v>
      </c>
      <c r="F68" s="24" t="s">
        <v>376</v>
      </c>
      <c r="G68" s="24" t="s">
        <v>367</v>
      </c>
      <c r="H68" s="27">
        <v>430.6</v>
      </c>
      <c r="I68" s="27">
        <v>249.0</v>
      </c>
      <c r="J68" s="27">
        <v>533.4</v>
      </c>
      <c r="K68" s="24" t="s">
        <v>368</v>
      </c>
      <c r="L68" s="27">
        <v>990.0</v>
      </c>
    </row>
    <row r="69">
      <c r="A69" s="24" t="s">
        <v>364</v>
      </c>
      <c r="B69" s="27">
        <v>2.0</v>
      </c>
      <c r="C69" s="24" t="s">
        <v>1743</v>
      </c>
      <c r="D69" s="27">
        <v>1276.0</v>
      </c>
      <c r="E69" s="27">
        <v>22.0</v>
      </c>
      <c r="F69" s="24" t="s">
        <v>1744</v>
      </c>
      <c r="G69" s="24" t="s">
        <v>1745</v>
      </c>
      <c r="H69" s="27">
        <v>386.0</v>
      </c>
      <c r="I69" s="27">
        <v>262.0</v>
      </c>
      <c r="J69" s="27">
        <v>522.0</v>
      </c>
      <c r="K69" s="24" t="s">
        <v>368</v>
      </c>
      <c r="L69" s="27">
        <v>1110.0</v>
      </c>
    </row>
    <row r="70">
      <c r="A70" s="24" t="s">
        <v>1746</v>
      </c>
      <c r="B70" s="27">
        <v>2.0</v>
      </c>
      <c r="C70" s="24" t="s">
        <v>380</v>
      </c>
      <c r="D70" s="27">
        <v>1798.0</v>
      </c>
      <c r="E70" s="27">
        <v>32.0</v>
      </c>
      <c r="F70" s="24" t="s">
        <v>381</v>
      </c>
      <c r="G70" s="24" t="s">
        <v>382</v>
      </c>
      <c r="H70" s="27">
        <v>260.8</v>
      </c>
      <c r="I70" s="27">
        <v>202.0</v>
      </c>
      <c r="J70" s="27">
        <v>405.2</v>
      </c>
      <c r="K70" s="24" t="s">
        <v>368</v>
      </c>
      <c r="L70" s="27">
        <v>1140.0</v>
      </c>
    </row>
    <row r="71">
      <c r="A71" s="24" t="s">
        <v>364</v>
      </c>
      <c r="B71" s="27">
        <v>2.0</v>
      </c>
      <c r="C71" s="24" t="s">
        <v>1747</v>
      </c>
      <c r="D71" s="27">
        <v>679.0</v>
      </c>
      <c r="E71" s="27">
        <v>14.0</v>
      </c>
      <c r="F71" s="24" t="s">
        <v>1748</v>
      </c>
      <c r="G71" s="24" t="s">
        <v>1749</v>
      </c>
      <c r="H71" s="27">
        <v>165.0</v>
      </c>
      <c r="I71" s="27">
        <v>172.0</v>
      </c>
      <c r="J71" s="27">
        <v>483.0</v>
      </c>
      <c r="K71" s="24" t="s">
        <v>368</v>
      </c>
      <c r="L71" s="27">
        <v>1005.0</v>
      </c>
    </row>
    <row r="72">
      <c r="A72" s="24" t="s">
        <v>364</v>
      </c>
      <c r="B72" s="27">
        <v>1.0</v>
      </c>
      <c r="C72" s="24" t="s">
        <v>388</v>
      </c>
      <c r="D72" s="27">
        <v>1607.0</v>
      </c>
      <c r="E72" s="27">
        <v>24.0</v>
      </c>
      <c r="F72" s="24" t="s">
        <v>389</v>
      </c>
      <c r="G72" s="24">
        <v>1980.0</v>
      </c>
      <c r="H72" s="27">
        <v>0.0</v>
      </c>
      <c r="I72" s="27">
        <v>220.0</v>
      </c>
      <c r="J72" s="27">
        <v>440.0</v>
      </c>
      <c r="K72" s="24" t="s">
        <v>368</v>
      </c>
      <c r="L72" s="27">
        <v>1365.0</v>
      </c>
    </row>
    <row r="73">
      <c r="A73" s="24" t="s">
        <v>364</v>
      </c>
      <c r="B73" s="27">
        <v>1.0</v>
      </c>
      <c r="C73" s="24" t="s">
        <v>386</v>
      </c>
      <c r="D73" s="27">
        <v>1158.0</v>
      </c>
      <c r="E73" s="27">
        <v>20.0</v>
      </c>
      <c r="F73" s="24" t="s">
        <v>387</v>
      </c>
      <c r="G73" s="24">
        <v>1980.0</v>
      </c>
      <c r="H73" s="27">
        <v>0.0</v>
      </c>
      <c r="I73" s="27">
        <v>212.0</v>
      </c>
      <c r="J73" s="27">
        <v>424.0</v>
      </c>
      <c r="K73" s="24" t="s">
        <v>368</v>
      </c>
      <c r="L73" s="27">
        <v>1425.0</v>
      </c>
    </row>
    <row r="74">
      <c r="A74" s="24" t="s">
        <v>364</v>
      </c>
      <c r="B74" s="27">
        <v>1.0</v>
      </c>
      <c r="C74" s="24" t="s">
        <v>392</v>
      </c>
      <c r="D74" s="27">
        <v>1233.0</v>
      </c>
      <c r="E74" s="27">
        <v>22.0</v>
      </c>
      <c r="F74" s="24" t="s">
        <v>393</v>
      </c>
      <c r="G74" s="24">
        <v>1980.0</v>
      </c>
      <c r="H74" s="27">
        <v>0.0</v>
      </c>
      <c r="I74" s="27">
        <v>264.0</v>
      </c>
      <c r="J74" s="27">
        <v>528.0</v>
      </c>
      <c r="K74" s="24" t="s">
        <v>368</v>
      </c>
      <c r="L74" s="27">
        <v>1350.0</v>
      </c>
    </row>
    <row r="75">
      <c r="A75" s="24" t="s">
        <v>1750</v>
      </c>
      <c r="B75" s="27">
        <v>1.0</v>
      </c>
      <c r="C75" s="24" t="s">
        <v>390</v>
      </c>
      <c r="D75" s="27">
        <v>489.0</v>
      </c>
      <c r="E75" s="27">
        <v>10.0</v>
      </c>
      <c r="F75" s="24" t="s">
        <v>391</v>
      </c>
      <c r="G75" s="24">
        <v>1980.0</v>
      </c>
      <c r="H75" s="27">
        <v>0.0</v>
      </c>
      <c r="I75" s="27">
        <v>228.0</v>
      </c>
      <c r="J75" s="27">
        <v>456.0</v>
      </c>
      <c r="K75" s="24" t="s">
        <v>368</v>
      </c>
      <c r="L75" s="27">
        <v>1320.0</v>
      </c>
    </row>
    <row r="76">
      <c r="A76" s="24" t="s">
        <v>1750</v>
      </c>
      <c r="B76" s="27">
        <v>1.0</v>
      </c>
      <c r="C76" s="24" t="s">
        <v>1751</v>
      </c>
      <c r="D76" s="27">
        <v>873.0</v>
      </c>
      <c r="E76" s="27">
        <v>17.0</v>
      </c>
      <c r="F76" s="24" t="s">
        <v>1752</v>
      </c>
      <c r="G76" s="24">
        <v>1980.0</v>
      </c>
      <c r="H76" s="27">
        <v>0.0</v>
      </c>
      <c r="I76" s="27">
        <v>148.0</v>
      </c>
      <c r="J76" s="27">
        <v>296.0</v>
      </c>
      <c r="K76" s="24" t="s">
        <v>368</v>
      </c>
      <c r="L76" s="27">
        <v>1485.0</v>
      </c>
    </row>
    <row r="79">
      <c r="A79" s="24" t="s">
        <v>358</v>
      </c>
      <c r="B79" s="24" t="s">
        <v>359</v>
      </c>
      <c r="C79" s="24" t="s">
        <v>170</v>
      </c>
      <c r="D79" s="24" t="s">
        <v>175</v>
      </c>
      <c r="E79" s="24" t="s">
        <v>176</v>
      </c>
      <c r="F79" s="24" t="s">
        <v>177</v>
      </c>
      <c r="G79" s="24" t="s">
        <v>178</v>
      </c>
      <c r="H79" s="24" t="s">
        <v>360</v>
      </c>
      <c r="I79" s="24" t="s">
        <v>361</v>
      </c>
      <c r="J79" s="24" t="s">
        <v>362</v>
      </c>
      <c r="K79" s="24" t="s">
        <v>363</v>
      </c>
      <c r="L79" s="24" t="s">
        <v>179</v>
      </c>
    </row>
    <row r="80">
      <c r="A80" s="24" t="s">
        <v>364</v>
      </c>
      <c r="B80" s="27">
        <v>2.0</v>
      </c>
      <c r="C80" s="24" t="s">
        <v>365</v>
      </c>
      <c r="D80" s="27">
        <v>1308.0</v>
      </c>
      <c r="E80" s="27">
        <v>22.0</v>
      </c>
      <c r="F80" s="24" t="s">
        <v>366</v>
      </c>
      <c r="G80" s="24" t="s">
        <v>367</v>
      </c>
      <c r="H80" s="27">
        <v>690.0</v>
      </c>
      <c r="I80" s="27">
        <v>372.0</v>
      </c>
      <c r="J80" s="27">
        <v>760.0</v>
      </c>
      <c r="K80" s="24" t="s">
        <v>368</v>
      </c>
      <c r="L80" s="27">
        <v>900.0</v>
      </c>
    </row>
    <row r="81">
      <c r="A81" s="24" t="s">
        <v>364</v>
      </c>
      <c r="B81" s="27">
        <v>2.0</v>
      </c>
      <c r="C81" s="24" t="s">
        <v>369</v>
      </c>
      <c r="D81" s="27">
        <v>1270.0</v>
      </c>
      <c r="E81" s="27">
        <v>22.0</v>
      </c>
      <c r="F81" s="24" t="s">
        <v>370</v>
      </c>
      <c r="G81" s="24" t="s">
        <v>371</v>
      </c>
      <c r="H81" s="27">
        <v>599.8</v>
      </c>
      <c r="I81" s="27">
        <v>360.0</v>
      </c>
      <c r="J81" s="27">
        <v>690.2</v>
      </c>
      <c r="K81" s="24" t="s">
        <v>368</v>
      </c>
      <c r="L81" s="27">
        <v>855.0</v>
      </c>
    </row>
    <row r="82">
      <c r="A82" s="24" t="s">
        <v>364</v>
      </c>
      <c r="B82" s="27">
        <v>2.0</v>
      </c>
      <c r="C82" s="24" t="s">
        <v>372</v>
      </c>
      <c r="D82" s="27">
        <v>1551.0</v>
      </c>
      <c r="E82" s="27">
        <v>24.0</v>
      </c>
      <c r="F82" s="24" t="s">
        <v>373</v>
      </c>
      <c r="G82" s="24" t="s">
        <v>374</v>
      </c>
      <c r="H82" s="27">
        <v>564.0</v>
      </c>
      <c r="I82" s="27">
        <v>294.0</v>
      </c>
      <c r="J82" s="27">
        <v>588.0</v>
      </c>
      <c r="K82" s="24" t="s">
        <v>368</v>
      </c>
      <c r="L82" s="27">
        <v>975.0</v>
      </c>
    </row>
    <row r="83">
      <c r="A83" s="24" t="s">
        <v>364</v>
      </c>
      <c r="B83" s="27">
        <v>1.0</v>
      </c>
      <c r="C83" s="24" t="s">
        <v>392</v>
      </c>
      <c r="D83" s="27">
        <v>1233.0</v>
      </c>
      <c r="E83" s="27">
        <v>22.0</v>
      </c>
      <c r="F83" s="24" t="s">
        <v>393</v>
      </c>
      <c r="G83" s="24">
        <v>1980.0</v>
      </c>
      <c r="H83" s="27">
        <v>0.0</v>
      </c>
      <c r="I83" s="27">
        <v>264.0</v>
      </c>
      <c r="J83" s="27">
        <v>528.0</v>
      </c>
      <c r="K83" s="24" t="s">
        <v>368</v>
      </c>
      <c r="L83" s="27">
        <v>1350.0</v>
      </c>
    </row>
    <row r="84">
      <c r="A84" s="24" t="s">
        <v>364</v>
      </c>
      <c r="B84" s="27">
        <v>2.0</v>
      </c>
      <c r="C84" s="24" t="s">
        <v>1732</v>
      </c>
      <c r="D84" s="27">
        <v>1948.0</v>
      </c>
      <c r="E84" s="27">
        <v>32.0</v>
      </c>
      <c r="F84" s="24" t="s">
        <v>1733</v>
      </c>
      <c r="G84" s="24" t="s">
        <v>1734</v>
      </c>
      <c r="H84" s="27">
        <v>327.0</v>
      </c>
      <c r="I84" s="27">
        <v>262.0</v>
      </c>
      <c r="J84" s="27">
        <v>601.0</v>
      </c>
      <c r="K84" s="24" t="s">
        <v>368</v>
      </c>
      <c r="L84" s="27">
        <v>960.0</v>
      </c>
    </row>
    <row r="85">
      <c r="A85" s="24" t="s">
        <v>364</v>
      </c>
      <c r="B85" s="27">
        <v>2.0</v>
      </c>
      <c r="C85" s="24" t="s">
        <v>1722</v>
      </c>
      <c r="D85" s="27">
        <v>767.0</v>
      </c>
      <c r="E85" s="27">
        <v>17.0</v>
      </c>
      <c r="F85" s="24" t="s">
        <v>376</v>
      </c>
      <c r="G85" s="24" t="s">
        <v>367</v>
      </c>
      <c r="H85" s="27">
        <v>430.6</v>
      </c>
      <c r="I85" s="27">
        <v>249.0</v>
      </c>
      <c r="J85" s="27">
        <v>533.4</v>
      </c>
      <c r="K85" s="24" t="s">
        <v>368</v>
      </c>
      <c r="L85" s="27">
        <v>990.0</v>
      </c>
    </row>
    <row r="86">
      <c r="A86" s="24" t="s">
        <v>364</v>
      </c>
      <c r="B86" s="27">
        <v>3.0</v>
      </c>
      <c r="C86" s="24" t="s">
        <v>1735</v>
      </c>
      <c r="D86" s="27">
        <v>1096.0</v>
      </c>
      <c r="E86" s="27">
        <v>20.0</v>
      </c>
      <c r="F86" s="24" t="s">
        <v>1736</v>
      </c>
      <c r="G86" s="24" t="s">
        <v>1737</v>
      </c>
      <c r="H86" s="27">
        <v>647.8</v>
      </c>
      <c r="I86" s="27">
        <v>228.0</v>
      </c>
      <c r="J86" s="27">
        <v>496.2</v>
      </c>
      <c r="K86" s="24" t="s">
        <v>368</v>
      </c>
      <c r="L86" s="27">
        <v>930.0</v>
      </c>
    </row>
    <row r="87">
      <c r="A87" s="24" t="s">
        <v>364</v>
      </c>
      <c r="B87" s="27">
        <v>1.0</v>
      </c>
      <c r="C87" s="24" t="s">
        <v>388</v>
      </c>
      <c r="D87" s="27">
        <v>1607.0</v>
      </c>
      <c r="E87" s="27">
        <v>24.0</v>
      </c>
      <c r="F87" s="24" t="s">
        <v>389</v>
      </c>
      <c r="G87" s="24">
        <v>1980.0</v>
      </c>
      <c r="H87" s="27">
        <v>0.0</v>
      </c>
      <c r="I87" s="27">
        <v>220.0</v>
      </c>
      <c r="J87" s="27">
        <v>440.0</v>
      </c>
      <c r="K87" s="24" t="s">
        <v>368</v>
      </c>
      <c r="L87" s="27">
        <v>1365.0</v>
      </c>
    </row>
    <row r="88">
      <c r="A88" s="24" t="s">
        <v>364</v>
      </c>
      <c r="B88" s="27">
        <v>1.0</v>
      </c>
      <c r="C88" s="24" t="s">
        <v>386</v>
      </c>
      <c r="D88" s="27">
        <v>1158.0</v>
      </c>
      <c r="E88" s="27">
        <v>20.0</v>
      </c>
      <c r="F88" s="24" t="s">
        <v>387</v>
      </c>
      <c r="G88" s="24">
        <v>1980.0</v>
      </c>
      <c r="H88" s="27">
        <v>0.0</v>
      </c>
      <c r="I88" s="27">
        <v>212.0</v>
      </c>
      <c r="J88" s="27">
        <v>424.0</v>
      </c>
      <c r="K88" s="24" t="s">
        <v>368</v>
      </c>
      <c r="L88" s="27">
        <v>1425.0</v>
      </c>
    </row>
    <row r="89">
      <c r="A89" s="24" t="s">
        <v>364</v>
      </c>
      <c r="B89" s="27">
        <v>2.0</v>
      </c>
      <c r="C89" s="24" t="s">
        <v>1738</v>
      </c>
      <c r="D89" s="27">
        <v>1256.0</v>
      </c>
      <c r="E89" s="27">
        <v>22.0</v>
      </c>
      <c r="F89" s="24" t="s">
        <v>384</v>
      </c>
      <c r="G89" s="24" t="s">
        <v>385</v>
      </c>
      <c r="H89" s="27">
        <v>245.0</v>
      </c>
      <c r="I89" s="27">
        <v>172.0</v>
      </c>
      <c r="J89" s="27">
        <v>395.0</v>
      </c>
      <c r="K89" s="24" t="s">
        <v>368</v>
      </c>
      <c r="L89" s="27">
        <v>1140.0</v>
      </c>
    </row>
    <row r="90">
      <c r="A90" s="24" t="s">
        <v>364</v>
      </c>
      <c r="B90" s="27">
        <v>1.0</v>
      </c>
      <c r="C90" s="24" t="s">
        <v>1753</v>
      </c>
      <c r="D90" s="27">
        <v>815.0</v>
      </c>
      <c r="E90" s="27">
        <v>17.0</v>
      </c>
      <c r="F90" s="24" t="s">
        <v>1754</v>
      </c>
      <c r="G90" s="24">
        <v>1980.0</v>
      </c>
      <c r="H90" s="27">
        <v>0.0</v>
      </c>
      <c r="I90" s="27">
        <v>131.0</v>
      </c>
      <c r="J90" s="27">
        <v>262.0</v>
      </c>
      <c r="K90" s="24" t="s">
        <v>368</v>
      </c>
      <c r="L90" s="27">
        <v>1560.0</v>
      </c>
    </row>
  </sheetData>
  <autoFilter ref="$A$51:$L$62">
    <sortState ref="A51:L62">
      <sortCondition descending="1" ref="I51:I62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24" t="s">
        <v>8</v>
      </c>
      <c r="B1" s="24" t="s">
        <v>9</v>
      </c>
      <c r="C1" s="24" t="s">
        <v>10</v>
      </c>
      <c r="D1" s="24" t="s">
        <v>11</v>
      </c>
      <c r="E1" s="24" t="s">
        <v>12</v>
      </c>
      <c r="F1" s="24" t="s">
        <v>13</v>
      </c>
      <c r="G1" s="24" t="s">
        <v>14</v>
      </c>
      <c r="H1" s="24" t="s">
        <v>15</v>
      </c>
      <c r="I1" s="24" t="s">
        <v>16</v>
      </c>
      <c r="J1" s="24" t="s">
        <v>17</v>
      </c>
      <c r="K1" s="24" t="s">
        <v>1755</v>
      </c>
      <c r="L1" s="24" t="s">
        <v>1756</v>
      </c>
      <c r="M1" s="24" t="s">
        <v>358</v>
      </c>
    </row>
    <row r="2">
      <c r="A2" s="24" t="s">
        <v>18</v>
      </c>
      <c r="B2" s="27">
        <v>26.104</v>
      </c>
      <c r="C2" s="27">
        <v>91.523</v>
      </c>
      <c r="D2" s="27">
        <v>0.0</v>
      </c>
      <c r="E2" s="27">
        <v>0.0</v>
      </c>
      <c r="F2" s="27">
        <v>5000.0</v>
      </c>
      <c r="G2" s="27">
        <v>0.0</v>
      </c>
      <c r="H2" s="27">
        <v>32.0</v>
      </c>
      <c r="J2" s="27">
        <v>1.0</v>
      </c>
    </row>
    <row r="3">
      <c r="A3" s="24" t="s">
        <v>48</v>
      </c>
      <c r="B3" s="27">
        <v>26.7232</v>
      </c>
      <c r="C3" s="27">
        <v>92.0801</v>
      </c>
      <c r="D3" s="27">
        <v>288.6</v>
      </c>
      <c r="E3" s="27">
        <v>20.0</v>
      </c>
      <c r="F3" s="27">
        <v>3240.0</v>
      </c>
      <c r="G3" s="27">
        <v>20.0</v>
      </c>
      <c r="H3" s="27">
        <v>32.0</v>
      </c>
      <c r="J3" s="27">
        <v>1.0</v>
      </c>
      <c r="K3" s="27">
        <v>38.73779567137154</v>
      </c>
      <c r="L3" s="27">
        <v>0.0</v>
      </c>
      <c r="M3" s="24" t="s">
        <v>239</v>
      </c>
    </row>
    <row r="4">
      <c r="A4" s="24" t="s">
        <v>71</v>
      </c>
      <c r="B4" s="27">
        <v>26.11</v>
      </c>
      <c r="C4" s="27">
        <v>91.53</v>
      </c>
      <c r="D4" s="27">
        <v>540.2</v>
      </c>
      <c r="E4" s="27">
        <v>36.0</v>
      </c>
      <c r="F4" s="27">
        <v>3240.0</v>
      </c>
      <c r="G4" s="27">
        <v>36.0</v>
      </c>
      <c r="H4" s="27">
        <v>32.0</v>
      </c>
      <c r="J4" s="27">
        <v>1.0</v>
      </c>
      <c r="K4" s="27">
        <v>46.33114618140098</v>
      </c>
      <c r="L4" s="27">
        <v>0.0</v>
      </c>
      <c r="M4" s="24" t="s">
        <v>303</v>
      </c>
    </row>
    <row r="5">
      <c r="A5" s="24" t="s">
        <v>47</v>
      </c>
      <c r="B5" s="27">
        <v>26.411</v>
      </c>
      <c r="C5" s="27">
        <v>91.972</v>
      </c>
      <c r="D5" s="27">
        <v>577.2</v>
      </c>
      <c r="E5" s="27">
        <v>20.0</v>
      </c>
      <c r="F5" s="27">
        <v>3240.0</v>
      </c>
      <c r="G5" s="27">
        <v>20.0</v>
      </c>
      <c r="H5" s="27">
        <v>32.0</v>
      </c>
      <c r="J5" s="27">
        <v>1.0</v>
      </c>
      <c r="K5" s="27">
        <v>52.57855162107353</v>
      </c>
      <c r="L5" s="27">
        <v>0.0</v>
      </c>
      <c r="M5" s="24" t="s">
        <v>239</v>
      </c>
    </row>
    <row r="6">
      <c r="A6" s="24" t="s">
        <v>53</v>
      </c>
      <c r="B6" s="27">
        <v>28.0626</v>
      </c>
      <c r="C6" s="27">
        <v>95.3298</v>
      </c>
      <c r="D6" s="27">
        <v>170.2</v>
      </c>
      <c r="E6" s="27">
        <v>24.0</v>
      </c>
      <c r="F6" s="27">
        <v>3240.0</v>
      </c>
      <c r="G6" s="27">
        <v>24.0</v>
      </c>
      <c r="H6" s="27">
        <v>32.0</v>
      </c>
      <c r="J6" s="27">
        <v>1.0</v>
      </c>
      <c r="K6" s="27">
        <v>59.121216466495696</v>
      </c>
      <c r="L6" s="27">
        <v>0.0</v>
      </c>
      <c r="M6" s="24" t="s">
        <v>253</v>
      </c>
    </row>
    <row r="7">
      <c r="A7" s="24" t="s">
        <v>31</v>
      </c>
      <c r="B7" s="27">
        <v>27.576</v>
      </c>
      <c r="C7" s="27">
        <v>94.503</v>
      </c>
      <c r="D7" s="27">
        <v>414.4</v>
      </c>
      <c r="E7" s="27">
        <v>7.0</v>
      </c>
      <c r="F7" s="27">
        <v>3240.0</v>
      </c>
      <c r="G7" s="27">
        <v>7.0</v>
      </c>
      <c r="H7" s="27">
        <v>32.0</v>
      </c>
      <c r="J7" s="27">
        <v>1.0</v>
      </c>
      <c r="K7" s="27">
        <v>60.36438410958277</v>
      </c>
      <c r="L7" s="27">
        <v>0.0</v>
      </c>
      <c r="M7" s="24" t="s">
        <v>202</v>
      </c>
    </row>
    <row r="8">
      <c r="A8" s="24" t="s">
        <v>30</v>
      </c>
      <c r="B8" s="27">
        <v>27.161</v>
      </c>
      <c r="C8" s="27">
        <v>93.679</v>
      </c>
      <c r="D8" s="27">
        <v>773.3</v>
      </c>
      <c r="E8" s="27">
        <v>6.0</v>
      </c>
      <c r="F8" s="27">
        <v>3240.0</v>
      </c>
      <c r="G8" s="27">
        <v>6.0</v>
      </c>
      <c r="H8" s="27">
        <v>32.0</v>
      </c>
      <c r="J8" s="27">
        <v>1.0</v>
      </c>
      <c r="K8" s="27">
        <v>60.77731895717591</v>
      </c>
      <c r="L8" s="27">
        <v>0.0</v>
      </c>
      <c r="M8" s="24" t="s">
        <v>199</v>
      </c>
    </row>
    <row r="9">
      <c r="A9" s="24" t="s">
        <v>63</v>
      </c>
      <c r="B9" s="27">
        <v>26.705</v>
      </c>
      <c r="C9" s="27">
        <v>92.766</v>
      </c>
      <c r="D9" s="27">
        <v>928.7</v>
      </c>
      <c r="E9" s="27">
        <v>29.0</v>
      </c>
      <c r="F9" s="27">
        <v>3240.0</v>
      </c>
      <c r="G9" s="27">
        <v>29.0</v>
      </c>
      <c r="H9" s="27">
        <v>32.0</v>
      </c>
      <c r="J9" s="27">
        <v>1.0</v>
      </c>
      <c r="K9" s="27">
        <v>61.36342425037293</v>
      </c>
      <c r="L9" s="27">
        <v>0.0</v>
      </c>
      <c r="M9" s="24" t="s">
        <v>277</v>
      </c>
    </row>
    <row r="10">
      <c r="A10" s="24" t="s">
        <v>32</v>
      </c>
      <c r="B10" s="27">
        <v>27.221</v>
      </c>
      <c r="C10" s="27">
        <v>94.079</v>
      </c>
      <c r="D10" s="27">
        <v>617.9</v>
      </c>
      <c r="E10" s="27">
        <v>7.0</v>
      </c>
      <c r="F10" s="27">
        <v>3240.0</v>
      </c>
      <c r="G10" s="27">
        <v>7.0</v>
      </c>
      <c r="H10" s="27">
        <v>32.0</v>
      </c>
      <c r="J10" s="27">
        <v>1.0</v>
      </c>
      <c r="K10" s="27">
        <v>63.37144267363266</v>
      </c>
      <c r="L10" s="27">
        <v>0.0</v>
      </c>
      <c r="M10" s="24" t="s">
        <v>202</v>
      </c>
    </row>
    <row r="11">
      <c r="A11" s="24" t="s">
        <v>59</v>
      </c>
      <c r="B11" s="27">
        <v>27.43</v>
      </c>
      <c r="C11" s="27">
        <v>94.97</v>
      </c>
      <c r="D11" s="27">
        <v>540.2</v>
      </c>
      <c r="E11" s="27">
        <v>26.0</v>
      </c>
      <c r="F11" s="27">
        <v>3240.0</v>
      </c>
      <c r="G11" s="27">
        <v>26.0</v>
      </c>
      <c r="H11" s="27">
        <v>32.0</v>
      </c>
      <c r="J11" s="27">
        <v>1.0</v>
      </c>
      <c r="K11" s="27">
        <v>65.9215162543635</v>
      </c>
      <c r="L11" s="27">
        <v>0.0</v>
      </c>
      <c r="M11" s="24" t="s">
        <v>264</v>
      </c>
    </row>
    <row r="12">
      <c r="A12" s="24" t="s">
        <v>57</v>
      </c>
      <c r="B12" s="27">
        <v>27.479</v>
      </c>
      <c r="C12" s="27">
        <v>95.307</v>
      </c>
      <c r="D12" s="27">
        <v>403.3</v>
      </c>
      <c r="E12" s="27">
        <v>26.0</v>
      </c>
      <c r="F12" s="27">
        <v>3240.0</v>
      </c>
      <c r="G12" s="27">
        <v>26.0</v>
      </c>
      <c r="H12" s="27">
        <v>32.0</v>
      </c>
      <c r="J12" s="27">
        <v>1.0</v>
      </c>
      <c r="K12" s="27">
        <v>67.00487348803449</v>
      </c>
      <c r="L12" s="27">
        <v>0.0</v>
      </c>
      <c r="M12" s="24" t="s">
        <v>264</v>
      </c>
    </row>
    <row r="13">
      <c r="A13" s="24" t="s">
        <v>58</v>
      </c>
      <c r="B13" s="27">
        <v>27.492</v>
      </c>
      <c r="C13" s="27">
        <v>95.443</v>
      </c>
      <c r="D13" s="27">
        <v>662.3</v>
      </c>
      <c r="E13" s="27">
        <v>26.0</v>
      </c>
      <c r="F13" s="27">
        <v>3240.0</v>
      </c>
      <c r="G13" s="27">
        <v>26.0</v>
      </c>
      <c r="H13" s="27">
        <v>32.0</v>
      </c>
      <c r="J13" s="27">
        <v>1.0</v>
      </c>
      <c r="K13" s="27">
        <v>67.4866587361588</v>
      </c>
      <c r="L13" s="27">
        <v>0.0</v>
      </c>
      <c r="M13" s="24" t="s">
        <v>264</v>
      </c>
    </row>
    <row r="14">
      <c r="A14" s="24" t="s">
        <v>25</v>
      </c>
      <c r="B14" s="27">
        <v>27.259</v>
      </c>
      <c r="C14" s="27">
        <v>94.9109</v>
      </c>
      <c r="D14" s="27">
        <v>203.5</v>
      </c>
      <c r="E14" s="27">
        <v>3.0</v>
      </c>
      <c r="F14" s="27">
        <v>3240.0</v>
      </c>
      <c r="G14" s="27">
        <v>3.0</v>
      </c>
      <c r="H14" s="27">
        <v>32.0</v>
      </c>
      <c r="J14" s="27">
        <v>1.0</v>
      </c>
      <c r="K14" s="27">
        <v>68.36079311237671</v>
      </c>
      <c r="L14" s="27">
        <v>0.0</v>
      </c>
      <c r="M14" s="24" t="s">
        <v>189</v>
      </c>
    </row>
    <row r="15">
      <c r="A15" s="24" t="s">
        <v>62</v>
      </c>
      <c r="B15" s="27">
        <v>26.18</v>
      </c>
      <c r="C15" s="27">
        <v>91.74</v>
      </c>
      <c r="D15" s="27">
        <v>743.7</v>
      </c>
      <c r="E15" s="27">
        <v>29.0</v>
      </c>
      <c r="F15" s="27">
        <v>3240.0</v>
      </c>
      <c r="G15" s="27">
        <v>29.0</v>
      </c>
      <c r="H15" s="27">
        <v>32.0</v>
      </c>
      <c r="J15" s="27">
        <v>1.0</v>
      </c>
      <c r="K15" s="27">
        <v>68.63948247491516</v>
      </c>
      <c r="L15" s="27">
        <v>0.0</v>
      </c>
      <c r="M15" s="24" t="s">
        <v>277</v>
      </c>
    </row>
    <row r="16">
      <c r="A16" s="24" t="s">
        <v>52</v>
      </c>
      <c r="B16" s="27">
        <v>26.9826</v>
      </c>
      <c r="C16" s="27">
        <v>94.1564</v>
      </c>
      <c r="D16" s="27">
        <v>103.6</v>
      </c>
      <c r="E16" s="27">
        <v>24.0</v>
      </c>
      <c r="F16" s="27">
        <v>3240.0</v>
      </c>
      <c r="G16" s="27">
        <v>24.0</v>
      </c>
      <c r="H16" s="27">
        <v>32.0</v>
      </c>
      <c r="J16" s="27">
        <v>1.0</v>
      </c>
      <c r="K16" s="27">
        <v>68.96214356415442</v>
      </c>
      <c r="L16" s="27">
        <v>0.0</v>
      </c>
      <c r="M16" s="24" t="s">
        <v>253</v>
      </c>
    </row>
    <row r="17">
      <c r="A17" s="24" t="s">
        <v>26</v>
      </c>
      <c r="B17" s="27">
        <v>27.3013</v>
      </c>
      <c r="C17" s="27">
        <v>95.273</v>
      </c>
      <c r="D17" s="27">
        <v>347.8</v>
      </c>
      <c r="E17" s="27">
        <v>3.0</v>
      </c>
      <c r="F17" s="27">
        <v>3240.0</v>
      </c>
      <c r="G17" s="27">
        <v>3.0</v>
      </c>
      <c r="H17" s="27">
        <v>32.0</v>
      </c>
      <c r="J17" s="27">
        <v>1.0</v>
      </c>
      <c r="K17" s="27">
        <v>69.49728609398306</v>
      </c>
      <c r="L17" s="27">
        <v>0.0</v>
      </c>
      <c r="M17" s="24" t="s">
        <v>189</v>
      </c>
    </row>
    <row r="18">
      <c r="A18" s="24" t="s">
        <v>24</v>
      </c>
      <c r="B18" s="27">
        <v>27.022</v>
      </c>
      <c r="C18" s="27">
        <v>94.667</v>
      </c>
      <c r="D18" s="27">
        <v>662.3</v>
      </c>
      <c r="E18" s="27">
        <v>3.0</v>
      </c>
      <c r="F18" s="27">
        <v>3240.0</v>
      </c>
      <c r="G18" s="27">
        <v>3.0</v>
      </c>
      <c r="H18" s="27">
        <v>32.0</v>
      </c>
      <c r="J18" s="27">
        <v>1.0</v>
      </c>
      <c r="K18" s="27">
        <v>71.22237940499116</v>
      </c>
      <c r="L18" s="27">
        <v>0.0</v>
      </c>
      <c r="M18" s="24" t="s">
        <v>189</v>
      </c>
    </row>
    <row r="19">
      <c r="A19" s="24" t="s">
        <v>51</v>
      </c>
      <c r="B19" s="27">
        <v>26.777</v>
      </c>
      <c r="C19" s="27">
        <v>94.231</v>
      </c>
      <c r="D19" s="27">
        <v>1073.0</v>
      </c>
      <c r="E19" s="27">
        <v>23.0</v>
      </c>
      <c r="F19" s="27">
        <v>3240.0</v>
      </c>
      <c r="G19" s="27">
        <v>23.0</v>
      </c>
      <c r="H19" s="27">
        <v>32.0</v>
      </c>
      <c r="J19" s="27">
        <v>1.0</v>
      </c>
      <c r="K19" s="27">
        <v>73.88752536497378</v>
      </c>
      <c r="L19" s="27">
        <v>0.0</v>
      </c>
      <c r="M19" s="24" t="s">
        <v>250</v>
      </c>
    </row>
    <row r="20">
      <c r="A20" s="24" t="s">
        <v>27</v>
      </c>
      <c r="B20" s="27">
        <v>26.486</v>
      </c>
      <c r="C20" s="27">
        <v>93.978</v>
      </c>
      <c r="D20" s="27">
        <v>536.5</v>
      </c>
      <c r="E20" s="27">
        <v>4.0</v>
      </c>
      <c r="F20" s="27">
        <v>3240.0</v>
      </c>
      <c r="G20" s="27">
        <v>4.0</v>
      </c>
      <c r="H20" s="27">
        <v>32.0</v>
      </c>
      <c r="J20" s="27">
        <v>1.0</v>
      </c>
      <c r="K20" s="27">
        <v>79.6114843705152</v>
      </c>
      <c r="L20" s="27">
        <v>0.0</v>
      </c>
      <c r="M20" s="24" t="s">
        <v>193</v>
      </c>
    </row>
    <row r="21">
      <c r="A21" s="24" t="s">
        <v>69</v>
      </c>
      <c r="B21" s="27">
        <v>26.134</v>
      </c>
      <c r="C21" s="27">
        <v>91.821</v>
      </c>
      <c r="D21" s="27">
        <v>540.2</v>
      </c>
      <c r="E21" s="27">
        <v>34.0</v>
      </c>
      <c r="F21" s="27">
        <v>3240.0</v>
      </c>
      <c r="G21" s="27">
        <v>34.0</v>
      </c>
      <c r="H21" s="27">
        <v>32.0</v>
      </c>
      <c r="J21" s="27">
        <v>1.0</v>
      </c>
      <c r="K21" s="27">
        <v>83.5370923318523</v>
      </c>
      <c r="L21" s="27">
        <v>0.0</v>
      </c>
      <c r="M21" s="24" t="s">
        <v>297</v>
      </c>
    </row>
    <row r="22">
      <c r="A22" s="24" t="s">
        <v>67</v>
      </c>
      <c r="B22" s="27">
        <v>26.3302</v>
      </c>
      <c r="C22" s="27">
        <v>94.5263</v>
      </c>
      <c r="D22" s="27">
        <v>62.9</v>
      </c>
      <c r="E22" s="27">
        <v>32.0</v>
      </c>
      <c r="F22" s="27">
        <v>3240.0</v>
      </c>
      <c r="G22" s="27">
        <v>32.0</v>
      </c>
      <c r="H22" s="27">
        <v>32.0</v>
      </c>
      <c r="J22" s="27">
        <v>1.0</v>
      </c>
      <c r="K22" s="27">
        <v>84.53864115092631</v>
      </c>
      <c r="L22" s="27">
        <v>0.0</v>
      </c>
      <c r="M22" s="24" t="s">
        <v>291</v>
      </c>
    </row>
    <row r="23">
      <c r="A23" s="24" t="s">
        <v>28</v>
      </c>
      <c r="B23" s="27">
        <v>26.2833</v>
      </c>
      <c r="C23" s="27">
        <v>93.8843</v>
      </c>
      <c r="D23" s="27">
        <v>162.8</v>
      </c>
      <c r="E23" s="27">
        <v>4.0</v>
      </c>
      <c r="F23" s="27">
        <v>3240.0</v>
      </c>
      <c r="G23" s="27">
        <v>4.0</v>
      </c>
      <c r="H23" s="27">
        <v>32.0</v>
      </c>
      <c r="J23" s="27">
        <v>1.0</v>
      </c>
      <c r="K23" s="27">
        <v>84.64246565145163</v>
      </c>
      <c r="L23" s="27">
        <v>0.0</v>
      </c>
      <c r="M23" s="24" t="s">
        <v>193</v>
      </c>
    </row>
    <row r="24">
      <c r="A24" s="24" t="s">
        <v>70</v>
      </c>
      <c r="B24" s="27">
        <v>26.1222</v>
      </c>
      <c r="C24" s="27">
        <v>91.8097</v>
      </c>
      <c r="D24" s="27">
        <v>540.2</v>
      </c>
      <c r="E24" s="27">
        <v>35.0</v>
      </c>
      <c r="F24" s="27">
        <v>3240.0</v>
      </c>
      <c r="G24" s="27">
        <v>35.0</v>
      </c>
      <c r="H24" s="27">
        <v>32.0</v>
      </c>
      <c r="J24" s="27">
        <v>1.0</v>
      </c>
      <c r="K24" s="27">
        <v>85.89298643316022</v>
      </c>
      <c r="L24" s="27">
        <v>0.0</v>
      </c>
      <c r="M24" s="24" t="s">
        <v>300</v>
      </c>
    </row>
    <row r="25">
      <c r="A25" s="24" t="s">
        <v>68</v>
      </c>
      <c r="B25" s="27">
        <v>26.1022</v>
      </c>
      <c r="C25" s="27">
        <v>91.6862</v>
      </c>
      <c r="D25" s="27">
        <v>540.2</v>
      </c>
      <c r="E25" s="27">
        <v>33.0</v>
      </c>
      <c r="F25" s="27">
        <v>3240.0</v>
      </c>
      <c r="G25" s="27">
        <v>33.0</v>
      </c>
      <c r="H25" s="27">
        <v>32.0</v>
      </c>
      <c r="J25" s="27">
        <v>1.0</v>
      </c>
      <c r="K25" s="27">
        <v>90.66777614445392</v>
      </c>
      <c r="L25" s="27">
        <v>0.0</v>
      </c>
      <c r="M25" s="24" t="s">
        <v>294</v>
      </c>
    </row>
    <row r="26">
      <c r="A26" s="24" t="s">
        <v>37</v>
      </c>
      <c r="B26" s="27">
        <v>25.903</v>
      </c>
      <c r="C26" s="27">
        <v>93.7</v>
      </c>
      <c r="D26" s="27">
        <v>643.8</v>
      </c>
      <c r="E26" s="27">
        <v>15.0</v>
      </c>
      <c r="F26" s="27">
        <v>3240.0</v>
      </c>
      <c r="G26" s="27">
        <v>15.0</v>
      </c>
      <c r="H26" s="27">
        <v>32.0</v>
      </c>
      <c r="J26" s="27">
        <v>1.0</v>
      </c>
      <c r="K26" s="27">
        <v>95.38734948198328</v>
      </c>
      <c r="L26" s="27">
        <v>0.0</v>
      </c>
      <c r="M26" s="24" t="s">
        <v>216</v>
      </c>
    </row>
    <row r="27">
      <c r="A27" s="24" t="s">
        <v>40</v>
      </c>
      <c r="B27" s="27">
        <v>25.937</v>
      </c>
      <c r="C27" s="27">
        <v>92.954</v>
      </c>
      <c r="D27" s="27">
        <v>462.5</v>
      </c>
      <c r="E27" s="27">
        <v>16.0</v>
      </c>
      <c r="F27" s="27">
        <v>3240.0</v>
      </c>
      <c r="G27" s="27">
        <v>16.0</v>
      </c>
      <c r="H27" s="27">
        <v>32.0</v>
      </c>
      <c r="J27" s="27">
        <v>1.0</v>
      </c>
      <c r="K27" s="27">
        <v>97.0850304530569</v>
      </c>
      <c r="L27" s="27">
        <v>0.0</v>
      </c>
      <c r="M27" s="24" t="s">
        <v>220</v>
      </c>
    </row>
    <row r="28">
      <c r="A28" s="24" t="s">
        <v>39</v>
      </c>
      <c r="B28" s="27">
        <v>25.843</v>
      </c>
      <c r="C28" s="27">
        <v>93.431</v>
      </c>
      <c r="D28" s="27">
        <v>277.5</v>
      </c>
      <c r="E28" s="27">
        <v>16.0</v>
      </c>
      <c r="F28" s="27">
        <v>3240.0</v>
      </c>
      <c r="G28" s="27">
        <v>16.0</v>
      </c>
      <c r="H28" s="27">
        <v>32.0</v>
      </c>
      <c r="J28" s="27">
        <v>1.0</v>
      </c>
      <c r="K28" s="27">
        <v>98.23319554325406</v>
      </c>
      <c r="L28" s="27">
        <v>0.0</v>
      </c>
      <c r="M28" s="24" t="s">
        <v>220</v>
      </c>
    </row>
    <row r="29">
      <c r="A29" s="24" t="s">
        <v>38</v>
      </c>
      <c r="B29" s="27">
        <v>25.68</v>
      </c>
      <c r="C29" s="27">
        <v>94.124</v>
      </c>
      <c r="D29" s="27">
        <v>155.4</v>
      </c>
      <c r="E29" s="27">
        <v>15.0</v>
      </c>
      <c r="F29" s="27">
        <v>3240.0</v>
      </c>
      <c r="G29" s="27">
        <v>15.0</v>
      </c>
      <c r="H29" s="27">
        <v>32.0</v>
      </c>
      <c r="J29" s="27">
        <v>1.0</v>
      </c>
      <c r="K29" s="27">
        <v>99.7010313247244</v>
      </c>
      <c r="L29" s="27">
        <v>0.0</v>
      </c>
      <c r="M29" s="24" t="s">
        <v>216</v>
      </c>
    </row>
    <row r="30">
      <c r="A30" s="24" t="s">
        <v>61</v>
      </c>
      <c r="B30" s="27">
        <v>26.053</v>
      </c>
      <c r="C30" s="27">
        <v>91.84</v>
      </c>
      <c r="D30" s="27">
        <v>388.5</v>
      </c>
      <c r="E30" s="27">
        <v>28.0</v>
      </c>
      <c r="F30" s="27">
        <v>3240.0</v>
      </c>
      <c r="G30" s="27">
        <v>28.0</v>
      </c>
      <c r="H30" s="27">
        <v>32.0</v>
      </c>
      <c r="J30" s="27">
        <v>1.0</v>
      </c>
      <c r="K30" s="27">
        <v>100.08536510808528</v>
      </c>
      <c r="L30" s="27">
        <v>0.0</v>
      </c>
      <c r="M30" s="24" t="s">
        <v>273</v>
      </c>
    </row>
    <row r="31">
      <c r="A31" s="24" t="s">
        <v>33</v>
      </c>
      <c r="B31" s="27">
        <v>25.296</v>
      </c>
      <c r="C31" s="27">
        <v>93.008</v>
      </c>
      <c r="D31" s="27">
        <v>130.0</v>
      </c>
      <c r="E31" s="27">
        <v>8.0</v>
      </c>
      <c r="F31" s="27">
        <v>3240.0</v>
      </c>
      <c r="G31" s="27">
        <v>8.0</v>
      </c>
      <c r="H31" s="27">
        <v>32.0</v>
      </c>
      <c r="J31" s="27">
        <v>1.0</v>
      </c>
      <c r="K31" s="27">
        <v>120.80167996644224</v>
      </c>
      <c r="L31" s="27">
        <v>0.0</v>
      </c>
      <c r="M31" s="24" t="s">
        <v>206</v>
      </c>
    </row>
    <row r="32">
      <c r="A32" s="24" t="s">
        <v>29</v>
      </c>
      <c r="B32" s="27">
        <v>24.747</v>
      </c>
      <c r="C32" s="27">
        <v>93.934</v>
      </c>
      <c r="D32" s="27">
        <v>484.7</v>
      </c>
      <c r="E32" s="27">
        <v>5.0</v>
      </c>
      <c r="F32" s="27">
        <v>3240.0</v>
      </c>
      <c r="G32" s="27">
        <v>5.0</v>
      </c>
      <c r="H32" s="27">
        <v>32.0</v>
      </c>
      <c r="J32" s="27">
        <v>1.0</v>
      </c>
      <c r="K32" s="27">
        <v>121.40898407487992</v>
      </c>
      <c r="L32" s="27">
        <v>0.0</v>
      </c>
      <c r="M32" s="24" t="s">
        <v>196</v>
      </c>
    </row>
    <row r="33">
      <c r="A33" s="24" t="s">
        <v>60</v>
      </c>
      <c r="B33" s="27">
        <v>25.463</v>
      </c>
      <c r="C33" s="27">
        <v>92.223</v>
      </c>
      <c r="D33" s="27">
        <v>244.0</v>
      </c>
      <c r="E33" s="27">
        <v>27.0</v>
      </c>
      <c r="F33" s="27">
        <v>3240.0</v>
      </c>
      <c r="G33" s="27">
        <v>27.0</v>
      </c>
      <c r="H33" s="27">
        <v>32.0</v>
      </c>
      <c r="J33" s="27">
        <v>1.0</v>
      </c>
      <c r="K33" s="27">
        <v>135.32898041033832</v>
      </c>
      <c r="L33" s="27">
        <v>0.0</v>
      </c>
      <c r="M33" s="24" t="s">
        <v>270</v>
      </c>
    </row>
    <row r="34">
      <c r="A34" s="24" t="s">
        <v>20</v>
      </c>
      <c r="B34" s="27">
        <v>24.832</v>
      </c>
      <c r="C34" s="27">
        <v>92.775</v>
      </c>
      <c r="D34" s="27">
        <v>877.0</v>
      </c>
      <c r="E34" s="27">
        <v>1.0</v>
      </c>
      <c r="F34" s="27">
        <v>3240.0</v>
      </c>
      <c r="G34" s="27">
        <v>1.0</v>
      </c>
      <c r="H34" s="27">
        <v>32.0</v>
      </c>
      <c r="J34" s="27">
        <v>1.0</v>
      </c>
      <c r="K34" s="27">
        <v>138.10381503180258</v>
      </c>
      <c r="L34" s="27">
        <v>0.0</v>
      </c>
      <c r="M34" s="24" t="s">
        <v>181</v>
      </c>
    </row>
    <row r="35">
      <c r="A35" s="24" t="s">
        <v>22</v>
      </c>
      <c r="B35" s="27">
        <v>24.865</v>
      </c>
      <c r="C35" s="27">
        <v>92.565</v>
      </c>
      <c r="D35" s="27">
        <v>278.0</v>
      </c>
      <c r="E35" s="27">
        <v>2.0</v>
      </c>
      <c r="F35" s="27">
        <v>3240.0</v>
      </c>
      <c r="G35" s="27">
        <v>2.0</v>
      </c>
      <c r="H35" s="27">
        <v>32.0</v>
      </c>
      <c r="J35" s="27">
        <v>1.0</v>
      </c>
      <c r="K35" s="27">
        <v>142.56973249445502</v>
      </c>
      <c r="L35" s="27">
        <v>0.0</v>
      </c>
      <c r="M35" s="24" t="s">
        <v>185</v>
      </c>
    </row>
    <row r="36">
      <c r="A36" s="24" t="s">
        <v>21</v>
      </c>
      <c r="B36" s="27">
        <v>24.718</v>
      </c>
      <c r="C36" s="27">
        <v>92.574</v>
      </c>
      <c r="D36" s="27">
        <v>241.0</v>
      </c>
      <c r="E36" s="27">
        <v>1.0</v>
      </c>
      <c r="F36" s="27">
        <v>3240.0</v>
      </c>
      <c r="G36" s="27">
        <v>1.0</v>
      </c>
      <c r="H36" s="27">
        <v>32.0</v>
      </c>
      <c r="J36" s="27">
        <v>1.0</v>
      </c>
      <c r="K36" s="27">
        <v>145.36450348241465</v>
      </c>
      <c r="L36" s="27">
        <v>0.0</v>
      </c>
      <c r="M36" s="24" t="s">
        <v>181</v>
      </c>
    </row>
    <row r="37">
      <c r="A37" s="24" t="s">
        <v>23</v>
      </c>
      <c r="B37" s="27">
        <v>24.815</v>
      </c>
      <c r="C37" s="27">
        <v>92.378</v>
      </c>
      <c r="D37" s="27">
        <v>455.0</v>
      </c>
      <c r="E37" s="27">
        <v>2.0</v>
      </c>
      <c r="F37" s="27">
        <v>3240.0</v>
      </c>
      <c r="G37" s="27">
        <v>2.0</v>
      </c>
      <c r="H37" s="27">
        <v>32.0</v>
      </c>
      <c r="J37" s="27">
        <v>1.0</v>
      </c>
      <c r="K37" s="27">
        <v>148.89820415786733</v>
      </c>
      <c r="L37" s="27">
        <v>0.0</v>
      </c>
      <c r="M37" s="24" t="s">
        <v>185</v>
      </c>
    </row>
    <row r="38">
      <c r="A38" s="24" t="s">
        <v>34</v>
      </c>
      <c r="B38" s="27">
        <v>25.584</v>
      </c>
      <c r="C38" s="27">
        <v>91.863</v>
      </c>
      <c r="D38" s="27">
        <v>836.0</v>
      </c>
      <c r="E38" s="27">
        <v>9.0</v>
      </c>
      <c r="F38" s="27">
        <v>3240.0</v>
      </c>
      <c r="G38" s="27">
        <v>9.0</v>
      </c>
      <c r="H38" s="27">
        <v>32.0</v>
      </c>
      <c r="J38" s="27">
        <v>1.0</v>
      </c>
      <c r="K38" s="27">
        <v>149.4509960009786</v>
      </c>
      <c r="L38" s="27">
        <v>0.0</v>
      </c>
      <c r="M38" s="24" t="s">
        <v>209</v>
      </c>
    </row>
    <row r="39">
      <c r="A39" s="24" t="s">
        <v>49</v>
      </c>
      <c r="B39" s="27">
        <v>23.742</v>
      </c>
      <c r="C39" s="27">
        <v>92.736</v>
      </c>
      <c r="D39" s="27">
        <v>566.0</v>
      </c>
      <c r="E39" s="27">
        <v>21.0</v>
      </c>
      <c r="F39" s="27">
        <v>3240.0</v>
      </c>
      <c r="G39" s="27">
        <v>21.0</v>
      </c>
      <c r="H39" s="27">
        <v>24.0</v>
      </c>
      <c r="J39" s="27">
        <v>1.0</v>
      </c>
      <c r="K39" s="27">
        <v>154.76947740652872</v>
      </c>
      <c r="L39" s="27">
        <v>0.0</v>
      </c>
      <c r="M39" s="24" t="s">
        <v>244</v>
      </c>
    </row>
    <row r="40">
      <c r="A40" s="24" t="s">
        <v>54</v>
      </c>
      <c r="B40" s="27">
        <v>24.363</v>
      </c>
      <c r="C40" s="27">
        <v>92.16</v>
      </c>
      <c r="D40" s="27">
        <v>633.0</v>
      </c>
      <c r="E40" s="27">
        <v>25.0</v>
      </c>
      <c r="F40" s="27">
        <v>3240.0</v>
      </c>
      <c r="G40" s="27">
        <v>25.0</v>
      </c>
      <c r="H40" s="27">
        <v>32.0</v>
      </c>
      <c r="J40" s="27">
        <v>1.0</v>
      </c>
      <c r="K40" s="27">
        <v>161.55045357188988</v>
      </c>
      <c r="L40" s="27">
        <v>0.0</v>
      </c>
      <c r="M40" s="24" t="s">
        <v>258</v>
      </c>
    </row>
    <row r="41">
      <c r="A41" s="24" t="s">
        <v>55</v>
      </c>
      <c r="B41" s="27">
        <v>23.843</v>
      </c>
      <c r="C41" s="27">
        <v>91.641</v>
      </c>
      <c r="D41" s="27">
        <v>300.0</v>
      </c>
      <c r="E41" s="27">
        <v>25.0</v>
      </c>
      <c r="F41" s="27">
        <v>3240.0</v>
      </c>
      <c r="G41" s="27">
        <v>25.0</v>
      </c>
      <c r="H41" s="27">
        <v>32.0</v>
      </c>
      <c r="J41" s="27">
        <v>1.0</v>
      </c>
      <c r="K41" s="27">
        <v>177.2662788679187</v>
      </c>
      <c r="L41" s="27">
        <v>0.0</v>
      </c>
      <c r="M41" s="24" t="s">
        <v>258</v>
      </c>
    </row>
    <row r="42">
      <c r="A42" s="24" t="s">
        <v>56</v>
      </c>
      <c r="B42" s="27">
        <v>23.53</v>
      </c>
      <c r="C42" s="27">
        <v>91.469</v>
      </c>
      <c r="D42" s="27">
        <v>311.0</v>
      </c>
      <c r="E42" s="27">
        <v>25.0</v>
      </c>
      <c r="F42" s="27">
        <v>3240.0</v>
      </c>
      <c r="G42" s="27">
        <v>25.0</v>
      </c>
      <c r="H42" s="27">
        <v>32.0</v>
      </c>
      <c r="J42" s="27">
        <v>1.0</v>
      </c>
      <c r="K42" s="27">
        <v>181.10230268851575</v>
      </c>
      <c r="L42" s="27">
        <v>0.0</v>
      </c>
      <c r="M42" s="24" t="s">
        <v>258</v>
      </c>
    </row>
    <row r="43">
      <c r="A43" s="24" t="s">
        <v>50</v>
      </c>
      <c r="B43" s="27">
        <v>23.812</v>
      </c>
      <c r="C43" s="27">
        <v>91.344</v>
      </c>
      <c r="D43" s="27">
        <v>1554.0</v>
      </c>
      <c r="E43" s="27">
        <v>22.0</v>
      </c>
      <c r="F43" s="27">
        <v>3240.0</v>
      </c>
      <c r="G43" s="27">
        <v>22.0</v>
      </c>
      <c r="H43" s="27">
        <v>32.0</v>
      </c>
      <c r="J43" s="27">
        <v>1.0</v>
      </c>
      <c r="K43" s="27">
        <v>184.0880996059153</v>
      </c>
      <c r="L43" s="27">
        <v>0.0</v>
      </c>
      <c r="M43" s="24" t="s">
        <v>247</v>
      </c>
    </row>
    <row r="44">
      <c r="A44" s="24" t="s">
        <v>44</v>
      </c>
      <c r="B44" s="27">
        <v>25.969</v>
      </c>
      <c r="C44" s="27">
        <v>91.224</v>
      </c>
      <c r="D44" s="27">
        <v>359.0</v>
      </c>
      <c r="E44" s="27">
        <v>18.0</v>
      </c>
      <c r="F44" s="27">
        <v>3240.0</v>
      </c>
      <c r="G44" s="27">
        <v>18.0</v>
      </c>
      <c r="H44" s="27">
        <v>32.0</v>
      </c>
      <c r="J44" s="27">
        <v>1.0</v>
      </c>
      <c r="K44" s="27">
        <v>243.3860788449788</v>
      </c>
      <c r="L44" s="27">
        <v>0.0</v>
      </c>
      <c r="M44" s="24" t="s">
        <v>228</v>
      </c>
    </row>
    <row r="45">
      <c r="A45" s="24" t="s">
        <v>66</v>
      </c>
      <c r="B45" s="27">
        <v>25.713</v>
      </c>
      <c r="C45" s="27">
        <v>89.9</v>
      </c>
      <c r="D45" s="27">
        <v>204.0</v>
      </c>
      <c r="E45" s="27">
        <v>31.0</v>
      </c>
      <c r="F45" s="27">
        <v>3240.0</v>
      </c>
      <c r="G45" s="27">
        <v>31.0</v>
      </c>
      <c r="H45" s="27">
        <v>32.0</v>
      </c>
      <c r="J45" s="27">
        <v>1.0</v>
      </c>
      <c r="K45" s="27">
        <v>255.36191035982708</v>
      </c>
      <c r="L45" s="27">
        <v>0.0</v>
      </c>
      <c r="M45" s="24" t="s">
        <v>288</v>
      </c>
    </row>
    <row r="46">
      <c r="A46" s="24" t="s">
        <v>41</v>
      </c>
      <c r="B46" s="27">
        <v>26.08</v>
      </c>
      <c r="C46" s="27">
        <v>89.96</v>
      </c>
      <c r="D46" s="27">
        <v>263.0</v>
      </c>
      <c r="E46" s="27">
        <v>17.0</v>
      </c>
      <c r="F46" s="27">
        <v>3240.0</v>
      </c>
      <c r="G46" s="27">
        <v>17.0</v>
      </c>
      <c r="H46" s="27">
        <v>32.0</v>
      </c>
      <c r="J46" s="27">
        <v>1.0</v>
      </c>
      <c r="K46" s="27">
        <v>269.3642726310943</v>
      </c>
      <c r="L46" s="27">
        <v>0.0</v>
      </c>
      <c r="M46" s="24" t="s">
        <v>224</v>
      </c>
    </row>
    <row r="47">
      <c r="A47" s="24" t="s">
        <v>43</v>
      </c>
      <c r="B47" s="27">
        <v>26.155</v>
      </c>
      <c r="C47" s="27">
        <v>90.547</v>
      </c>
      <c r="D47" s="27">
        <v>451.0</v>
      </c>
      <c r="E47" s="27">
        <v>18.0</v>
      </c>
      <c r="F47" s="27">
        <v>3240.0</v>
      </c>
      <c r="G47" s="27">
        <v>18.0</v>
      </c>
      <c r="H47" s="27">
        <v>32.0</v>
      </c>
      <c r="J47" s="27">
        <v>1.0</v>
      </c>
      <c r="K47" s="27">
        <v>273.5458291218945</v>
      </c>
      <c r="L47" s="27">
        <v>0.0</v>
      </c>
      <c r="M47" s="24" t="s">
        <v>228</v>
      </c>
    </row>
    <row r="48">
      <c r="A48" s="24" t="s">
        <v>36</v>
      </c>
      <c r="B48" s="27">
        <v>26.325</v>
      </c>
      <c r="C48" s="27">
        <v>89.478</v>
      </c>
      <c r="D48" s="27">
        <v>603.0</v>
      </c>
      <c r="E48" s="27">
        <v>10.0</v>
      </c>
      <c r="F48" s="27">
        <v>3240.0</v>
      </c>
      <c r="G48" s="27">
        <v>10.0</v>
      </c>
      <c r="H48" s="27">
        <v>32.0</v>
      </c>
      <c r="J48" s="27">
        <v>1.0</v>
      </c>
      <c r="K48" s="27">
        <v>277.31962419644617</v>
      </c>
      <c r="L48" s="27">
        <v>0.0</v>
      </c>
      <c r="M48" s="24" t="s">
        <v>212</v>
      </c>
    </row>
    <row r="49">
      <c r="A49" s="24" t="s">
        <v>35</v>
      </c>
      <c r="B49" s="27">
        <v>26.34</v>
      </c>
      <c r="C49" s="27">
        <v>89.464</v>
      </c>
      <c r="D49" s="27">
        <v>742.0</v>
      </c>
      <c r="E49" s="27">
        <v>10.0</v>
      </c>
      <c r="F49" s="27">
        <v>3240.0</v>
      </c>
      <c r="G49" s="27">
        <v>10.0</v>
      </c>
      <c r="H49" s="27">
        <v>32.0</v>
      </c>
      <c r="J49" s="27">
        <v>1.0</v>
      </c>
      <c r="K49" s="27">
        <v>277.73523167965425</v>
      </c>
      <c r="L49" s="27">
        <v>0.0</v>
      </c>
      <c r="M49" s="24" t="s">
        <v>212</v>
      </c>
    </row>
    <row r="50">
      <c r="A50" s="24" t="s">
        <v>42</v>
      </c>
      <c r="B50" s="27">
        <v>26.45</v>
      </c>
      <c r="C50" s="27">
        <v>90.292</v>
      </c>
      <c r="D50" s="27">
        <v>466.0</v>
      </c>
      <c r="E50" s="27">
        <v>17.0</v>
      </c>
      <c r="F50" s="27">
        <v>3240.0</v>
      </c>
      <c r="G50" s="27">
        <v>17.0</v>
      </c>
      <c r="H50" s="27">
        <v>32.0</v>
      </c>
      <c r="J50" s="27">
        <v>1.0</v>
      </c>
      <c r="K50" s="27">
        <v>287.67619466855166</v>
      </c>
      <c r="L50" s="27">
        <v>0.0</v>
      </c>
      <c r="M50" s="24" t="s">
        <v>224</v>
      </c>
    </row>
    <row r="51">
      <c r="A51" s="24" t="s">
        <v>64</v>
      </c>
      <c r="B51" s="27">
        <v>26.451</v>
      </c>
      <c r="C51" s="27">
        <v>90.562</v>
      </c>
      <c r="D51" s="27">
        <v>574.0</v>
      </c>
      <c r="E51" s="27">
        <v>30.0</v>
      </c>
      <c r="F51" s="27">
        <v>3240.0</v>
      </c>
      <c r="G51" s="27">
        <v>30.0</v>
      </c>
      <c r="H51" s="27">
        <v>32.0</v>
      </c>
      <c r="J51" s="27">
        <v>1.0</v>
      </c>
      <c r="K51" s="27">
        <v>292.14672131845697</v>
      </c>
      <c r="L51" s="27">
        <v>0.0</v>
      </c>
      <c r="M51" s="24" t="s">
        <v>283</v>
      </c>
    </row>
    <row r="52">
      <c r="A52" s="24" t="s">
        <v>65</v>
      </c>
      <c r="B52" s="27">
        <v>26.363</v>
      </c>
      <c r="C52" s="27">
        <v>90.988</v>
      </c>
      <c r="D52" s="27">
        <v>448.0</v>
      </c>
      <c r="E52" s="27">
        <v>30.0</v>
      </c>
      <c r="F52" s="27">
        <v>3240.0</v>
      </c>
      <c r="G52" s="27">
        <v>30.0</v>
      </c>
      <c r="H52" s="27">
        <v>32.0</v>
      </c>
      <c r="J52" s="27">
        <v>1.0</v>
      </c>
      <c r="K52" s="27">
        <v>298.4738460936414</v>
      </c>
      <c r="L52" s="27">
        <v>0.0</v>
      </c>
      <c r="M52" s="24" t="s">
        <v>283</v>
      </c>
    </row>
    <row r="53">
      <c r="A53" s="24" t="s">
        <v>45</v>
      </c>
      <c r="B53" s="27">
        <v>26.513</v>
      </c>
      <c r="C53" s="27">
        <v>91.261</v>
      </c>
      <c r="D53" s="27">
        <v>496.0</v>
      </c>
      <c r="E53" s="27">
        <v>19.0</v>
      </c>
      <c r="F53" s="27">
        <v>3240.0</v>
      </c>
      <c r="G53" s="27">
        <v>19.0</v>
      </c>
      <c r="H53" s="27">
        <v>32.0</v>
      </c>
      <c r="J53" s="27">
        <v>1.0</v>
      </c>
      <c r="K53" s="27">
        <v>330.1920028334605</v>
      </c>
      <c r="L53" s="27">
        <v>0.0</v>
      </c>
      <c r="M53" s="24" t="s">
        <v>234</v>
      </c>
    </row>
    <row r="54">
      <c r="A54" s="24" t="s">
        <v>46</v>
      </c>
      <c r="B54" s="27">
        <v>26.513</v>
      </c>
      <c r="C54" s="27">
        <v>91.261</v>
      </c>
      <c r="D54" s="27">
        <v>529.1</v>
      </c>
      <c r="E54" s="27">
        <v>19.0</v>
      </c>
      <c r="F54" s="27">
        <v>3240.0</v>
      </c>
      <c r="G54" s="27">
        <v>19.0</v>
      </c>
      <c r="H54" s="27">
        <v>32.0</v>
      </c>
      <c r="J54" s="27">
        <v>1.0</v>
      </c>
      <c r="K54" s="27">
        <v>330.1920028334605</v>
      </c>
      <c r="L54" s="27">
        <v>0.0</v>
      </c>
      <c r="M54" s="24" t="s">
        <v>234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0"/>
    <col customWidth="1" min="2" max="2" width="11.88"/>
    <col customWidth="1" min="3" max="3" width="11.13"/>
    <col customWidth="1" min="4" max="4" width="4.38"/>
    <col customWidth="1" min="5" max="5" width="8.88"/>
    <col customWidth="1" min="6" max="6" width="19.25"/>
    <col customWidth="1" min="7" max="7" width="11.88"/>
    <col customWidth="1" min="8" max="8" width="17.38"/>
  </cols>
  <sheetData>
    <row r="1">
      <c r="A1" s="24" t="s">
        <v>170</v>
      </c>
      <c r="B1" s="24" t="s">
        <v>171</v>
      </c>
      <c r="C1" s="24" t="s">
        <v>1757</v>
      </c>
      <c r="D1" s="24" t="s">
        <v>172</v>
      </c>
      <c r="E1" s="24" t="s">
        <v>173</v>
      </c>
      <c r="F1" s="24" t="s">
        <v>174</v>
      </c>
      <c r="G1" s="24" t="s">
        <v>76</v>
      </c>
      <c r="H1" s="24" t="s">
        <v>175</v>
      </c>
      <c r="I1" s="24" t="s">
        <v>176</v>
      </c>
    </row>
    <row r="2">
      <c r="A2" s="24" t="s">
        <v>81</v>
      </c>
      <c r="B2" s="24" t="s">
        <v>241</v>
      </c>
      <c r="C2" s="24" t="s">
        <v>1758</v>
      </c>
      <c r="D2" s="27">
        <v>222.0</v>
      </c>
      <c r="E2" s="24" t="s">
        <v>239</v>
      </c>
      <c r="F2" s="27">
        <v>91575.0</v>
      </c>
      <c r="G2" s="145">
        <v>2.0</v>
      </c>
      <c r="H2" s="27">
        <v>577.2</v>
      </c>
      <c r="I2" s="27">
        <v>14.0</v>
      </c>
    </row>
    <row r="3">
      <c r="A3" s="24" t="s">
        <v>80</v>
      </c>
      <c r="B3" s="24" t="s">
        <v>238</v>
      </c>
      <c r="C3" s="24" t="s">
        <v>1759</v>
      </c>
      <c r="D3" s="27">
        <v>141.8</v>
      </c>
      <c r="E3" s="24" t="s">
        <v>239</v>
      </c>
      <c r="F3" s="27">
        <v>70191.0</v>
      </c>
      <c r="G3" s="145">
        <v>2.0</v>
      </c>
      <c r="H3" s="27">
        <v>1154.4</v>
      </c>
      <c r="I3" s="27">
        <v>20.0</v>
      </c>
    </row>
    <row r="4">
      <c r="A4" s="24" t="s">
        <v>1760</v>
      </c>
      <c r="B4" s="24" t="s">
        <v>1761</v>
      </c>
      <c r="C4" s="24" t="s">
        <v>1762</v>
      </c>
      <c r="D4" s="27">
        <v>226.5</v>
      </c>
      <c r="E4" s="24" t="s">
        <v>239</v>
      </c>
      <c r="F4" s="27">
        <v>186862.50000000003</v>
      </c>
      <c r="G4" s="145">
        <v>2.0</v>
      </c>
      <c r="H4" s="27">
        <v>1731.6</v>
      </c>
      <c r="I4" s="27">
        <v>32.0</v>
      </c>
    </row>
    <row r="5">
      <c r="A5" s="24" t="s">
        <v>82</v>
      </c>
      <c r="B5" s="24" t="s">
        <v>302</v>
      </c>
      <c r="C5" s="24" t="s">
        <v>1763</v>
      </c>
      <c r="D5" s="27">
        <v>4.0</v>
      </c>
      <c r="E5" s="24" t="s">
        <v>303</v>
      </c>
      <c r="F5" s="27">
        <v>1980.0</v>
      </c>
      <c r="G5" s="145">
        <v>2.0</v>
      </c>
      <c r="H5" s="27">
        <v>1080.4</v>
      </c>
      <c r="I5" s="27">
        <v>20.0</v>
      </c>
    </row>
    <row r="6">
      <c r="A6" s="24" t="s">
        <v>1764</v>
      </c>
      <c r="B6" s="24" t="s">
        <v>1765</v>
      </c>
      <c r="C6" s="24" t="s">
        <v>1766</v>
      </c>
      <c r="D6" s="27">
        <v>1168.0</v>
      </c>
      <c r="E6" s="24" t="s">
        <v>253</v>
      </c>
      <c r="F6" s="27">
        <v>481800.00000000006</v>
      </c>
      <c r="G6" s="145">
        <v>2.0</v>
      </c>
      <c r="H6" s="27">
        <v>340.4</v>
      </c>
      <c r="I6" s="27">
        <v>10.0</v>
      </c>
    </row>
    <row r="7">
      <c r="A7" s="24" t="s">
        <v>1767</v>
      </c>
      <c r="B7" s="24" t="s">
        <v>1768</v>
      </c>
      <c r="C7" s="24" t="s">
        <v>1769</v>
      </c>
      <c r="D7" s="27">
        <v>724.0</v>
      </c>
      <c r="E7" s="24" t="s">
        <v>253</v>
      </c>
      <c r="F7" s="27">
        <v>238920.00000000003</v>
      </c>
      <c r="G7" s="145">
        <v>2.0</v>
      </c>
      <c r="H7" s="27">
        <v>207.2</v>
      </c>
      <c r="I7" s="27">
        <v>8.0</v>
      </c>
    </row>
    <row r="8">
      <c r="A8" s="24" t="s">
        <v>83</v>
      </c>
      <c r="B8" s="24" t="s">
        <v>252</v>
      </c>
      <c r="C8" s="24" t="s">
        <v>1770</v>
      </c>
      <c r="D8" s="27">
        <v>1154.0</v>
      </c>
      <c r="E8" s="24" t="s">
        <v>253</v>
      </c>
      <c r="F8" s="27">
        <v>476025.00000000006</v>
      </c>
      <c r="G8" s="145">
        <v>2.0</v>
      </c>
      <c r="H8" s="27">
        <v>547.5999999999999</v>
      </c>
      <c r="I8" s="27">
        <v>14.0</v>
      </c>
    </row>
    <row r="9">
      <c r="A9" s="24" t="s">
        <v>1771</v>
      </c>
      <c r="B9" s="24" t="s">
        <v>1772</v>
      </c>
      <c r="C9" s="24" t="s">
        <v>1773</v>
      </c>
      <c r="D9" s="27">
        <v>928.0</v>
      </c>
      <c r="E9" s="24" t="s">
        <v>202</v>
      </c>
      <c r="F9" s="27">
        <v>459360.00000000006</v>
      </c>
      <c r="G9" s="145">
        <v>2.0</v>
      </c>
      <c r="H9" s="27">
        <v>828.8</v>
      </c>
      <c r="I9" s="27">
        <v>17.0</v>
      </c>
    </row>
    <row r="10">
      <c r="A10" s="24" t="s">
        <v>1774</v>
      </c>
      <c r="B10" s="24" t="s">
        <v>1775</v>
      </c>
      <c r="C10" s="24" t="s">
        <v>1776</v>
      </c>
      <c r="D10" s="27">
        <v>756.0</v>
      </c>
      <c r="E10" s="24" t="s">
        <v>202</v>
      </c>
      <c r="F10" s="27">
        <v>374220.00000000006</v>
      </c>
      <c r="G10" s="145">
        <v>2.0</v>
      </c>
      <c r="H10" s="27">
        <v>1235.8</v>
      </c>
      <c r="I10" s="27">
        <v>20.0</v>
      </c>
    </row>
    <row r="11">
      <c r="A11" s="24" t="s">
        <v>84</v>
      </c>
      <c r="B11" s="24" t="s">
        <v>201</v>
      </c>
      <c r="C11" s="24" t="s">
        <v>1777</v>
      </c>
      <c r="D11" s="27">
        <v>925.7</v>
      </c>
      <c r="E11" s="24" t="s">
        <v>202</v>
      </c>
      <c r="F11" s="27">
        <v>763702.5000000001</v>
      </c>
      <c r="G11" s="145">
        <v>2.0</v>
      </c>
      <c r="H11" s="27">
        <v>2064.6</v>
      </c>
      <c r="I11" s="27">
        <v>32.0</v>
      </c>
    </row>
    <row r="12">
      <c r="A12" s="24" t="s">
        <v>85</v>
      </c>
      <c r="B12" s="24" t="s">
        <v>198</v>
      </c>
      <c r="C12" s="24" t="s">
        <v>1778</v>
      </c>
      <c r="D12" s="27">
        <v>700.0</v>
      </c>
      <c r="E12" s="24" t="s">
        <v>199</v>
      </c>
      <c r="F12" s="27">
        <v>404250.00000000006</v>
      </c>
      <c r="G12" s="145">
        <v>2.0</v>
      </c>
      <c r="H12" s="27">
        <v>1546.6</v>
      </c>
      <c r="I12" s="27">
        <v>24.0</v>
      </c>
    </row>
    <row r="13">
      <c r="A13" s="24" t="s">
        <v>87</v>
      </c>
      <c r="B13" s="24" t="s">
        <v>279</v>
      </c>
      <c r="C13" s="24" t="s">
        <v>1779</v>
      </c>
      <c r="D13" s="27">
        <v>432.0</v>
      </c>
      <c r="E13" s="24" t="s">
        <v>277</v>
      </c>
      <c r="F13" s="27">
        <v>356400.0</v>
      </c>
      <c r="G13" s="145">
        <v>2.0</v>
      </c>
      <c r="H13" s="27">
        <v>1857.4</v>
      </c>
      <c r="I13" s="27">
        <v>32.0</v>
      </c>
    </row>
    <row r="14">
      <c r="A14" s="24" t="s">
        <v>86</v>
      </c>
      <c r="B14" s="24" t="s">
        <v>276</v>
      </c>
      <c r="C14" s="24" t="s">
        <v>1780</v>
      </c>
      <c r="D14" s="27">
        <v>51.8</v>
      </c>
      <c r="E14" s="24" t="s">
        <v>277</v>
      </c>
      <c r="F14" s="27">
        <v>29914.500000000004</v>
      </c>
      <c r="G14" s="145">
        <v>2.0</v>
      </c>
      <c r="H14" s="27">
        <v>1487.4</v>
      </c>
      <c r="I14" s="27">
        <v>24.0</v>
      </c>
    </row>
    <row r="15">
      <c r="A15" s="24" t="s">
        <v>1781</v>
      </c>
      <c r="B15" s="24" t="s">
        <v>1782</v>
      </c>
      <c r="C15" s="24" t="s">
        <v>1783</v>
      </c>
      <c r="D15" s="27">
        <v>432.9</v>
      </c>
      <c r="E15" s="24" t="s">
        <v>277</v>
      </c>
      <c r="F15" s="27">
        <v>649350.0</v>
      </c>
      <c r="G15" s="145">
        <v>1.0</v>
      </c>
      <c r="H15" s="27">
        <v>1672.4</v>
      </c>
      <c r="I15" s="27">
        <v>32.0</v>
      </c>
    </row>
    <row r="16">
      <c r="A16" s="24" t="s">
        <v>89</v>
      </c>
      <c r="B16" s="24" t="s">
        <v>267</v>
      </c>
      <c r="C16" s="24" t="s">
        <v>1784</v>
      </c>
      <c r="D16" s="27">
        <v>940.0</v>
      </c>
      <c r="E16" s="24" t="s">
        <v>264</v>
      </c>
      <c r="F16" s="27">
        <v>465300.00000000006</v>
      </c>
      <c r="G16" s="145">
        <v>2.0</v>
      </c>
      <c r="H16" s="27">
        <v>1080.4</v>
      </c>
      <c r="I16" s="27">
        <v>20.0</v>
      </c>
    </row>
    <row r="17">
      <c r="A17" s="24" t="s">
        <v>1785</v>
      </c>
      <c r="B17" s="24" t="s">
        <v>1786</v>
      </c>
      <c r="C17" s="24" t="s">
        <v>1787</v>
      </c>
      <c r="D17" s="27">
        <v>1008.0</v>
      </c>
      <c r="E17" s="24" t="s">
        <v>264</v>
      </c>
      <c r="F17" s="27">
        <v>498960.00000000006</v>
      </c>
      <c r="G17" s="145">
        <v>2.0</v>
      </c>
      <c r="H17" s="27">
        <v>806.6</v>
      </c>
      <c r="I17" s="27">
        <v>17.0</v>
      </c>
    </row>
    <row r="18">
      <c r="A18" s="24" t="s">
        <v>1788</v>
      </c>
      <c r="B18" s="24" t="s">
        <v>1789</v>
      </c>
      <c r="C18" s="24" t="s">
        <v>1790</v>
      </c>
      <c r="D18" s="27">
        <v>1038.0</v>
      </c>
      <c r="E18" s="24" t="s">
        <v>264</v>
      </c>
      <c r="F18" s="27">
        <v>599445.0</v>
      </c>
      <c r="G18" s="145">
        <v>2.0</v>
      </c>
      <c r="H18" s="27">
        <v>1324.6</v>
      </c>
      <c r="I18" s="27">
        <v>22.0</v>
      </c>
    </row>
    <row r="19">
      <c r="A19" s="24" t="s">
        <v>1791</v>
      </c>
      <c r="B19" s="24" t="s">
        <v>1792</v>
      </c>
      <c r="C19" s="24" t="s">
        <v>1793</v>
      </c>
      <c r="D19" s="27">
        <v>1013.5</v>
      </c>
      <c r="E19" s="24" t="s">
        <v>264</v>
      </c>
      <c r="F19" s="27">
        <v>836137.5000000001</v>
      </c>
      <c r="G19" s="145">
        <v>2.0</v>
      </c>
      <c r="H19" s="27">
        <v>1887.0</v>
      </c>
      <c r="I19" s="27">
        <v>32.0</v>
      </c>
    </row>
    <row r="20">
      <c r="A20" s="24" t="s">
        <v>1794</v>
      </c>
      <c r="B20" s="24" t="s">
        <v>1795</v>
      </c>
      <c r="C20" s="24" t="s">
        <v>1796</v>
      </c>
      <c r="D20" s="27">
        <v>1043.6</v>
      </c>
      <c r="E20" s="24" t="s">
        <v>264</v>
      </c>
      <c r="F20" s="27">
        <v>939240.0</v>
      </c>
      <c r="G20" s="145">
        <v>1.0</v>
      </c>
      <c r="H20" s="27">
        <v>1202.5</v>
      </c>
      <c r="I20" s="27">
        <v>20.0</v>
      </c>
    </row>
    <row r="21">
      <c r="A21" s="24" t="s">
        <v>88</v>
      </c>
      <c r="B21" s="24" t="s">
        <v>263</v>
      </c>
      <c r="C21" s="24" t="s">
        <v>1797</v>
      </c>
      <c r="D21" s="27">
        <v>1043.0</v>
      </c>
      <c r="E21" s="24" t="s">
        <v>264</v>
      </c>
      <c r="F21" s="27">
        <v>860475.0000000001</v>
      </c>
      <c r="G21" s="145">
        <v>2.0</v>
      </c>
      <c r="H21" s="27">
        <v>2131.2</v>
      </c>
      <c r="I21" s="27">
        <v>32.0</v>
      </c>
    </row>
    <row r="22">
      <c r="A22" s="24" t="s">
        <v>1798</v>
      </c>
      <c r="B22" s="24" t="s">
        <v>1799</v>
      </c>
      <c r="C22" s="24" t="s">
        <v>1800</v>
      </c>
      <c r="D22" s="27">
        <v>1048.5</v>
      </c>
      <c r="E22" s="24" t="s">
        <v>264</v>
      </c>
      <c r="F22" s="27">
        <v>1572750.0</v>
      </c>
      <c r="G22" s="145">
        <v>1.0</v>
      </c>
      <c r="H22" s="27">
        <v>1605.8</v>
      </c>
      <c r="I22" s="27">
        <v>32.0</v>
      </c>
    </row>
    <row r="23">
      <c r="A23" s="24" t="s">
        <v>1801</v>
      </c>
      <c r="B23" s="24" t="s">
        <v>1802</v>
      </c>
      <c r="C23" s="24" t="s">
        <v>1803</v>
      </c>
      <c r="D23" s="27">
        <v>876.0</v>
      </c>
      <c r="E23" s="24" t="s">
        <v>189</v>
      </c>
      <c r="F23" s="27">
        <v>361350.00000000006</v>
      </c>
      <c r="G23" s="145">
        <v>2.0</v>
      </c>
      <c r="H23" s="27">
        <v>407.0</v>
      </c>
      <c r="I23" s="27">
        <v>14.0</v>
      </c>
    </row>
    <row r="24">
      <c r="A24" s="24" t="s">
        <v>1804</v>
      </c>
      <c r="B24" s="24" t="s">
        <v>1805</v>
      </c>
      <c r="C24" s="24" t="s">
        <v>1806</v>
      </c>
      <c r="D24" s="27">
        <v>946.0</v>
      </c>
      <c r="E24" s="24" t="s">
        <v>189</v>
      </c>
      <c r="F24" s="27">
        <v>468270.00000000006</v>
      </c>
      <c r="G24" s="145">
        <v>2.0</v>
      </c>
      <c r="H24" s="27">
        <v>695.6</v>
      </c>
      <c r="I24" s="27">
        <v>17.0</v>
      </c>
    </row>
    <row r="25">
      <c r="A25" s="24" t="s">
        <v>1807</v>
      </c>
      <c r="B25" s="24" t="s">
        <v>1808</v>
      </c>
      <c r="C25" s="24" t="s">
        <v>1809</v>
      </c>
      <c r="D25" s="27">
        <v>784.0</v>
      </c>
      <c r="E25" s="24" t="s">
        <v>189</v>
      </c>
      <c r="F25" s="27">
        <v>452760.00000000006</v>
      </c>
      <c r="G25" s="145">
        <v>2.0</v>
      </c>
      <c r="H25" s="27">
        <v>1324.6</v>
      </c>
      <c r="I25" s="27">
        <v>22.0</v>
      </c>
    </row>
    <row r="26">
      <c r="A26" s="24" t="s">
        <v>1810</v>
      </c>
      <c r="B26" s="24" t="s">
        <v>1811</v>
      </c>
      <c r="C26" s="24" t="s">
        <v>1812</v>
      </c>
      <c r="D26" s="27">
        <v>955.4</v>
      </c>
      <c r="E26" s="24" t="s">
        <v>189</v>
      </c>
      <c r="F26" s="27">
        <v>472923.00000000006</v>
      </c>
      <c r="G26" s="145">
        <v>2.0</v>
      </c>
      <c r="H26" s="27">
        <v>1102.6</v>
      </c>
      <c r="I26" s="27">
        <v>20.0</v>
      </c>
    </row>
    <row r="27">
      <c r="A27" s="24" t="s">
        <v>1813</v>
      </c>
      <c r="B27" s="24" t="s">
        <v>1814</v>
      </c>
      <c r="C27" s="24" t="s">
        <v>1815</v>
      </c>
      <c r="D27" s="27">
        <v>881.0</v>
      </c>
      <c r="E27" s="24" t="s">
        <v>189</v>
      </c>
      <c r="F27" s="27">
        <v>726825.0000000001</v>
      </c>
      <c r="G27" s="145">
        <v>2.0</v>
      </c>
      <c r="H27" s="27">
        <v>1731.6</v>
      </c>
      <c r="I27" s="27">
        <v>32.0</v>
      </c>
    </row>
    <row r="28">
      <c r="A28" s="24" t="s">
        <v>1816</v>
      </c>
      <c r="B28" s="24" t="s">
        <v>1817</v>
      </c>
      <c r="C28" s="24" t="s">
        <v>1818</v>
      </c>
      <c r="D28" s="27">
        <v>949.2</v>
      </c>
      <c r="E28" s="24" t="s">
        <v>189</v>
      </c>
      <c r="F28" s="27">
        <v>783090.0000000001</v>
      </c>
      <c r="G28" s="145">
        <v>2.0</v>
      </c>
      <c r="H28" s="27">
        <v>2020.2</v>
      </c>
      <c r="I28" s="27">
        <v>32.0</v>
      </c>
    </row>
    <row r="29">
      <c r="A29" s="24" t="s">
        <v>90</v>
      </c>
      <c r="B29" s="24" t="s">
        <v>188</v>
      </c>
      <c r="C29" s="24" t="s">
        <v>1819</v>
      </c>
      <c r="D29" s="27">
        <v>958.6</v>
      </c>
      <c r="E29" s="24" t="s">
        <v>189</v>
      </c>
      <c r="F29" s="146">
        <v>862740.0</v>
      </c>
      <c r="G29" s="145">
        <v>1.0</v>
      </c>
      <c r="H29" s="27">
        <v>1213.6</v>
      </c>
      <c r="I29" s="27">
        <v>20.0</v>
      </c>
    </row>
    <row r="30">
      <c r="A30" s="24" t="s">
        <v>91</v>
      </c>
      <c r="B30" s="24" t="s">
        <v>249</v>
      </c>
      <c r="C30" s="24" t="s">
        <v>1820</v>
      </c>
      <c r="D30" s="27">
        <v>666.0</v>
      </c>
      <c r="E30" s="24" t="s">
        <v>250</v>
      </c>
      <c r="F30" s="146">
        <v>549450.0</v>
      </c>
      <c r="G30" s="145">
        <v>2.0</v>
      </c>
      <c r="H30" s="27">
        <v>2146.0</v>
      </c>
      <c r="I30" s="27">
        <v>32.0</v>
      </c>
    </row>
    <row r="31">
      <c r="A31" s="24" t="s">
        <v>1821</v>
      </c>
      <c r="B31" s="24" t="s">
        <v>1822</v>
      </c>
      <c r="C31" s="24" t="s">
        <v>1823</v>
      </c>
      <c r="D31" s="27">
        <v>622.0</v>
      </c>
      <c r="E31" s="24" t="s">
        <v>193</v>
      </c>
      <c r="F31" s="27">
        <v>307890.0</v>
      </c>
      <c r="G31" s="145">
        <v>2.0</v>
      </c>
      <c r="H31" s="27">
        <v>1073.0</v>
      </c>
      <c r="I31" s="27">
        <v>20.0</v>
      </c>
    </row>
    <row r="32">
      <c r="A32" s="24" t="s">
        <v>1824</v>
      </c>
      <c r="B32" s="24" t="s">
        <v>1825</v>
      </c>
      <c r="C32" s="24" t="s">
        <v>1826</v>
      </c>
      <c r="D32" s="27">
        <v>650.0</v>
      </c>
      <c r="E32" s="24" t="s">
        <v>193</v>
      </c>
      <c r="F32" s="27">
        <v>268125.0</v>
      </c>
      <c r="G32" s="145">
        <v>2.0</v>
      </c>
      <c r="H32" s="27">
        <v>325.6</v>
      </c>
      <c r="I32" s="27">
        <v>10.0</v>
      </c>
    </row>
    <row r="33">
      <c r="A33" s="24" t="s">
        <v>92</v>
      </c>
      <c r="B33" s="24" t="s">
        <v>192</v>
      </c>
      <c r="C33" s="24" t="s">
        <v>1827</v>
      </c>
      <c r="D33" s="27">
        <v>666.3</v>
      </c>
      <c r="E33" s="24" t="s">
        <v>193</v>
      </c>
      <c r="F33" s="27">
        <v>384788.25000000006</v>
      </c>
      <c r="G33" s="145">
        <v>2.0</v>
      </c>
      <c r="H33" s="27">
        <v>1398.6</v>
      </c>
      <c r="I33" s="27">
        <v>24.0</v>
      </c>
    </row>
    <row r="34">
      <c r="A34" s="24" t="s">
        <v>93</v>
      </c>
      <c r="B34" s="24" t="s">
        <v>296</v>
      </c>
      <c r="C34" s="24" t="s">
        <v>1828</v>
      </c>
      <c r="D34" s="27">
        <v>79.6</v>
      </c>
      <c r="E34" s="24" t="s">
        <v>297</v>
      </c>
      <c r="F34" s="27">
        <v>39402.0</v>
      </c>
      <c r="G34" s="145">
        <v>2.0</v>
      </c>
      <c r="H34" s="27">
        <v>1080.4</v>
      </c>
      <c r="I34" s="27">
        <v>20.0</v>
      </c>
    </row>
    <row r="35">
      <c r="A35" s="24" t="s">
        <v>94</v>
      </c>
      <c r="B35" s="24" t="s">
        <v>290</v>
      </c>
      <c r="C35" s="24" t="s">
        <v>1829</v>
      </c>
      <c r="D35" s="27">
        <v>924.0</v>
      </c>
      <c r="E35" s="24" t="s">
        <v>291</v>
      </c>
      <c r="F35" s="27">
        <v>304920.0</v>
      </c>
      <c r="G35" s="145">
        <v>2.0</v>
      </c>
      <c r="H35" s="27">
        <v>125.8</v>
      </c>
      <c r="I35" s="27">
        <v>7.0</v>
      </c>
    </row>
    <row r="36">
      <c r="A36" s="24" t="s">
        <v>95</v>
      </c>
      <c r="B36" s="24" t="s">
        <v>299</v>
      </c>
      <c r="C36" s="24" t="s">
        <v>1830</v>
      </c>
      <c r="D36" s="27">
        <v>74.0</v>
      </c>
      <c r="E36" s="24" t="s">
        <v>300</v>
      </c>
      <c r="F36" s="27">
        <v>36630.0</v>
      </c>
      <c r="G36" s="145">
        <v>2.0</v>
      </c>
      <c r="H36" s="27">
        <v>1080.4</v>
      </c>
      <c r="I36" s="27">
        <v>20.0</v>
      </c>
    </row>
    <row r="37">
      <c r="A37" s="24" t="s">
        <v>96</v>
      </c>
      <c r="B37" s="24" t="s">
        <v>293</v>
      </c>
      <c r="C37" s="24" t="s">
        <v>1831</v>
      </c>
      <c r="D37" s="27">
        <v>46.3</v>
      </c>
      <c r="E37" s="24" t="s">
        <v>294</v>
      </c>
      <c r="F37" s="27">
        <v>22918.500000000004</v>
      </c>
      <c r="G37" s="145">
        <v>2.0</v>
      </c>
      <c r="H37" s="27">
        <v>1080.4</v>
      </c>
      <c r="I37" s="27">
        <v>20.0</v>
      </c>
    </row>
    <row r="38">
      <c r="A38" s="24" t="s">
        <v>1832</v>
      </c>
      <c r="B38" s="24" t="s">
        <v>1833</v>
      </c>
      <c r="C38" s="24" t="s">
        <v>1834</v>
      </c>
      <c r="D38" s="27">
        <v>570.0</v>
      </c>
      <c r="E38" s="24" t="s">
        <v>216</v>
      </c>
      <c r="F38" s="27">
        <v>329175.0</v>
      </c>
      <c r="G38" s="145">
        <v>2.0</v>
      </c>
      <c r="H38" s="27">
        <v>1287.6</v>
      </c>
      <c r="I38" s="27">
        <v>22.0</v>
      </c>
    </row>
    <row r="39">
      <c r="A39" s="24" t="s">
        <v>1835</v>
      </c>
      <c r="B39" s="24" t="s">
        <v>1836</v>
      </c>
      <c r="C39" s="24" t="s">
        <v>1837</v>
      </c>
      <c r="D39" s="27">
        <v>726.0</v>
      </c>
      <c r="E39" s="24" t="s">
        <v>216</v>
      </c>
      <c r="F39" s="27">
        <v>299475.0</v>
      </c>
      <c r="G39" s="145">
        <v>2.0</v>
      </c>
      <c r="H39" s="27">
        <v>310.8</v>
      </c>
      <c r="I39" s="27">
        <v>10.0</v>
      </c>
    </row>
    <row r="40">
      <c r="A40" s="24" t="s">
        <v>97</v>
      </c>
      <c r="B40" s="24" t="s">
        <v>215</v>
      </c>
      <c r="C40" s="24" t="s">
        <v>1838</v>
      </c>
      <c r="D40" s="27">
        <v>724.4</v>
      </c>
      <c r="E40" s="24" t="s">
        <v>216</v>
      </c>
      <c r="F40" s="27">
        <v>597630.0</v>
      </c>
      <c r="G40" s="145">
        <v>2.0</v>
      </c>
      <c r="H40" s="27">
        <v>1598.4</v>
      </c>
      <c r="I40" s="27">
        <v>32.0</v>
      </c>
    </row>
    <row r="41">
      <c r="A41" s="24" t="s">
        <v>1839</v>
      </c>
      <c r="B41" s="24" t="s">
        <v>1840</v>
      </c>
      <c r="C41" s="24" t="s">
        <v>1841</v>
      </c>
      <c r="D41" s="27">
        <v>402.0</v>
      </c>
      <c r="E41" s="24" t="s">
        <v>220</v>
      </c>
      <c r="F41" s="27">
        <v>198990.00000000003</v>
      </c>
      <c r="G41" s="145">
        <v>2.0</v>
      </c>
      <c r="H41" s="27">
        <v>925.0</v>
      </c>
      <c r="I41" s="27">
        <v>20.0</v>
      </c>
    </row>
    <row r="42">
      <c r="A42" s="24" t="s">
        <v>1842</v>
      </c>
      <c r="B42" s="24" t="s">
        <v>1843</v>
      </c>
      <c r="C42" s="24" t="s">
        <v>1844</v>
      </c>
      <c r="D42" s="27">
        <v>536.0</v>
      </c>
      <c r="E42" s="24" t="s">
        <v>220</v>
      </c>
      <c r="F42" s="27">
        <v>221100.00000000003</v>
      </c>
      <c r="G42" s="145">
        <v>2.0</v>
      </c>
      <c r="H42" s="27">
        <v>555.0</v>
      </c>
      <c r="I42" s="27">
        <v>14.0</v>
      </c>
    </row>
    <row r="43">
      <c r="A43" s="24" t="s">
        <v>98</v>
      </c>
      <c r="B43" s="24" t="s">
        <v>219</v>
      </c>
      <c r="C43" s="24" t="s">
        <v>1845</v>
      </c>
      <c r="D43" s="27">
        <v>542.5</v>
      </c>
      <c r="E43" s="24" t="s">
        <v>220</v>
      </c>
      <c r="F43" s="27">
        <v>313293.75</v>
      </c>
      <c r="G43" s="145">
        <v>2.0</v>
      </c>
      <c r="H43" s="27">
        <v>1480.0</v>
      </c>
      <c r="I43" s="27">
        <v>24.0</v>
      </c>
    </row>
    <row r="44">
      <c r="A44" s="24" t="s">
        <v>99</v>
      </c>
      <c r="B44" s="24" t="s">
        <v>272</v>
      </c>
      <c r="C44" s="24" t="s">
        <v>1846</v>
      </c>
      <c r="D44" s="27">
        <v>100.6</v>
      </c>
      <c r="E44" s="24" t="s">
        <v>273</v>
      </c>
      <c r="F44" s="27">
        <v>49797.00000000001</v>
      </c>
      <c r="G44" s="145">
        <v>2.0</v>
      </c>
      <c r="H44" s="27">
        <v>777.0</v>
      </c>
      <c r="I44" s="27">
        <v>17.0</v>
      </c>
    </row>
    <row r="45">
      <c r="A45" s="24" t="s">
        <v>100</v>
      </c>
      <c r="B45" s="24" t="s">
        <v>205</v>
      </c>
      <c r="C45" s="24" t="s">
        <v>1847</v>
      </c>
      <c r="D45" s="27">
        <v>672.0</v>
      </c>
      <c r="E45" s="24" t="s">
        <v>206</v>
      </c>
      <c r="F45" s="27">
        <v>277200.0</v>
      </c>
      <c r="G45" s="145">
        <v>2.0</v>
      </c>
      <c r="H45" s="27">
        <v>260.0</v>
      </c>
      <c r="I45" s="27">
        <v>10.0</v>
      </c>
    </row>
    <row r="46">
      <c r="A46" s="24" t="s">
        <v>101</v>
      </c>
      <c r="B46" s="24" t="s">
        <v>195</v>
      </c>
      <c r="C46" s="24" t="s">
        <v>1848</v>
      </c>
      <c r="D46" s="27">
        <v>1012.0</v>
      </c>
      <c r="E46" s="24" t="s">
        <v>196</v>
      </c>
      <c r="F46" s="27">
        <v>500940.00000000006</v>
      </c>
      <c r="G46" s="145">
        <v>2.0</v>
      </c>
      <c r="H46" s="27">
        <v>969.4</v>
      </c>
      <c r="I46" s="27">
        <v>20.0</v>
      </c>
    </row>
    <row r="47">
      <c r="A47" s="24" t="s">
        <v>102</v>
      </c>
      <c r="B47" s="24" t="s">
        <v>269</v>
      </c>
      <c r="C47" s="24" t="s">
        <v>1849</v>
      </c>
      <c r="D47" s="27">
        <v>364.0</v>
      </c>
      <c r="E47" s="24" t="s">
        <v>270</v>
      </c>
      <c r="F47" s="27">
        <v>150150.0</v>
      </c>
      <c r="G47" s="145">
        <v>2.0</v>
      </c>
      <c r="H47" s="27">
        <v>488.0</v>
      </c>
      <c r="I47" s="27">
        <v>14.0</v>
      </c>
    </row>
    <row r="48">
      <c r="A48" s="24" t="s">
        <v>1850</v>
      </c>
      <c r="B48" s="24" t="s">
        <v>1851</v>
      </c>
      <c r="C48" s="24" t="s">
        <v>1852</v>
      </c>
      <c r="D48" s="27">
        <v>674.0</v>
      </c>
      <c r="E48" s="24" t="s">
        <v>181</v>
      </c>
      <c r="F48" s="27">
        <v>556050.0</v>
      </c>
      <c r="G48" s="145">
        <v>2.0</v>
      </c>
      <c r="H48" s="27">
        <v>1754.0</v>
      </c>
      <c r="I48" s="27">
        <v>32.0</v>
      </c>
    </row>
    <row r="49">
      <c r="A49" s="24" t="s">
        <v>1853</v>
      </c>
      <c r="B49" s="24" t="s">
        <v>1854</v>
      </c>
      <c r="C49" s="24" t="s">
        <v>1855</v>
      </c>
      <c r="D49" s="27">
        <v>664.0</v>
      </c>
      <c r="E49" s="24" t="s">
        <v>181</v>
      </c>
      <c r="F49" s="27">
        <v>273900.0</v>
      </c>
      <c r="G49" s="145">
        <v>2.0</v>
      </c>
      <c r="H49" s="27">
        <v>482.0</v>
      </c>
      <c r="I49" s="27">
        <v>14.0</v>
      </c>
    </row>
    <row r="50">
      <c r="A50" s="24" t="s">
        <v>103</v>
      </c>
      <c r="B50" s="24" t="s">
        <v>180</v>
      </c>
      <c r="C50" s="24" t="s">
        <v>1856</v>
      </c>
      <c r="D50" s="27">
        <v>699.1</v>
      </c>
      <c r="E50" s="24" t="s">
        <v>181</v>
      </c>
      <c r="F50" s="27">
        <v>629190.0</v>
      </c>
      <c r="G50" s="145">
        <v>1.0</v>
      </c>
      <c r="H50" s="27">
        <v>1118.0</v>
      </c>
      <c r="I50" s="27">
        <v>20.0</v>
      </c>
    </row>
    <row r="51">
      <c r="A51" s="24" t="s">
        <v>1857</v>
      </c>
      <c r="B51" s="24" t="s">
        <v>1858</v>
      </c>
      <c r="C51" s="24" t="s">
        <v>1859</v>
      </c>
      <c r="D51" s="27">
        <v>628.0</v>
      </c>
      <c r="E51" s="24" t="s">
        <v>185</v>
      </c>
      <c r="F51" s="27">
        <v>259050.00000000003</v>
      </c>
      <c r="G51" s="145">
        <v>2.0</v>
      </c>
      <c r="H51" s="27">
        <v>556.0</v>
      </c>
      <c r="I51" s="27">
        <v>14.0</v>
      </c>
    </row>
    <row r="52">
      <c r="A52" s="24" t="s">
        <v>1860</v>
      </c>
      <c r="B52" s="24" t="s">
        <v>1861</v>
      </c>
      <c r="C52" s="24" t="s">
        <v>1862</v>
      </c>
      <c r="D52" s="27">
        <v>680.0</v>
      </c>
      <c r="E52" s="24" t="s">
        <v>185</v>
      </c>
      <c r="F52" s="27">
        <v>336600.0</v>
      </c>
      <c r="G52" s="145">
        <v>2.0</v>
      </c>
      <c r="H52" s="27">
        <v>910.0</v>
      </c>
      <c r="I52" s="27">
        <v>20.0</v>
      </c>
    </row>
    <row r="53">
      <c r="A53" s="24" t="s">
        <v>104</v>
      </c>
      <c r="B53" s="24" t="s">
        <v>184</v>
      </c>
      <c r="C53" s="24" t="s">
        <v>1863</v>
      </c>
      <c r="D53" s="27">
        <v>681.7</v>
      </c>
      <c r="E53" s="24" t="s">
        <v>185</v>
      </c>
      <c r="F53" s="27">
        <v>393681.75000000006</v>
      </c>
      <c r="G53" s="145">
        <v>2.0</v>
      </c>
      <c r="H53" s="27">
        <v>1466.0</v>
      </c>
      <c r="I53" s="27">
        <v>24.0</v>
      </c>
    </row>
    <row r="54">
      <c r="A54" s="24" t="s">
        <v>105</v>
      </c>
      <c r="B54" s="24" t="s">
        <v>208</v>
      </c>
      <c r="C54" s="24" t="s">
        <v>1864</v>
      </c>
      <c r="D54" s="27">
        <v>242.0</v>
      </c>
      <c r="E54" s="24" t="s">
        <v>209</v>
      </c>
      <c r="F54" s="27">
        <v>199650.00000000003</v>
      </c>
      <c r="G54" s="145">
        <v>2.0</v>
      </c>
      <c r="H54" s="27">
        <v>1672.0</v>
      </c>
      <c r="I54" s="27">
        <v>32.0</v>
      </c>
    </row>
    <row r="55">
      <c r="A55" s="24" t="s">
        <v>106</v>
      </c>
      <c r="B55" s="24" t="s">
        <v>243</v>
      </c>
      <c r="C55" s="24" t="s">
        <v>1865</v>
      </c>
      <c r="D55" s="27">
        <v>1042.0</v>
      </c>
      <c r="E55" s="24" t="s">
        <v>244</v>
      </c>
      <c r="F55" s="27">
        <v>515790.00000000006</v>
      </c>
      <c r="G55" s="145">
        <v>2.0</v>
      </c>
      <c r="H55" s="27">
        <v>1132.0</v>
      </c>
      <c r="I55" s="27">
        <v>20.0</v>
      </c>
    </row>
    <row r="56">
      <c r="A56" s="24" t="s">
        <v>108</v>
      </c>
      <c r="B56" s="24" t="s">
        <v>260</v>
      </c>
      <c r="C56" s="24" t="s">
        <v>1866</v>
      </c>
      <c r="D56" s="27">
        <v>810.0</v>
      </c>
      <c r="E56" s="24" t="s">
        <v>258</v>
      </c>
      <c r="F56" s="27">
        <v>467775.00000000006</v>
      </c>
      <c r="G56" s="145">
        <v>2.0</v>
      </c>
      <c r="H56" s="27">
        <v>1266.0</v>
      </c>
      <c r="I56" s="27">
        <v>22.0</v>
      </c>
    </row>
    <row r="57">
      <c r="A57" s="24" t="s">
        <v>1867</v>
      </c>
      <c r="B57" s="24" t="s">
        <v>1868</v>
      </c>
      <c r="C57" s="24" t="s">
        <v>1869</v>
      </c>
      <c r="D57" s="27">
        <v>1058.0</v>
      </c>
      <c r="E57" s="24" t="s">
        <v>258</v>
      </c>
      <c r="F57" s="27">
        <v>436425.00000000006</v>
      </c>
      <c r="G57" s="145">
        <v>2.0</v>
      </c>
      <c r="H57" s="27">
        <v>600.0</v>
      </c>
      <c r="I57" s="27">
        <v>14.0</v>
      </c>
    </row>
    <row r="58">
      <c r="A58" s="24" t="s">
        <v>1870</v>
      </c>
      <c r="B58" s="24" t="s">
        <v>1871</v>
      </c>
      <c r="C58" s="24" t="s">
        <v>1872</v>
      </c>
      <c r="D58" s="27">
        <v>1190.0</v>
      </c>
      <c r="E58" s="24" t="s">
        <v>258</v>
      </c>
      <c r="F58" s="27">
        <v>490875.00000000006</v>
      </c>
      <c r="G58" s="145">
        <v>2.0</v>
      </c>
      <c r="H58" s="27">
        <v>622.0</v>
      </c>
      <c r="I58" s="27">
        <v>14.0</v>
      </c>
    </row>
    <row r="59">
      <c r="A59" s="24" t="s">
        <v>1873</v>
      </c>
      <c r="B59" s="24" t="s">
        <v>1874</v>
      </c>
      <c r="C59" s="24" t="s">
        <v>1875</v>
      </c>
      <c r="D59" s="27">
        <v>1066.0</v>
      </c>
      <c r="E59" s="24" t="s">
        <v>258</v>
      </c>
      <c r="F59" s="27">
        <v>879450.0000000001</v>
      </c>
      <c r="G59" s="145">
        <v>2.0</v>
      </c>
      <c r="H59" s="27">
        <v>1866.0</v>
      </c>
      <c r="I59" s="27">
        <v>32.0</v>
      </c>
    </row>
    <row r="60">
      <c r="A60" s="24" t="s">
        <v>1876</v>
      </c>
      <c r="B60" s="24" t="s">
        <v>1877</v>
      </c>
      <c r="C60" s="24" t="s">
        <v>1878</v>
      </c>
      <c r="D60" s="27">
        <v>1180.0</v>
      </c>
      <c r="E60" s="24" t="s">
        <v>258</v>
      </c>
      <c r="F60" s="27">
        <v>973500.0</v>
      </c>
      <c r="G60" s="145">
        <v>2.0</v>
      </c>
      <c r="H60" s="27">
        <v>1888.0</v>
      </c>
      <c r="I60" s="27">
        <v>32.0</v>
      </c>
    </row>
    <row r="61">
      <c r="A61" s="24" t="s">
        <v>107</v>
      </c>
      <c r="B61" s="24" t="s">
        <v>257</v>
      </c>
      <c r="C61" s="24" t="s">
        <v>1879</v>
      </c>
      <c r="D61" s="27">
        <v>1181.1</v>
      </c>
      <c r="E61" s="24" t="s">
        <v>258</v>
      </c>
      <c r="F61" s="27">
        <v>584644.5</v>
      </c>
      <c r="G61" s="145">
        <v>2.0</v>
      </c>
      <c r="H61" s="27">
        <v>1222.0</v>
      </c>
      <c r="I61" s="27">
        <v>20.0</v>
      </c>
    </row>
    <row r="62">
      <c r="A62" s="24" t="s">
        <v>1880</v>
      </c>
      <c r="B62" s="24" t="s">
        <v>1881</v>
      </c>
      <c r="C62" s="24" t="s">
        <v>1882</v>
      </c>
      <c r="D62" s="27">
        <v>1175.1</v>
      </c>
      <c r="E62" s="24" t="s">
        <v>258</v>
      </c>
      <c r="F62" s="27">
        <v>1057590.0</v>
      </c>
      <c r="G62" s="145">
        <v>1.0</v>
      </c>
      <c r="H62" s="27">
        <v>1244.0</v>
      </c>
      <c r="I62" s="27">
        <v>20.0</v>
      </c>
    </row>
    <row r="63">
      <c r="A63" s="24" t="s">
        <v>109</v>
      </c>
      <c r="B63" s="24" t="s">
        <v>246</v>
      </c>
      <c r="C63" s="24" t="s">
        <v>1883</v>
      </c>
      <c r="D63" s="27">
        <v>1120.0</v>
      </c>
      <c r="E63" s="24" t="s">
        <v>247</v>
      </c>
      <c r="F63" s="27">
        <v>1680000.0</v>
      </c>
      <c r="G63" s="145">
        <v>1.0</v>
      </c>
      <c r="H63" s="27">
        <v>1554.0</v>
      </c>
      <c r="I63" s="27">
        <v>32.0</v>
      </c>
    </row>
    <row r="64">
      <c r="A64" s="24" t="s">
        <v>110</v>
      </c>
      <c r="B64" s="24" t="s">
        <v>227</v>
      </c>
      <c r="C64" s="24" t="s">
        <v>1884</v>
      </c>
      <c r="D64" s="27">
        <v>69.0</v>
      </c>
      <c r="E64" s="24" t="s">
        <v>228</v>
      </c>
      <c r="F64" s="27">
        <v>34155.0</v>
      </c>
      <c r="G64" s="145">
        <v>2.0</v>
      </c>
      <c r="H64" s="27">
        <v>718.0</v>
      </c>
      <c r="I64" s="27">
        <v>17.0</v>
      </c>
    </row>
    <row r="65">
      <c r="A65" s="24" t="s">
        <v>111</v>
      </c>
      <c r="B65" s="24" t="s">
        <v>231</v>
      </c>
      <c r="C65" s="24" t="s">
        <v>1885</v>
      </c>
      <c r="D65" s="27">
        <v>232.0</v>
      </c>
      <c r="E65" s="24" t="s">
        <v>228</v>
      </c>
      <c r="F65" s="27">
        <v>114840.0</v>
      </c>
      <c r="G65" s="145">
        <v>2.0</v>
      </c>
      <c r="H65" s="27">
        <v>902.0</v>
      </c>
      <c r="I65" s="27">
        <v>20.0</v>
      </c>
    </row>
    <row r="66">
      <c r="A66" s="24" t="s">
        <v>230</v>
      </c>
      <c r="B66" s="24" t="s">
        <v>1886</v>
      </c>
      <c r="C66" s="24" t="s">
        <v>1887</v>
      </c>
      <c r="D66" s="27">
        <v>231.9</v>
      </c>
      <c r="E66" s="24" t="s">
        <v>228</v>
      </c>
      <c r="F66" s="27">
        <v>191317.50000000003</v>
      </c>
      <c r="G66" s="145">
        <v>2.0</v>
      </c>
      <c r="H66" s="27">
        <v>1620.0</v>
      </c>
      <c r="I66" s="27">
        <v>32.0</v>
      </c>
    </row>
    <row r="67">
      <c r="A67" s="24" t="s">
        <v>112</v>
      </c>
      <c r="B67" s="24" t="s">
        <v>287</v>
      </c>
      <c r="C67" s="24" t="s">
        <v>1888</v>
      </c>
      <c r="D67" s="27">
        <v>420.0</v>
      </c>
      <c r="E67" s="24" t="s">
        <v>288</v>
      </c>
      <c r="F67" s="27">
        <v>173250.0</v>
      </c>
      <c r="G67" s="145">
        <v>2.0</v>
      </c>
      <c r="H67" s="27">
        <v>408.0</v>
      </c>
      <c r="I67" s="27">
        <v>14.0</v>
      </c>
    </row>
    <row r="68">
      <c r="A68" s="24" t="s">
        <v>1889</v>
      </c>
      <c r="B68" s="24" t="s">
        <v>1890</v>
      </c>
      <c r="C68" s="24" t="s">
        <v>1891</v>
      </c>
      <c r="D68" s="27">
        <v>468.0</v>
      </c>
      <c r="E68" s="24" t="s">
        <v>224</v>
      </c>
      <c r="F68" s="27">
        <v>193050.00000000003</v>
      </c>
      <c r="G68" s="145">
        <v>2.0</v>
      </c>
      <c r="H68" s="27">
        <v>526.0</v>
      </c>
      <c r="I68" s="27">
        <v>14.0</v>
      </c>
    </row>
    <row r="69">
      <c r="A69" s="24" t="s">
        <v>1892</v>
      </c>
      <c r="B69" s="24" t="s">
        <v>1893</v>
      </c>
      <c r="C69" s="24" t="s">
        <v>1894</v>
      </c>
      <c r="D69" s="27">
        <v>452.0</v>
      </c>
      <c r="E69" s="24" t="s">
        <v>224</v>
      </c>
      <c r="F69" s="27">
        <v>223740.00000000003</v>
      </c>
      <c r="G69" s="145">
        <v>2.0</v>
      </c>
      <c r="H69" s="27">
        <v>932.0</v>
      </c>
      <c r="I69" s="27">
        <v>20.0</v>
      </c>
    </row>
    <row r="70">
      <c r="A70" s="24" t="s">
        <v>113</v>
      </c>
      <c r="B70" s="24" t="s">
        <v>223</v>
      </c>
      <c r="C70" s="24" t="s">
        <v>1895</v>
      </c>
      <c r="D70" s="27">
        <v>524.7</v>
      </c>
      <c r="E70" s="24" t="s">
        <v>224</v>
      </c>
      <c r="F70" s="27">
        <v>303014.25</v>
      </c>
      <c r="G70" s="145">
        <v>2.0</v>
      </c>
      <c r="H70" s="27">
        <v>1458.0</v>
      </c>
      <c r="I70" s="27">
        <v>24.0</v>
      </c>
    </row>
    <row r="71">
      <c r="A71" s="24" t="s">
        <v>1896</v>
      </c>
      <c r="B71" s="24" t="s">
        <v>1897</v>
      </c>
      <c r="C71" s="24" t="s">
        <v>1898</v>
      </c>
      <c r="D71" s="27">
        <v>664.0</v>
      </c>
      <c r="E71" s="24" t="s">
        <v>212</v>
      </c>
      <c r="F71" s="27">
        <v>328680.0</v>
      </c>
      <c r="G71" s="145">
        <v>2.0</v>
      </c>
      <c r="H71" s="27">
        <v>1206.0</v>
      </c>
      <c r="I71" s="27">
        <v>20.0</v>
      </c>
    </row>
    <row r="72">
      <c r="A72" s="24" t="s">
        <v>1899</v>
      </c>
      <c r="B72" s="24" t="s">
        <v>1900</v>
      </c>
      <c r="C72" s="24" t="s">
        <v>1901</v>
      </c>
      <c r="D72" s="27">
        <v>670.0</v>
      </c>
      <c r="E72" s="24" t="s">
        <v>212</v>
      </c>
      <c r="F72" s="27">
        <v>386925.00000000006</v>
      </c>
      <c r="G72" s="145">
        <v>2.0</v>
      </c>
      <c r="H72" s="27">
        <v>1484.0</v>
      </c>
      <c r="I72" s="27">
        <v>24.0</v>
      </c>
    </row>
    <row r="73">
      <c r="A73" s="24" t="s">
        <v>114</v>
      </c>
      <c r="B73" s="24" t="s">
        <v>211</v>
      </c>
      <c r="C73" s="24" t="s">
        <v>1902</v>
      </c>
      <c r="D73" s="27">
        <v>671.2</v>
      </c>
      <c r="E73" s="24" t="s">
        <v>212</v>
      </c>
      <c r="F73" s="27">
        <v>704760.0</v>
      </c>
      <c r="G73" s="145">
        <v>1.0</v>
      </c>
      <c r="H73" s="27">
        <v>1345.0</v>
      </c>
      <c r="I73" s="27">
        <v>24.0</v>
      </c>
    </row>
    <row r="74">
      <c r="A74" s="24" t="s">
        <v>115</v>
      </c>
      <c r="B74" s="24" t="s">
        <v>282</v>
      </c>
      <c r="C74" s="24" t="s">
        <v>1903</v>
      </c>
      <c r="D74" s="27">
        <v>386.0</v>
      </c>
      <c r="E74" s="24" t="s">
        <v>283</v>
      </c>
      <c r="F74" s="27">
        <v>191070.00000000003</v>
      </c>
      <c r="G74" s="145">
        <v>2.0</v>
      </c>
      <c r="H74" s="27">
        <v>1148.0</v>
      </c>
      <c r="I74" s="27">
        <v>20.0</v>
      </c>
    </row>
    <row r="75">
      <c r="A75" s="24" t="s">
        <v>116</v>
      </c>
      <c r="B75" s="24" t="s">
        <v>285</v>
      </c>
      <c r="C75" s="24" t="s">
        <v>1904</v>
      </c>
      <c r="D75" s="27">
        <v>212.0</v>
      </c>
      <c r="E75" s="24" t="s">
        <v>283</v>
      </c>
      <c r="F75" s="27">
        <v>104940.0</v>
      </c>
      <c r="G75" s="145">
        <v>2.0</v>
      </c>
      <c r="H75" s="27">
        <v>896.0</v>
      </c>
      <c r="I75" s="27">
        <v>20.0</v>
      </c>
    </row>
    <row r="76">
      <c r="A76" s="24" t="s">
        <v>1905</v>
      </c>
      <c r="B76" s="24" t="s">
        <v>1906</v>
      </c>
      <c r="C76" s="24" t="s">
        <v>1907</v>
      </c>
      <c r="D76" s="27">
        <v>364.8</v>
      </c>
      <c r="E76" s="24" t="s">
        <v>283</v>
      </c>
      <c r="F76" s="27">
        <v>300960.0</v>
      </c>
      <c r="G76" s="145">
        <v>2.0</v>
      </c>
      <c r="H76" s="27">
        <v>2044.0</v>
      </c>
      <c r="I76" s="27">
        <v>32.0</v>
      </c>
    </row>
    <row r="77">
      <c r="A77" s="24" t="s">
        <v>1908</v>
      </c>
      <c r="B77" s="24" t="s">
        <v>1909</v>
      </c>
      <c r="C77" s="24" t="s">
        <v>1910</v>
      </c>
      <c r="D77" s="27">
        <v>202.0</v>
      </c>
      <c r="E77" s="24" t="s">
        <v>234</v>
      </c>
      <c r="F77" s="27">
        <v>99990.0</v>
      </c>
      <c r="G77" s="145">
        <v>2.0</v>
      </c>
      <c r="H77" s="27">
        <v>992.0</v>
      </c>
      <c r="I77" s="27">
        <v>20.0</v>
      </c>
    </row>
    <row r="78">
      <c r="A78" s="24" t="s">
        <v>1911</v>
      </c>
      <c r="B78" s="24" t="s">
        <v>1912</v>
      </c>
      <c r="C78" s="24" t="s">
        <v>1913</v>
      </c>
      <c r="D78" s="27">
        <v>202.0</v>
      </c>
      <c r="E78" s="24" t="s">
        <v>234</v>
      </c>
      <c r="F78" s="27">
        <v>99990.0</v>
      </c>
      <c r="G78" s="145">
        <v>2.0</v>
      </c>
      <c r="H78" s="27">
        <v>1058.2</v>
      </c>
      <c r="I78" s="27">
        <v>20.0</v>
      </c>
    </row>
    <row r="79">
      <c r="A79" s="24" t="s">
        <v>117</v>
      </c>
      <c r="B79" s="24" t="s">
        <v>233</v>
      </c>
      <c r="C79" s="24" t="s">
        <v>1914</v>
      </c>
      <c r="D79" s="27">
        <v>202.0</v>
      </c>
      <c r="E79" s="24" t="s">
        <v>234</v>
      </c>
      <c r="F79" s="27">
        <v>166650.0</v>
      </c>
      <c r="G79" s="145">
        <v>2.0</v>
      </c>
      <c r="H79" s="27">
        <v>2050.2</v>
      </c>
      <c r="I79" s="27">
        <v>32.0</v>
      </c>
    </row>
    <row r="80">
      <c r="G80" s="145"/>
    </row>
    <row r="81">
      <c r="G81" s="145"/>
    </row>
    <row r="82">
      <c r="G82" s="145"/>
    </row>
    <row r="83">
      <c r="G83" s="145"/>
    </row>
    <row r="84">
      <c r="G84" s="145"/>
    </row>
    <row r="85">
      <c r="G85" s="145"/>
    </row>
    <row r="86">
      <c r="G86" s="145"/>
    </row>
    <row r="87">
      <c r="G87" s="145"/>
    </row>
    <row r="88">
      <c r="G88" s="145"/>
    </row>
    <row r="89">
      <c r="G89" s="145"/>
    </row>
    <row r="90">
      <c r="G90" s="145"/>
    </row>
    <row r="91">
      <c r="G91" s="145"/>
    </row>
    <row r="92">
      <c r="G92" s="145"/>
    </row>
    <row r="93">
      <c r="G93" s="145"/>
    </row>
    <row r="94">
      <c r="G94" s="145"/>
    </row>
    <row r="95">
      <c r="G95" s="145"/>
    </row>
    <row r="96">
      <c r="G96" s="145"/>
    </row>
    <row r="97">
      <c r="G97" s="145"/>
    </row>
    <row r="98">
      <c r="G98" s="145"/>
    </row>
    <row r="99">
      <c r="G99" s="145"/>
    </row>
    <row r="100">
      <c r="G100" s="145"/>
    </row>
    <row r="101">
      <c r="G101" s="145"/>
    </row>
    <row r="102">
      <c r="G102" s="145"/>
    </row>
    <row r="103">
      <c r="G103" s="145"/>
    </row>
    <row r="104">
      <c r="G104" s="145"/>
    </row>
    <row r="105">
      <c r="G105" s="145"/>
    </row>
    <row r="106">
      <c r="G106" s="145"/>
    </row>
    <row r="107">
      <c r="G107" s="145"/>
    </row>
    <row r="108">
      <c r="G108" s="145"/>
    </row>
    <row r="109">
      <c r="G109" s="145"/>
    </row>
    <row r="110">
      <c r="G110" s="145"/>
    </row>
    <row r="111">
      <c r="G111" s="145"/>
    </row>
    <row r="112">
      <c r="G112" s="145"/>
    </row>
    <row r="113">
      <c r="G113" s="145"/>
    </row>
    <row r="114">
      <c r="G114" s="145"/>
    </row>
    <row r="115">
      <c r="G115" s="145"/>
    </row>
    <row r="116">
      <c r="G116" s="145"/>
    </row>
    <row r="117">
      <c r="G117" s="145"/>
    </row>
    <row r="118">
      <c r="G118" s="145"/>
    </row>
    <row r="119">
      <c r="G119" s="145"/>
    </row>
    <row r="120">
      <c r="G120" s="145"/>
    </row>
    <row r="121">
      <c r="G121" s="145"/>
    </row>
    <row r="122">
      <c r="G122" s="145"/>
    </row>
    <row r="123">
      <c r="G123" s="145"/>
    </row>
    <row r="124">
      <c r="G124" s="145"/>
    </row>
    <row r="125">
      <c r="G125" s="145"/>
    </row>
    <row r="126">
      <c r="G126" s="145"/>
    </row>
    <row r="127">
      <c r="G127" s="145"/>
    </row>
    <row r="128">
      <c r="G128" s="145"/>
    </row>
    <row r="129">
      <c r="G129" s="145"/>
    </row>
    <row r="130">
      <c r="G130" s="145"/>
    </row>
    <row r="131">
      <c r="G131" s="145"/>
    </row>
    <row r="132">
      <c r="G132" s="145"/>
    </row>
    <row r="133">
      <c r="G133" s="145"/>
    </row>
    <row r="134">
      <c r="G134" s="145"/>
    </row>
    <row r="135">
      <c r="G135" s="145"/>
    </row>
    <row r="136">
      <c r="G136" s="145"/>
    </row>
    <row r="137">
      <c r="G137" s="145"/>
    </row>
    <row r="138">
      <c r="G138" s="145"/>
    </row>
    <row r="139">
      <c r="G139" s="145"/>
    </row>
    <row r="140">
      <c r="G140" s="145"/>
    </row>
    <row r="141">
      <c r="G141" s="145"/>
    </row>
    <row r="142">
      <c r="G142" s="145"/>
    </row>
    <row r="143">
      <c r="G143" s="145"/>
    </row>
    <row r="144">
      <c r="G144" s="145"/>
    </row>
    <row r="145">
      <c r="G145" s="145"/>
    </row>
    <row r="146">
      <c r="G146" s="145"/>
    </row>
    <row r="147">
      <c r="G147" s="145"/>
    </row>
    <row r="148">
      <c r="G148" s="145"/>
    </row>
    <row r="149">
      <c r="G149" s="145"/>
    </row>
    <row r="150">
      <c r="G150" s="145"/>
    </row>
    <row r="151">
      <c r="G151" s="145"/>
    </row>
    <row r="152">
      <c r="G152" s="145"/>
    </row>
    <row r="153">
      <c r="G153" s="145"/>
    </row>
    <row r="154">
      <c r="G154" s="145"/>
    </row>
    <row r="155">
      <c r="G155" s="145"/>
    </row>
    <row r="156">
      <c r="G156" s="145"/>
    </row>
    <row r="157">
      <c r="G157" s="145"/>
    </row>
    <row r="158">
      <c r="G158" s="145"/>
    </row>
    <row r="159">
      <c r="G159" s="145"/>
    </row>
    <row r="160">
      <c r="G160" s="145"/>
    </row>
    <row r="161">
      <c r="G161" s="145"/>
    </row>
    <row r="162">
      <c r="G162" s="145"/>
    </row>
    <row r="163">
      <c r="G163" s="145"/>
    </row>
    <row r="164">
      <c r="G164" s="145"/>
    </row>
    <row r="165">
      <c r="G165" s="145"/>
    </row>
    <row r="166">
      <c r="G166" s="145"/>
    </row>
    <row r="167">
      <c r="G167" s="145"/>
    </row>
    <row r="168">
      <c r="G168" s="145"/>
    </row>
    <row r="169">
      <c r="G169" s="145"/>
    </row>
    <row r="170">
      <c r="G170" s="145"/>
    </row>
    <row r="171">
      <c r="G171" s="145"/>
    </row>
    <row r="172">
      <c r="G172" s="145"/>
    </row>
    <row r="173">
      <c r="G173" s="145"/>
    </row>
    <row r="174">
      <c r="G174" s="145"/>
    </row>
    <row r="175">
      <c r="G175" s="145"/>
    </row>
    <row r="176">
      <c r="G176" s="145"/>
    </row>
    <row r="177">
      <c r="G177" s="145"/>
    </row>
    <row r="178">
      <c r="G178" s="145"/>
    </row>
    <row r="179">
      <c r="G179" s="145"/>
    </row>
    <row r="180">
      <c r="G180" s="145"/>
    </row>
    <row r="181">
      <c r="G181" s="145"/>
    </row>
    <row r="182">
      <c r="G182" s="145"/>
    </row>
    <row r="183">
      <c r="G183" s="145"/>
    </row>
    <row r="184">
      <c r="G184" s="145"/>
    </row>
    <row r="185">
      <c r="G185" s="145"/>
    </row>
    <row r="186">
      <c r="G186" s="145"/>
    </row>
    <row r="187">
      <c r="G187" s="145"/>
    </row>
    <row r="188">
      <c r="G188" s="145"/>
    </row>
    <row r="189">
      <c r="G189" s="145"/>
    </row>
    <row r="190">
      <c r="G190" s="145"/>
    </row>
    <row r="191">
      <c r="G191" s="145"/>
    </row>
    <row r="192">
      <c r="G192" s="145"/>
    </row>
    <row r="193">
      <c r="G193" s="145"/>
    </row>
    <row r="194">
      <c r="G194" s="145"/>
    </row>
    <row r="195">
      <c r="G195" s="145"/>
    </row>
    <row r="196">
      <c r="G196" s="145"/>
    </row>
    <row r="197">
      <c r="G197" s="145"/>
    </row>
    <row r="198">
      <c r="G198" s="145"/>
    </row>
    <row r="199">
      <c r="G199" s="145"/>
    </row>
    <row r="200">
      <c r="G200" s="145"/>
    </row>
    <row r="201">
      <c r="G201" s="145"/>
    </row>
    <row r="202">
      <c r="G202" s="145"/>
    </row>
    <row r="203">
      <c r="G203" s="145"/>
    </row>
    <row r="204">
      <c r="G204" s="145"/>
    </row>
    <row r="205">
      <c r="G205" s="145"/>
    </row>
    <row r="206">
      <c r="G206" s="145"/>
    </row>
    <row r="207">
      <c r="G207" s="145"/>
    </row>
    <row r="208">
      <c r="G208" s="145"/>
    </row>
    <row r="209">
      <c r="G209" s="145"/>
    </row>
    <row r="210">
      <c r="G210" s="145"/>
    </row>
    <row r="211">
      <c r="G211" s="145"/>
    </row>
    <row r="212">
      <c r="G212" s="145"/>
    </row>
    <row r="213">
      <c r="G213" s="145"/>
    </row>
    <row r="214">
      <c r="G214" s="145"/>
    </row>
    <row r="215">
      <c r="G215" s="145"/>
    </row>
    <row r="216">
      <c r="G216" s="145"/>
    </row>
    <row r="217">
      <c r="G217" s="145"/>
    </row>
    <row r="218">
      <c r="G218" s="145"/>
    </row>
    <row r="219">
      <c r="G219" s="145"/>
    </row>
    <row r="220">
      <c r="G220" s="145"/>
    </row>
    <row r="221">
      <c r="G221" s="145"/>
    </row>
    <row r="222">
      <c r="G222" s="145"/>
    </row>
    <row r="223">
      <c r="G223" s="145"/>
    </row>
    <row r="224">
      <c r="G224" s="145"/>
    </row>
    <row r="225">
      <c r="G225" s="145"/>
    </row>
    <row r="226">
      <c r="G226" s="145"/>
    </row>
    <row r="227">
      <c r="G227" s="145"/>
    </row>
    <row r="228">
      <c r="G228" s="145"/>
    </row>
    <row r="229">
      <c r="G229" s="145"/>
    </row>
    <row r="230">
      <c r="G230" s="145"/>
    </row>
    <row r="231">
      <c r="G231" s="145"/>
    </row>
    <row r="232">
      <c r="G232" s="145"/>
    </row>
    <row r="233">
      <c r="G233" s="145"/>
    </row>
    <row r="234">
      <c r="G234" s="145"/>
    </row>
    <row r="235">
      <c r="G235" s="145"/>
    </row>
    <row r="236">
      <c r="G236" s="145"/>
    </row>
    <row r="237">
      <c r="G237" s="145"/>
    </row>
    <row r="238">
      <c r="G238" s="145"/>
    </row>
    <row r="239">
      <c r="G239" s="145"/>
    </row>
    <row r="240">
      <c r="G240" s="145"/>
    </row>
    <row r="241">
      <c r="G241" s="145"/>
    </row>
    <row r="242">
      <c r="G242" s="145"/>
    </row>
    <row r="243">
      <c r="G243" s="145"/>
    </row>
    <row r="244">
      <c r="G244" s="145"/>
    </row>
    <row r="245">
      <c r="G245" s="145"/>
    </row>
    <row r="246">
      <c r="G246" s="145"/>
    </row>
    <row r="247">
      <c r="G247" s="145"/>
    </row>
    <row r="248">
      <c r="G248" s="145"/>
    </row>
    <row r="249">
      <c r="G249" s="145"/>
    </row>
    <row r="250">
      <c r="G250" s="145"/>
    </row>
    <row r="251">
      <c r="G251" s="145"/>
    </row>
    <row r="252">
      <c r="G252" s="145"/>
    </row>
    <row r="253">
      <c r="G253" s="145"/>
    </row>
    <row r="254">
      <c r="G254" s="145"/>
    </row>
    <row r="255">
      <c r="G255" s="145"/>
    </row>
    <row r="256">
      <c r="G256" s="145"/>
    </row>
    <row r="257">
      <c r="G257" s="145"/>
    </row>
    <row r="258">
      <c r="G258" s="145"/>
    </row>
    <row r="259">
      <c r="G259" s="145"/>
    </row>
    <row r="260">
      <c r="G260" s="145"/>
    </row>
    <row r="261">
      <c r="G261" s="145"/>
    </row>
    <row r="262">
      <c r="G262" s="145"/>
    </row>
    <row r="263">
      <c r="G263" s="145"/>
    </row>
    <row r="264">
      <c r="G264" s="145"/>
    </row>
    <row r="265">
      <c r="G265" s="145"/>
    </row>
    <row r="266">
      <c r="G266" s="145"/>
    </row>
    <row r="267">
      <c r="G267" s="145"/>
    </row>
    <row r="268">
      <c r="G268" s="145"/>
    </row>
    <row r="269">
      <c r="G269" s="145"/>
    </row>
    <row r="270">
      <c r="G270" s="145"/>
    </row>
    <row r="271">
      <c r="G271" s="145"/>
    </row>
    <row r="272">
      <c r="G272" s="145"/>
    </row>
    <row r="273">
      <c r="G273" s="145"/>
    </row>
    <row r="274">
      <c r="G274" s="145"/>
    </row>
    <row r="275">
      <c r="G275" s="145"/>
    </row>
    <row r="276">
      <c r="G276" s="145"/>
    </row>
    <row r="277">
      <c r="G277" s="145"/>
    </row>
    <row r="278">
      <c r="G278" s="145"/>
    </row>
    <row r="279">
      <c r="G279" s="145"/>
    </row>
    <row r="280">
      <c r="G280" s="145"/>
    </row>
    <row r="281">
      <c r="G281" s="145"/>
    </row>
    <row r="282">
      <c r="G282" s="145"/>
    </row>
    <row r="283">
      <c r="G283" s="145"/>
    </row>
    <row r="284">
      <c r="G284" s="145"/>
    </row>
    <row r="285">
      <c r="G285" s="145"/>
    </row>
    <row r="286">
      <c r="G286" s="145"/>
    </row>
    <row r="287">
      <c r="G287" s="145"/>
    </row>
    <row r="288">
      <c r="G288" s="145"/>
    </row>
    <row r="289">
      <c r="G289" s="145"/>
    </row>
    <row r="290">
      <c r="G290" s="145"/>
    </row>
    <row r="291">
      <c r="G291" s="145"/>
    </row>
    <row r="292">
      <c r="G292" s="145"/>
    </row>
    <row r="293">
      <c r="G293" s="145"/>
    </row>
    <row r="294">
      <c r="G294" s="145"/>
    </row>
    <row r="295">
      <c r="G295" s="145"/>
    </row>
    <row r="296">
      <c r="G296" s="145"/>
    </row>
    <row r="297">
      <c r="G297" s="145"/>
    </row>
    <row r="298">
      <c r="G298" s="145"/>
    </row>
    <row r="299">
      <c r="G299" s="145"/>
    </row>
    <row r="300">
      <c r="G300" s="145"/>
    </row>
    <row r="301">
      <c r="G301" s="145"/>
    </row>
    <row r="302">
      <c r="G302" s="145"/>
    </row>
    <row r="303">
      <c r="G303" s="145"/>
    </row>
    <row r="304">
      <c r="G304" s="145"/>
    </row>
    <row r="305">
      <c r="G305" s="145"/>
    </row>
    <row r="306">
      <c r="G306" s="145"/>
    </row>
    <row r="307">
      <c r="G307" s="145"/>
    </row>
    <row r="308">
      <c r="G308" s="145"/>
    </row>
    <row r="309">
      <c r="G309" s="145"/>
    </row>
    <row r="310">
      <c r="G310" s="145"/>
    </row>
    <row r="311">
      <c r="G311" s="145"/>
    </row>
    <row r="312">
      <c r="G312" s="145"/>
    </row>
    <row r="313">
      <c r="G313" s="145"/>
    </row>
    <row r="314">
      <c r="G314" s="145"/>
    </row>
    <row r="315">
      <c r="G315" s="145"/>
    </row>
    <row r="316">
      <c r="G316" s="145"/>
    </row>
    <row r="317">
      <c r="G317" s="145"/>
    </row>
    <row r="318">
      <c r="G318" s="145"/>
    </row>
    <row r="319">
      <c r="G319" s="145"/>
    </row>
    <row r="320">
      <c r="G320" s="145"/>
    </row>
    <row r="321">
      <c r="G321" s="145"/>
    </row>
    <row r="322">
      <c r="G322" s="145"/>
    </row>
    <row r="323">
      <c r="G323" s="145"/>
    </row>
    <row r="324">
      <c r="G324" s="145"/>
    </row>
    <row r="325">
      <c r="G325" s="145"/>
    </row>
    <row r="326">
      <c r="G326" s="145"/>
    </row>
    <row r="327">
      <c r="G327" s="145"/>
    </row>
    <row r="328">
      <c r="G328" s="145"/>
    </row>
    <row r="329">
      <c r="G329" s="145"/>
    </row>
    <row r="330">
      <c r="G330" s="145"/>
    </row>
    <row r="331">
      <c r="G331" s="145"/>
    </row>
    <row r="332">
      <c r="G332" s="145"/>
    </row>
    <row r="333">
      <c r="G333" s="145"/>
    </row>
    <row r="334">
      <c r="G334" s="145"/>
    </row>
    <row r="335">
      <c r="G335" s="145"/>
    </row>
    <row r="336">
      <c r="G336" s="145"/>
    </row>
    <row r="337">
      <c r="G337" s="145"/>
    </row>
    <row r="338">
      <c r="G338" s="145"/>
    </row>
    <row r="339">
      <c r="G339" s="145"/>
    </row>
    <row r="340">
      <c r="G340" s="145"/>
    </row>
    <row r="341">
      <c r="G341" s="145"/>
    </row>
    <row r="342">
      <c r="G342" s="145"/>
    </row>
    <row r="343">
      <c r="G343" s="145"/>
    </row>
    <row r="344">
      <c r="G344" s="145"/>
    </row>
    <row r="345">
      <c r="G345" s="145"/>
    </row>
    <row r="346">
      <c r="G346" s="145"/>
    </row>
    <row r="347">
      <c r="G347" s="145"/>
    </row>
    <row r="348">
      <c r="G348" s="145"/>
    </row>
    <row r="349">
      <c r="G349" s="145"/>
    </row>
    <row r="350">
      <c r="G350" s="145"/>
    </row>
    <row r="351">
      <c r="G351" s="145"/>
    </row>
    <row r="352">
      <c r="G352" s="145"/>
    </row>
    <row r="353">
      <c r="G353" s="145"/>
    </row>
    <row r="354">
      <c r="G354" s="145"/>
    </row>
    <row r="355">
      <c r="G355" s="145"/>
    </row>
    <row r="356">
      <c r="G356" s="145"/>
    </row>
    <row r="357">
      <c r="G357" s="145"/>
    </row>
    <row r="358">
      <c r="G358" s="145"/>
    </row>
    <row r="359">
      <c r="G359" s="145"/>
    </row>
    <row r="360">
      <c r="G360" s="145"/>
    </row>
    <row r="361">
      <c r="G361" s="145"/>
    </row>
    <row r="362">
      <c r="G362" s="145"/>
    </row>
    <row r="363">
      <c r="G363" s="145"/>
    </row>
    <row r="364">
      <c r="G364" s="145"/>
    </row>
    <row r="365">
      <c r="G365" s="145"/>
    </row>
    <row r="366">
      <c r="G366" s="145"/>
    </row>
    <row r="367">
      <c r="G367" s="145"/>
    </row>
    <row r="368">
      <c r="G368" s="145"/>
    </row>
    <row r="369">
      <c r="G369" s="145"/>
    </row>
    <row r="370">
      <c r="G370" s="145"/>
    </row>
    <row r="371">
      <c r="G371" s="145"/>
    </row>
    <row r="372">
      <c r="G372" s="145"/>
    </row>
    <row r="373">
      <c r="G373" s="145"/>
    </row>
    <row r="374">
      <c r="G374" s="145"/>
    </row>
    <row r="375">
      <c r="G375" s="145"/>
    </row>
    <row r="376">
      <c r="G376" s="145"/>
    </row>
    <row r="377">
      <c r="G377" s="145"/>
    </row>
    <row r="378">
      <c r="G378" s="145"/>
    </row>
    <row r="379">
      <c r="G379" s="145"/>
    </row>
    <row r="380">
      <c r="G380" s="145"/>
    </row>
    <row r="381">
      <c r="G381" s="145"/>
    </row>
    <row r="382">
      <c r="G382" s="145"/>
    </row>
    <row r="383">
      <c r="G383" s="145"/>
    </row>
    <row r="384">
      <c r="G384" s="145"/>
    </row>
    <row r="385">
      <c r="G385" s="145"/>
    </row>
    <row r="386">
      <c r="G386" s="145"/>
    </row>
    <row r="387">
      <c r="G387" s="145"/>
    </row>
    <row r="388">
      <c r="G388" s="145"/>
    </row>
    <row r="389">
      <c r="G389" s="145"/>
    </row>
    <row r="390">
      <c r="G390" s="145"/>
    </row>
    <row r="391">
      <c r="G391" s="145"/>
    </row>
    <row r="392">
      <c r="G392" s="145"/>
    </row>
    <row r="393">
      <c r="G393" s="145"/>
    </row>
    <row r="394">
      <c r="G394" s="145"/>
    </row>
    <row r="395">
      <c r="G395" s="145"/>
    </row>
    <row r="396">
      <c r="G396" s="145"/>
    </row>
    <row r="397">
      <c r="G397" s="145"/>
    </row>
    <row r="398">
      <c r="G398" s="145"/>
    </row>
    <row r="399">
      <c r="G399" s="145"/>
    </row>
    <row r="400">
      <c r="G400" s="145"/>
    </row>
    <row r="401">
      <c r="G401" s="145"/>
    </row>
    <row r="402">
      <c r="G402" s="145"/>
    </row>
    <row r="403">
      <c r="G403" s="145"/>
    </row>
    <row r="404">
      <c r="G404" s="145"/>
    </row>
    <row r="405">
      <c r="G405" s="145"/>
    </row>
    <row r="406">
      <c r="G406" s="145"/>
    </row>
    <row r="407">
      <c r="G407" s="145"/>
    </row>
    <row r="408">
      <c r="G408" s="145"/>
    </row>
    <row r="409">
      <c r="G409" s="145"/>
    </row>
    <row r="410">
      <c r="G410" s="145"/>
    </row>
    <row r="411">
      <c r="G411" s="145"/>
    </row>
    <row r="412">
      <c r="G412" s="145"/>
    </row>
    <row r="413">
      <c r="G413" s="145"/>
    </row>
    <row r="414">
      <c r="G414" s="145"/>
    </row>
    <row r="415">
      <c r="G415" s="145"/>
    </row>
    <row r="416">
      <c r="G416" s="145"/>
    </row>
    <row r="417">
      <c r="G417" s="145"/>
    </row>
    <row r="418">
      <c r="G418" s="145"/>
    </row>
    <row r="419">
      <c r="G419" s="145"/>
    </row>
    <row r="420">
      <c r="G420" s="145"/>
    </row>
    <row r="421">
      <c r="G421" s="145"/>
    </row>
    <row r="422">
      <c r="G422" s="145"/>
    </row>
    <row r="423">
      <c r="G423" s="145"/>
    </row>
    <row r="424">
      <c r="G424" s="145"/>
    </row>
    <row r="425">
      <c r="G425" s="145"/>
    </row>
    <row r="426">
      <c r="G426" s="145"/>
    </row>
    <row r="427">
      <c r="G427" s="145"/>
    </row>
    <row r="428">
      <c r="G428" s="145"/>
    </row>
    <row r="429">
      <c r="G429" s="145"/>
    </row>
    <row r="430">
      <c r="G430" s="145"/>
    </row>
    <row r="431">
      <c r="G431" s="145"/>
    </row>
    <row r="432">
      <c r="G432" s="145"/>
    </row>
    <row r="433">
      <c r="G433" s="145"/>
    </row>
    <row r="434">
      <c r="G434" s="145"/>
    </row>
    <row r="435">
      <c r="G435" s="145"/>
    </row>
    <row r="436">
      <c r="G436" s="145"/>
    </row>
    <row r="437">
      <c r="G437" s="145"/>
    </row>
    <row r="438">
      <c r="G438" s="145"/>
    </row>
    <row r="439">
      <c r="G439" s="145"/>
    </row>
    <row r="440">
      <c r="G440" s="145"/>
    </row>
    <row r="441">
      <c r="G441" s="145"/>
    </row>
    <row r="442">
      <c r="G442" s="145"/>
    </row>
    <row r="443">
      <c r="G443" s="145"/>
    </row>
    <row r="444">
      <c r="G444" s="145"/>
    </row>
    <row r="445">
      <c r="G445" s="145"/>
    </row>
    <row r="446">
      <c r="G446" s="145"/>
    </row>
    <row r="447">
      <c r="G447" s="145"/>
    </row>
    <row r="448">
      <c r="G448" s="145"/>
    </row>
    <row r="449">
      <c r="G449" s="145"/>
    </row>
    <row r="450">
      <c r="G450" s="145"/>
    </row>
    <row r="451">
      <c r="G451" s="145"/>
    </row>
    <row r="452">
      <c r="G452" s="145"/>
    </row>
    <row r="453">
      <c r="G453" s="145"/>
    </row>
    <row r="454">
      <c r="G454" s="145"/>
    </row>
    <row r="455">
      <c r="G455" s="145"/>
    </row>
    <row r="456">
      <c r="G456" s="145"/>
    </row>
    <row r="457">
      <c r="G457" s="145"/>
    </row>
    <row r="458">
      <c r="G458" s="145"/>
    </row>
    <row r="459">
      <c r="G459" s="145"/>
    </row>
    <row r="460">
      <c r="G460" s="145"/>
    </row>
    <row r="461">
      <c r="G461" s="145"/>
    </row>
    <row r="462">
      <c r="G462" s="145"/>
    </row>
    <row r="463">
      <c r="G463" s="145"/>
    </row>
    <row r="464">
      <c r="G464" s="145"/>
    </row>
    <row r="465">
      <c r="G465" s="145"/>
    </row>
    <row r="466">
      <c r="G466" s="145"/>
    </row>
    <row r="467">
      <c r="G467" s="145"/>
    </row>
    <row r="468">
      <c r="G468" s="145"/>
    </row>
    <row r="469">
      <c r="G469" s="145"/>
    </row>
    <row r="470">
      <c r="G470" s="145"/>
    </row>
    <row r="471">
      <c r="G471" s="145"/>
    </row>
    <row r="472">
      <c r="G472" s="145"/>
    </row>
    <row r="473">
      <c r="G473" s="145"/>
    </row>
    <row r="474">
      <c r="G474" s="145"/>
    </row>
    <row r="475">
      <c r="G475" s="145"/>
    </row>
    <row r="476">
      <c r="G476" s="145"/>
    </row>
    <row r="477">
      <c r="G477" s="145"/>
    </row>
    <row r="478">
      <c r="G478" s="145"/>
    </row>
    <row r="479">
      <c r="G479" s="145"/>
    </row>
    <row r="480">
      <c r="G480" s="145"/>
    </row>
    <row r="481">
      <c r="G481" s="145"/>
    </row>
    <row r="482">
      <c r="G482" s="145"/>
    </row>
    <row r="483">
      <c r="G483" s="145"/>
    </row>
    <row r="484">
      <c r="G484" s="145"/>
    </row>
    <row r="485">
      <c r="G485" s="145"/>
    </row>
    <row r="486">
      <c r="G486" s="145"/>
    </row>
    <row r="487">
      <c r="G487" s="145"/>
    </row>
    <row r="488">
      <c r="G488" s="145"/>
    </row>
    <row r="489">
      <c r="G489" s="145"/>
    </row>
    <row r="490">
      <c r="G490" s="145"/>
    </row>
    <row r="491">
      <c r="G491" s="145"/>
    </row>
    <row r="492">
      <c r="G492" s="145"/>
    </row>
    <row r="493">
      <c r="G493" s="145"/>
    </row>
    <row r="494">
      <c r="G494" s="145"/>
    </row>
    <row r="495">
      <c r="G495" s="145"/>
    </row>
    <row r="496">
      <c r="G496" s="145"/>
    </row>
    <row r="497">
      <c r="G497" s="145"/>
    </row>
    <row r="498">
      <c r="G498" s="145"/>
    </row>
    <row r="499">
      <c r="G499" s="145"/>
    </row>
    <row r="500">
      <c r="G500" s="145"/>
    </row>
    <row r="501">
      <c r="G501" s="145"/>
    </row>
    <row r="502">
      <c r="G502" s="145"/>
    </row>
    <row r="503">
      <c r="G503" s="145"/>
    </row>
    <row r="504">
      <c r="G504" s="145"/>
    </row>
    <row r="505">
      <c r="G505" s="145"/>
    </row>
    <row r="506">
      <c r="G506" s="145"/>
    </row>
    <row r="507">
      <c r="G507" s="145"/>
    </row>
    <row r="508">
      <c r="G508" s="145"/>
    </row>
    <row r="509">
      <c r="G509" s="145"/>
    </row>
    <row r="510">
      <c r="G510" s="145"/>
    </row>
    <row r="511">
      <c r="G511" s="145"/>
    </row>
    <row r="512">
      <c r="G512" s="145"/>
    </row>
    <row r="513">
      <c r="G513" s="145"/>
    </row>
    <row r="514">
      <c r="G514" s="145"/>
    </row>
    <row r="515">
      <c r="G515" s="145"/>
    </row>
    <row r="516">
      <c r="G516" s="145"/>
    </row>
    <row r="517">
      <c r="G517" s="145"/>
    </row>
    <row r="518">
      <c r="G518" s="145"/>
    </row>
    <row r="519">
      <c r="G519" s="145"/>
    </row>
    <row r="520">
      <c r="G520" s="145"/>
    </row>
    <row r="521">
      <c r="G521" s="145"/>
    </row>
    <row r="522">
      <c r="G522" s="145"/>
    </row>
    <row r="523">
      <c r="G523" s="145"/>
    </row>
    <row r="524">
      <c r="G524" s="145"/>
    </row>
    <row r="525">
      <c r="G525" s="145"/>
    </row>
    <row r="526">
      <c r="G526" s="145"/>
    </row>
    <row r="527">
      <c r="G527" s="145"/>
    </row>
    <row r="528">
      <c r="G528" s="145"/>
    </row>
    <row r="529">
      <c r="G529" s="145"/>
    </row>
    <row r="530">
      <c r="G530" s="145"/>
    </row>
    <row r="531">
      <c r="G531" s="145"/>
    </row>
    <row r="532">
      <c r="G532" s="145"/>
    </row>
    <row r="533">
      <c r="G533" s="145"/>
    </row>
    <row r="534">
      <c r="G534" s="145"/>
    </row>
    <row r="535">
      <c r="G535" s="145"/>
    </row>
    <row r="536">
      <c r="G536" s="145"/>
    </row>
    <row r="537">
      <c r="G537" s="145"/>
    </row>
    <row r="538">
      <c r="G538" s="145"/>
    </row>
    <row r="539">
      <c r="G539" s="145"/>
    </row>
    <row r="540">
      <c r="G540" s="145"/>
    </row>
    <row r="541">
      <c r="G541" s="145"/>
    </row>
    <row r="542">
      <c r="G542" s="145"/>
    </row>
    <row r="543">
      <c r="G543" s="145"/>
    </row>
    <row r="544">
      <c r="G544" s="145"/>
    </row>
    <row r="545">
      <c r="G545" s="145"/>
    </row>
    <row r="546">
      <c r="G546" s="145"/>
    </row>
    <row r="547">
      <c r="G547" s="145"/>
    </row>
    <row r="548">
      <c r="G548" s="145"/>
    </row>
    <row r="549">
      <c r="G549" s="145"/>
    </row>
    <row r="550">
      <c r="G550" s="145"/>
    </row>
    <row r="551">
      <c r="G551" s="145"/>
    </row>
    <row r="552">
      <c r="G552" s="145"/>
    </row>
    <row r="553">
      <c r="G553" s="145"/>
    </row>
    <row r="554">
      <c r="G554" s="145"/>
    </row>
    <row r="555">
      <c r="G555" s="145"/>
    </row>
    <row r="556">
      <c r="G556" s="145"/>
    </row>
    <row r="557">
      <c r="G557" s="145"/>
    </row>
    <row r="558">
      <c r="G558" s="145"/>
    </row>
    <row r="559">
      <c r="G559" s="145"/>
    </row>
    <row r="560">
      <c r="G560" s="145"/>
    </row>
    <row r="561">
      <c r="G561" s="145"/>
    </row>
    <row r="562">
      <c r="G562" s="145"/>
    </row>
    <row r="563">
      <c r="G563" s="145"/>
    </row>
    <row r="564">
      <c r="G564" s="145"/>
    </row>
    <row r="565">
      <c r="G565" s="145"/>
    </row>
    <row r="566">
      <c r="G566" s="145"/>
    </row>
    <row r="567">
      <c r="G567" s="145"/>
    </row>
    <row r="568">
      <c r="G568" s="145"/>
    </row>
    <row r="569">
      <c r="G569" s="145"/>
    </row>
    <row r="570">
      <c r="G570" s="145"/>
    </row>
    <row r="571">
      <c r="G571" s="145"/>
    </row>
    <row r="572">
      <c r="G572" s="145"/>
    </row>
    <row r="573">
      <c r="G573" s="145"/>
    </row>
    <row r="574">
      <c r="G574" s="145"/>
    </row>
    <row r="575">
      <c r="G575" s="145"/>
    </row>
    <row r="576">
      <c r="G576" s="145"/>
    </row>
    <row r="577">
      <c r="G577" s="145"/>
    </row>
    <row r="578">
      <c r="G578" s="145"/>
    </row>
    <row r="579">
      <c r="G579" s="145"/>
    </row>
    <row r="580">
      <c r="G580" s="145"/>
    </row>
    <row r="581">
      <c r="G581" s="145"/>
    </row>
    <row r="582">
      <c r="G582" s="145"/>
    </row>
    <row r="583">
      <c r="G583" s="145"/>
    </row>
    <row r="584">
      <c r="G584" s="145"/>
    </row>
    <row r="585">
      <c r="G585" s="145"/>
    </row>
    <row r="586">
      <c r="G586" s="145"/>
    </row>
    <row r="587">
      <c r="G587" s="145"/>
    </row>
    <row r="588">
      <c r="G588" s="145"/>
    </row>
    <row r="589">
      <c r="G589" s="145"/>
    </row>
    <row r="590">
      <c r="G590" s="145"/>
    </row>
    <row r="591">
      <c r="G591" s="145"/>
    </row>
    <row r="592">
      <c r="G592" s="145"/>
    </row>
    <row r="593">
      <c r="G593" s="145"/>
    </row>
    <row r="594">
      <c r="G594" s="145"/>
    </row>
    <row r="595">
      <c r="G595" s="145"/>
    </row>
    <row r="596">
      <c r="G596" s="145"/>
    </row>
    <row r="597">
      <c r="G597" s="145"/>
    </row>
    <row r="598">
      <c r="G598" s="145"/>
    </row>
    <row r="599">
      <c r="G599" s="145"/>
    </row>
    <row r="600">
      <c r="G600" s="145"/>
    </row>
    <row r="601">
      <c r="G601" s="145"/>
    </row>
    <row r="602">
      <c r="G602" s="145"/>
    </row>
    <row r="603">
      <c r="G603" s="145"/>
    </row>
    <row r="604">
      <c r="G604" s="145"/>
    </row>
    <row r="605">
      <c r="G605" s="145"/>
    </row>
    <row r="606">
      <c r="G606" s="145"/>
    </row>
    <row r="607">
      <c r="G607" s="145"/>
    </row>
    <row r="608">
      <c r="G608" s="145"/>
    </row>
    <row r="609">
      <c r="G609" s="145"/>
    </row>
    <row r="610">
      <c r="G610" s="145"/>
    </row>
    <row r="611">
      <c r="G611" s="145"/>
    </row>
    <row r="612">
      <c r="G612" s="145"/>
    </row>
    <row r="613">
      <c r="G613" s="145"/>
    </row>
    <row r="614">
      <c r="G614" s="145"/>
    </row>
    <row r="615">
      <c r="G615" s="145"/>
    </row>
    <row r="616">
      <c r="G616" s="145"/>
    </row>
    <row r="617">
      <c r="G617" s="145"/>
    </row>
    <row r="618">
      <c r="G618" s="145"/>
    </row>
    <row r="619">
      <c r="G619" s="145"/>
    </row>
    <row r="620">
      <c r="G620" s="145"/>
    </row>
    <row r="621">
      <c r="G621" s="145"/>
    </row>
    <row r="622">
      <c r="G622" s="145"/>
    </row>
    <row r="623">
      <c r="G623" s="145"/>
    </row>
    <row r="624">
      <c r="G624" s="145"/>
    </row>
    <row r="625">
      <c r="G625" s="145"/>
    </row>
    <row r="626">
      <c r="G626" s="145"/>
    </row>
    <row r="627">
      <c r="G627" s="145"/>
    </row>
    <row r="628">
      <c r="G628" s="145"/>
    </row>
    <row r="629">
      <c r="G629" s="145"/>
    </row>
    <row r="630">
      <c r="G630" s="145"/>
    </row>
    <row r="631">
      <c r="G631" s="145"/>
    </row>
    <row r="632">
      <c r="G632" s="145"/>
    </row>
    <row r="633">
      <c r="G633" s="145"/>
    </row>
    <row r="634">
      <c r="G634" s="145"/>
    </row>
    <row r="635">
      <c r="G635" s="145"/>
    </row>
    <row r="636">
      <c r="G636" s="145"/>
    </row>
    <row r="637">
      <c r="G637" s="145"/>
    </row>
    <row r="638">
      <c r="G638" s="145"/>
    </row>
    <row r="639">
      <c r="G639" s="145"/>
    </row>
    <row r="640">
      <c r="G640" s="145"/>
    </row>
    <row r="641">
      <c r="G641" s="145"/>
    </row>
    <row r="642">
      <c r="G642" s="145"/>
    </row>
    <row r="643">
      <c r="G643" s="145"/>
    </row>
    <row r="644">
      <c r="G644" s="145"/>
    </row>
    <row r="645">
      <c r="G645" s="145"/>
    </row>
    <row r="646">
      <c r="G646" s="145"/>
    </row>
    <row r="647">
      <c r="G647" s="145"/>
    </row>
    <row r="648">
      <c r="G648" s="145"/>
    </row>
    <row r="649">
      <c r="G649" s="145"/>
    </row>
    <row r="650">
      <c r="G650" s="145"/>
    </row>
    <row r="651">
      <c r="G651" s="145"/>
    </row>
    <row r="652">
      <c r="G652" s="145"/>
    </row>
    <row r="653">
      <c r="G653" s="145"/>
    </row>
    <row r="654">
      <c r="G654" s="145"/>
    </row>
    <row r="655">
      <c r="G655" s="145"/>
    </row>
    <row r="656">
      <c r="G656" s="145"/>
    </row>
    <row r="657">
      <c r="G657" s="145"/>
    </row>
    <row r="658">
      <c r="G658" s="145"/>
    </row>
    <row r="659">
      <c r="G659" s="145"/>
    </row>
    <row r="660">
      <c r="G660" s="145"/>
    </row>
    <row r="661">
      <c r="G661" s="145"/>
    </row>
    <row r="662">
      <c r="G662" s="145"/>
    </row>
    <row r="663">
      <c r="G663" s="145"/>
    </row>
    <row r="664">
      <c r="G664" s="145"/>
    </row>
    <row r="665">
      <c r="G665" s="145"/>
    </row>
    <row r="666">
      <c r="G666" s="145"/>
    </row>
    <row r="667">
      <c r="G667" s="145"/>
    </row>
    <row r="668">
      <c r="G668" s="145"/>
    </row>
    <row r="669">
      <c r="G669" s="145"/>
    </row>
    <row r="670">
      <c r="G670" s="145"/>
    </row>
    <row r="671">
      <c r="G671" s="145"/>
    </row>
    <row r="672">
      <c r="G672" s="145"/>
    </row>
    <row r="673">
      <c r="G673" s="145"/>
    </row>
    <row r="674">
      <c r="G674" s="145"/>
    </row>
    <row r="675">
      <c r="G675" s="145"/>
    </row>
    <row r="676">
      <c r="G676" s="145"/>
    </row>
    <row r="677">
      <c r="G677" s="145"/>
    </row>
    <row r="678">
      <c r="G678" s="145"/>
    </row>
    <row r="679">
      <c r="G679" s="145"/>
    </row>
    <row r="680">
      <c r="G680" s="145"/>
    </row>
    <row r="681">
      <c r="G681" s="145"/>
    </row>
    <row r="682">
      <c r="G682" s="145"/>
    </row>
    <row r="683">
      <c r="G683" s="145"/>
    </row>
    <row r="684">
      <c r="G684" s="145"/>
    </row>
    <row r="685">
      <c r="G685" s="145"/>
    </row>
    <row r="686">
      <c r="G686" s="145"/>
    </row>
    <row r="687">
      <c r="G687" s="145"/>
    </row>
    <row r="688">
      <c r="G688" s="145"/>
    </row>
    <row r="689">
      <c r="G689" s="145"/>
    </row>
    <row r="690">
      <c r="G690" s="145"/>
    </row>
    <row r="691">
      <c r="G691" s="145"/>
    </row>
    <row r="692">
      <c r="G692" s="145"/>
    </row>
    <row r="693">
      <c r="G693" s="145"/>
    </row>
    <row r="694">
      <c r="G694" s="145"/>
    </row>
    <row r="695">
      <c r="G695" s="145"/>
    </row>
    <row r="696">
      <c r="G696" s="145"/>
    </row>
    <row r="697">
      <c r="G697" s="145"/>
    </row>
    <row r="698">
      <c r="G698" s="145"/>
    </row>
    <row r="699">
      <c r="G699" s="145"/>
    </row>
    <row r="700">
      <c r="G700" s="145"/>
    </row>
    <row r="701">
      <c r="G701" s="145"/>
    </row>
    <row r="702">
      <c r="G702" s="145"/>
    </row>
    <row r="703">
      <c r="G703" s="145"/>
    </row>
    <row r="704">
      <c r="G704" s="145"/>
    </row>
    <row r="705">
      <c r="G705" s="145"/>
    </row>
    <row r="706">
      <c r="G706" s="145"/>
    </row>
    <row r="707">
      <c r="G707" s="145"/>
    </row>
    <row r="708">
      <c r="G708" s="145"/>
    </row>
    <row r="709">
      <c r="G709" s="145"/>
    </row>
    <row r="710">
      <c r="G710" s="145"/>
    </row>
    <row r="711">
      <c r="G711" s="145"/>
    </row>
    <row r="712">
      <c r="G712" s="145"/>
    </row>
    <row r="713">
      <c r="G713" s="145"/>
    </row>
    <row r="714">
      <c r="G714" s="145"/>
    </row>
    <row r="715">
      <c r="G715" s="145"/>
    </row>
    <row r="716">
      <c r="G716" s="145"/>
    </row>
    <row r="717">
      <c r="G717" s="145"/>
    </row>
    <row r="718">
      <c r="G718" s="145"/>
    </row>
    <row r="719">
      <c r="G719" s="145"/>
    </row>
    <row r="720">
      <c r="G720" s="145"/>
    </row>
    <row r="721">
      <c r="G721" s="145"/>
    </row>
    <row r="722">
      <c r="G722" s="145"/>
    </row>
    <row r="723">
      <c r="G723" s="145"/>
    </row>
    <row r="724">
      <c r="G724" s="145"/>
    </row>
    <row r="725">
      <c r="G725" s="145"/>
    </row>
    <row r="726">
      <c r="G726" s="145"/>
    </row>
    <row r="727">
      <c r="G727" s="145"/>
    </row>
    <row r="728">
      <c r="G728" s="145"/>
    </row>
    <row r="729">
      <c r="G729" s="145"/>
    </row>
    <row r="730">
      <c r="G730" s="145"/>
    </row>
    <row r="731">
      <c r="G731" s="145"/>
    </row>
    <row r="732">
      <c r="G732" s="145"/>
    </row>
    <row r="733">
      <c r="G733" s="145"/>
    </row>
    <row r="734">
      <c r="G734" s="145"/>
    </row>
    <row r="735">
      <c r="G735" s="145"/>
    </row>
    <row r="736">
      <c r="G736" s="145"/>
    </row>
    <row r="737">
      <c r="G737" s="145"/>
    </row>
    <row r="738">
      <c r="G738" s="145"/>
    </row>
    <row r="739">
      <c r="G739" s="145"/>
    </row>
    <row r="740">
      <c r="G740" s="145"/>
    </row>
    <row r="741">
      <c r="G741" s="145"/>
    </row>
    <row r="742">
      <c r="G742" s="145"/>
    </row>
    <row r="743">
      <c r="G743" s="145"/>
    </row>
    <row r="744">
      <c r="G744" s="145"/>
    </row>
    <row r="745">
      <c r="G745" s="145"/>
    </row>
    <row r="746">
      <c r="G746" s="145"/>
    </row>
    <row r="747">
      <c r="G747" s="145"/>
    </row>
    <row r="748">
      <c r="G748" s="145"/>
    </row>
    <row r="749">
      <c r="G749" s="145"/>
    </row>
    <row r="750">
      <c r="G750" s="145"/>
    </row>
    <row r="751">
      <c r="G751" s="145"/>
    </row>
    <row r="752">
      <c r="G752" s="145"/>
    </row>
    <row r="753">
      <c r="G753" s="145"/>
    </row>
    <row r="754">
      <c r="G754" s="145"/>
    </row>
    <row r="755">
      <c r="G755" s="145"/>
    </row>
    <row r="756">
      <c r="G756" s="145"/>
    </row>
    <row r="757">
      <c r="G757" s="145"/>
    </row>
    <row r="758">
      <c r="G758" s="145"/>
    </row>
    <row r="759">
      <c r="G759" s="145"/>
    </row>
    <row r="760">
      <c r="G760" s="145"/>
    </row>
    <row r="761">
      <c r="G761" s="145"/>
    </row>
    <row r="762">
      <c r="G762" s="145"/>
    </row>
    <row r="763">
      <c r="G763" s="145"/>
    </row>
    <row r="764">
      <c r="G764" s="145"/>
    </row>
    <row r="765">
      <c r="G765" s="145"/>
    </row>
    <row r="766">
      <c r="G766" s="145"/>
    </row>
    <row r="767">
      <c r="G767" s="145"/>
    </row>
    <row r="768">
      <c r="G768" s="145"/>
    </row>
    <row r="769">
      <c r="G769" s="145"/>
    </row>
    <row r="770">
      <c r="G770" s="145"/>
    </row>
    <row r="771">
      <c r="G771" s="145"/>
    </row>
    <row r="772">
      <c r="G772" s="145"/>
    </row>
    <row r="773">
      <c r="G773" s="145"/>
    </row>
    <row r="774">
      <c r="G774" s="145"/>
    </row>
    <row r="775">
      <c r="G775" s="145"/>
    </row>
    <row r="776">
      <c r="G776" s="145"/>
    </row>
    <row r="777">
      <c r="G777" s="145"/>
    </row>
    <row r="778">
      <c r="G778" s="145"/>
    </row>
    <row r="779">
      <c r="G779" s="145"/>
    </row>
    <row r="780">
      <c r="G780" s="145"/>
    </row>
    <row r="781">
      <c r="G781" s="145"/>
    </row>
    <row r="782">
      <c r="G782" s="145"/>
    </row>
    <row r="783">
      <c r="G783" s="145"/>
    </row>
    <row r="784">
      <c r="G784" s="145"/>
    </row>
    <row r="785">
      <c r="G785" s="145"/>
    </row>
    <row r="786">
      <c r="G786" s="145"/>
    </row>
    <row r="787">
      <c r="G787" s="145"/>
    </row>
    <row r="788">
      <c r="G788" s="145"/>
    </row>
    <row r="789">
      <c r="G789" s="145"/>
    </row>
    <row r="790">
      <c r="G790" s="145"/>
    </row>
    <row r="791">
      <c r="G791" s="145"/>
    </row>
    <row r="792">
      <c r="G792" s="145"/>
    </row>
    <row r="793">
      <c r="G793" s="145"/>
    </row>
    <row r="794">
      <c r="G794" s="145"/>
    </row>
    <row r="795">
      <c r="G795" s="145"/>
    </row>
    <row r="796">
      <c r="G796" s="145"/>
    </row>
    <row r="797">
      <c r="G797" s="145"/>
    </row>
    <row r="798">
      <c r="G798" s="145"/>
    </row>
    <row r="799">
      <c r="G799" s="145"/>
    </row>
    <row r="800">
      <c r="G800" s="145"/>
    </row>
    <row r="801">
      <c r="G801" s="145"/>
    </row>
    <row r="802">
      <c r="G802" s="145"/>
    </row>
    <row r="803">
      <c r="G803" s="145"/>
    </row>
    <row r="804">
      <c r="G804" s="145"/>
    </row>
    <row r="805">
      <c r="G805" s="145"/>
    </row>
    <row r="806">
      <c r="G806" s="145"/>
    </row>
    <row r="807">
      <c r="G807" s="145"/>
    </row>
    <row r="808">
      <c r="G808" s="145"/>
    </row>
    <row r="809">
      <c r="G809" s="145"/>
    </row>
    <row r="810">
      <c r="G810" s="145"/>
    </row>
    <row r="811">
      <c r="G811" s="145"/>
    </row>
    <row r="812">
      <c r="G812" s="145"/>
    </row>
    <row r="813">
      <c r="G813" s="145"/>
    </row>
    <row r="814">
      <c r="G814" s="145"/>
    </row>
    <row r="815">
      <c r="G815" s="145"/>
    </row>
    <row r="816">
      <c r="G816" s="145"/>
    </row>
    <row r="817">
      <c r="G817" s="145"/>
    </row>
    <row r="818">
      <c r="G818" s="145"/>
    </row>
    <row r="819">
      <c r="G819" s="145"/>
    </row>
    <row r="820">
      <c r="G820" s="145"/>
    </row>
    <row r="821">
      <c r="G821" s="145"/>
    </row>
    <row r="822">
      <c r="G822" s="145"/>
    </row>
    <row r="823">
      <c r="G823" s="145"/>
    </row>
    <row r="824">
      <c r="G824" s="145"/>
    </row>
    <row r="825">
      <c r="G825" s="145"/>
    </row>
    <row r="826">
      <c r="G826" s="145"/>
    </row>
    <row r="827">
      <c r="G827" s="145"/>
    </row>
    <row r="828">
      <c r="G828" s="145"/>
    </row>
    <row r="829">
      <c r="G829" s="145"/>
    </row>
    <row r="830">
      <c r="G830" s="145"/>
    </row>
    <row r="831">
      <c r="G831" s="145"/>
    </row>
    <row r="832">
      <c r="G832" s="145"/>
    </row>
    <row r="833">
      <c r="G833" s="145"/>
    </row>
    <row r="834">
      <c r="G834" s="145"/>
    </row>
    <row r="835">
      <c r="G835" s="145"/>
    </row>
    <row r="836">
      <c r="G836" s="145"/>
    </row>
    <row r="837">
      <c r="G837" s="145"/>
    </row>
    <row r="838">
      <c r="G838" s="145"/>
    </row>
    <row r="839">
      <c r="G839" s="145"/>
    </row>
    <row r="840">
      <c r="G840" s="145"/>
    </row>
    <row r="841">
      <c r="G841" s="145"/>
    </row>
    <row r="842">
      <c r="G842" s="145"/>
    </row>
    <row r="843">
      <c r="G843" s="145"/>
    </row>
    <row r="844">
      <c r="G844" s="145"/>
    </row>
    <row r="845">
      <c r="G845" s="145"/>
    </row>
    <row r="846">
      <c r="G846" s="145"/>
    </row>
    <row r="847">
      <c r="G847" s="145"/>
    </row>
    <row r="848">
      <c r="G848" s="145"/>
    </row>
    <row r="849">
      <c r="G849" s="145"/>
    </row>
    <row r="850">
      <c r="G850" s="145"/>
    </row>
    <row r="851">
      <c r="G851" s="145"/>
    </row>
    <row r="852">
      <c r="G852" s="145"/>
    </row>
    <row r="853">
      <c r="G853" s="145"/>
    </row>
    <row r="854">
      <c r="G854" s="145"/>
    </row>
    <row r="855">
      <c r="G855" s="145"/>
    </row>
    <row r="856">
      <c r="G856" s="145"/>
    </row>
    <row r="857">
      <c r="G857" s="145"/>
    </row>
    <row r="858">
      <c r="G858" s="145"/>
    </row>
    <row r="859">
      <c r="G859" s="145"/>
    </row>
    <row r="860">
      <c r="G860" s="145"/>
    </row>
    <row r="861">
      <c r="G861" s="145"/>
    </row>
    <row r="862">
      <c r="G862" s="145"/>
    </row>
    <row r="863">
      <c r="G863" s="145"/>
    </row>
    <row r="864">
      <c r="G864" s="145"/>
    </row>
    <row r="865">
      <c r="G865" s="145"/>
    </row>
    <row r="866">
      <c r="G866" s="145"/>
    </row>
    <row r="867">
      <c r="G867" s="145"/>
    </row>
    <row r="868">
      <c r="G868" s="145"/>
    </row>
    <row r="869">
      <c r="G869" s="145"/>
    </row>
    <row r="870">
      <c r="G870" s="145"/>
    </row>
    <row r="871">
      <c r="G871" s="145"/>
    </row>
    <row r="872">
      <c r="G872" s="145"/>
    </row>
    <row r="873">
      <c r="G873" s="145"/>
    </row>
    <row r="874">
      <c r="G874" s="145"/>
    </row>
    <row r="875">
      <c r="G875" s="145"/>
    </row>
    <row r="876">
      <c r="G876" s="145"/>
    </row>
    <row r="877">
      <c r="G877" s="145"/>
    </row>
    <row r="878">
      <c r="G878" s="145"/>
    </row>
    <row r="879">
      <c r="G879" s="145"/>
    </row>
    <row r="880">
      <c r="G880" s="145"/>
    </row>
    <row r="881">
      <c r="G881" s="145"/>
    </row>
    <row r="882">
      <c r="G882" s="145"/>
    </row>
    <row r="883">
      <c r="G883" s="145"/>
    </row>
    <row r="884">
      <c r="G884" s="145"/>
    </row>
    <row r="885">
      <c r="G885" s="145"/>
    </row>
    <row r="886">
      <c r="G886" s="145"/>
    </row>
    <row r="887">
      <c r="G887" s="145"/>
    </row>
    <row r="888">
      <c r="G888" s="145"/>
    </row>
    <row r="889">
      <c r="G889" s="145"/>
    </row>
    <row r="890">
      <c r="G890" s="145"/>
    </row>
    <row r="891">
      <c r="G891" s="145"/>
    </row>
    <row r="892">
      <c r="G892" s="145"/>
    </row>
    <row r="893">
      <c r="G893" s="145"/>
    </row>
    <row r="894">
      <c r="G894" s="145"/>
    </row>
    <row r="895">
      <c r="G895" s="145"/>
    </row>
    <row r="896">
      <c r="G896" s="145"/>
    </row>
    <row r="897">
      <c r="G897" s="145"/>
    </row>
    <row r="898">
      <c r="G898" s="145"/>
    </row>
    <row r="899">
      <c r="G899" s="145"/>
    </row>
    <row r="900">
      <c r="G900" s="145"/>
    </row>
    <row r="901">
      <c r="G901" s="145"/>
    </row>
    <row r="902">
      <c r="G902" s="145"/>
    </row>
    <row r="903">
      <c r="G903" s="145"/>
    </row>
    <row r="904">
      <c r="G904" s="145"/>
    </row>
    <row r="905">
      <c r="G905" s="145"/>
    </row>
    <row r="906">
      <c r="G906" s="145"/>
    </row>
    <row r="907">
      <c r="G907" s="145"/>
    </row>
    <row r="908">
      <c r="G908" s="145"/>
    </row>
    <row r="909">
      <c r="G909" s="145"/>
    </row>
    <row r="910">
      <c r="G910" s="145"/>
    </row>
    <row r="911">
      <c r="G911" s="145"/>
    </row>
    <row r="912">
      <c r="G912" s="145"/>
    </row>
    <row r="913">
      <c r="G913" s="145"/>
    </row>
    <row r="914">
      <c r="G914" s="145"/>
    </row>
    <row r="915">
      <c r="G915" s="145"/>
    </row>
    <row r="916">
      <c r="G916" s="145"/>
    </row>
    <row r="917">
      <c r="G917" s="145"/>
    </row>
    <row r="918">
      <c r="G918" s="145"/>
    </row>
    <row r="919">
      <c r="G919" s="145"/>
    </row>
    <row r="920">
      <c r="G920" s="145"/>
    </row>
    <row r="921">
      <c r="G921" s="145"/>
    </row>
    <row r="922">
      <c r="G922" s="145"/>
    </row>
    <row r="923">
      <c r="G923" s="145"/>
    </row>
    <row r="924">
      <c r="G924" s="145"/>
    </row>
    <row r="925">
      <c r="G925" s="145"/>
    </row>
    <row r="926">
      <c r="G926" s="145"/>
    </row>
    <row r="927">
      <c r="G927" s="145"/>
    </row>
    <row r="928">
      <c r="G928" s="145"/>
    </row>
    <row r="929">
      <c r="G929" s="145"/>
    </row>
    <row r="930">
      <c r="G930" s="145"/>
    </row>
    <row r="931">
      <c r="G931" s="145"/>
    </row>
    <row r="932">
      <c r="G932" s="145"/>
    </row>
    <row r="933">
      <c r="G933" s="145"/>
    </row>
    <row r="934">
      <c r="G934" s="145"/>
    </row>
    <row r="935">
      <c r="G935" s="145"/>
    </row>
    <row r="936">
      <c r="G936" s="145"/>
    </row>
    <row r="937">
      <c r="G937" s="145"/>
    </row>
    <row r="938">
      <c r="G938" s="145"/>
    </row>
    <row r="939">
      <c r="G939" s="145"/>
    </row>
    <row r="940">
      <c r="G940" s="145"/>
    </row>
    <row r="941">
      <c r="G941" s="145"/>
    </row>
    <row r="942">
      <c r="G942" s="145"/>
    </row>
    <row r="943">
      <c r="G943" s="145"/>
    </row>
    <row r="944">
      <c r="G944" s="145"/>
    </row>
    <row r="945">
      <c r="G945" s="145"/>
    </row>
    <row r="946">
      <c r="G946" s="145"/>
    </row>
    <row r="947">
      <c r="G947" s="145"/>
    </row>
    <row r="948">
      <c r="G948" s="145"/>
    </row>
    <row r="949">
      <c r="G949" s="145"/>
    </row>
    <row r="950">
      <c r="G950" s="145"/>
    </row>
    <row r="951">
      <c r="G951" s="145"/>
    </row>
    <row r="952">
      <c r="G952" s="145"/>
    </row>
    <row r="953">
      <c r="G953" s="145"/>
    </row>
    <row r="954">
      <c r="G954" s="145"/>
    </row>
    <row r="955">
      <c r="G955" s="145"/>
    </row>
    <row r="956">
      <c r="G956" s="145"/>
    </row>
    <row r="957">
      <c r="G957" s="145"/>
    </row>
    <row r="958">
      <c r="G958" s="145"/>
    </row>
    <row r="959">
      <c r="G959" s="145"/>
    </row>
    <row r="960">
      <c r="G960" s="145"/>
    </row>
    <row r="961">
      <c r="G961" s="145"/>
    </row>
    <row r="962">
      <c r="G962" s="145"/>
    </row>
    <row r="963">
      <c r="G963" s="145"/>
    </row>
    <row r="964">
      <c r="G964" s="145"/>
    </row>
    <row r="965">
      <c r="G965" s="145"/>
    </row>
    <row r="966">
      <c r="G966" s="145"/>
    </row>
    <row r="967">
      <c r="G967" s="145"/>
    </row>
    <row r="968">
      <c r="G968" s="145"/>
    </row>
    <row r="969">
      <c r="G969" s="145"/>
    </row>
    <row r="970">
      <c r="G970" s="145"/>
    </row>
    <row r="971">
      <c r="G971" s="145"/>
    </row>
    <row r="972">
      <c r="G972" s="145"/>
    </row>
    <row r="973">
      <c r="G973" s="145"/>
    </row>
    <row r="974">
      <c r="G974" s="145"/>
    </row>
    <row r="975">
      <c r="G975" s="145"/>
    </row>
    <row r="976">
      <c r="G976" s="145"/>
    </row>
    <row r="977">
      <c r="G977" s="145"/>
    </row>
    <row r="978">
      <c r="G978" s="145"/>
    </row>
    <row r="979">
      <c r="G979" s="145"/>
    </row>
    <row r="980">
      <c r="G980" s="145"/>
    </row>
    <row r="981">
      <c r="G981" s="145"/>
    </row>
    <row r="982">
      <c r="G982" s="145"/>
    </row>
    <row r="983">
      <c r="G983" s="145"/>
    </row>
    <row r="984">
      <c r="G984" s="145"/>
    </row>
    <row r="985">
      <c r="G985" s="145"/>
    </row>
    <row r="986">
      <c r="G986" s="145"/>
    </row>
    <row r="987">
      <c r="G987" s="145"/>
    </row>
    <row r="988">
      <c r="G988" s="145"/>
    </row>
    <row r="989">
      <c r="G989" s="145"/>
    </row>
    <row r="990">
      <c r="G990" s="145"/>
    </row>
    <row r="991">
      <c r="G991" s="145"/>
    </row>
    <row r="992">
      <c r="G992" s="145"/>
    </row>
    <row r="993">
      <c r="G993" s="145"/>
    </row>
    <row r="994">
      <c r="G994" s="145"/>
    </row>
    <row r="995">
      <c r="G995" s="145"/>
    </row>
    <row r="996">
      <c r="G996" s="145"/>
    </row>
    <row r="997">
      <c r="G997" s="145"/>
    </row>
    <row r="998">
      <c r="G998" s="145"/>
    </row>
    <row r="999">
      <c r="G999" s="145"/>
    </row>
    <row r="1000">
      <c r="G1000" s="145"/>
    </row>
    <row r="1001">
      <c r="G1001" s="145"/>
    </row>
    <row r="1002">
      <c r="G1002" s="145"/>
    </row>
    <row r="1003">
      <c r="G1003" s="145"/>
    </row>
    <row r="1004">
      <c r="G1004" s="145"/>
    </row>
    <row r="1005">
      <c r="G1005" s="145"/>
    </row>
    <row r="1006">
      <c r="G1006" s="145"/>
    </row>
    <row r="1007">
      <c r="G1007" s="145"/>
    </row>
    <row r="1008">
      <c r="G1008" s="145"/>
    </row>
    <row r="1009">
      <c r="G1009" s="145"/>
    </row>
    <row r="1010">
      <c r="G1010" s="145"/>
    </row>
    <row r="1011">
      <c r="G1011" s="145"/>
    </row>
    <row r="1012">
      <c r="G1012" s="145"/>
    </row>
    <row r="1013">
      <c r="G1013" s="145"/>
    </row>
    <row r="1014">
      <c r="G1014" s="145"/>
    </row>
    <row r="1015">
      <c r="G1015" s="145"/>
    </row>
    <row r="1016">
      <c r="G1016" s="145"/>
    </row>
    <row r="1017">
      <c r="G1017" s="145"/>
    </row>
    <row r="1018">
      <c r="G1018" s="145"/>
    </row>
    <row r="1019">
      <c r="G1019" s="145"/>
    </row>
    <row r="1020">
      <c r="G1020" s="145"/>
    </row>
    <row r="1021">
      <c r="G1021" s="145"/>
    </row>
    <row r="1022">
      <c r="G1022" s="145"/>
    </row>
    <row r="1023">
      <c r="G1023" s="145"/>
    </row>
    <row r="1024">
      <c r="G1024" s="145"/>
    </row>
    <row r="1025">
      <c r="G1025" s="145"/>
    </row>
    <row r="1026">
      <c r="G1026" s="145"/>
    </row>
    <row r="1027">
      <c r="G1027" s="145"/>
    </row>
    <row r="1028">
      <c r="G1028" s="145"/>
    </row>
    <row r="1029">
      <c r="G1029" s="145"/>
    </row>
    <row r="1030">
      <c r="G1030" s="145"/>
    </row>
    <row r="1031">
      <c r="G1031" s="145"/>
    </row>
    <row r="1032">
      <c r="G1032" s="145"/>
    </row>
    <row r="1033">
      <c r="G1033" s="145"/>
    </row>
    <row r="1034">
      <c r="G1034" s="145"/>
    </row>
    <row r="1035">
      <c r="G1035" s="145"/>
    </row>
    <row r="1036">
      <c r="G1036" s="145"/>
    </row>
    <row r="1037">
      <c r="G1037" s="145"/>
    </row>
    <row r="1038">
      <c r="G1038" s="145"/>
    </row>
    <row r="1039">
      <c r="G1039" s="145"/>
    </row>
    <row r="1040">
      <c r="G1040" s="145"/>
    </row>
    <row r="1041">
      <c r="G1041" s="145"/>
    </row>
    <row r="1042">
      <c r="G1042" s="145"/>
    </row>
    <row r="1043">
      <c r="G1043" s="145"/>
    </row>
    <row r="1044">
      <c r="G1044" s="145"/>
    </row>
    <row r="1045">
      <c r="G1045" s="145"/>
    </row>
    <row r="1046">
      <c r="G1046" s="145"/>
    </row>
    <row r="1047">
      <c r="G1047" s="145"/>
    </row>
    <row r="1048">
      <c r="G1048" s="145"/>
    </row>
    <row r="1049">
      <c r="G1049" s="145"/>
    </row>
    <row r="1050">
      <c r="G1050" s="145"/>
    </row>
    <row r="1051">
      <c r="G1051" s="145"/>
    </row>
    <row r="1052">
      <c r="G1052" s="145"/>
    </row>
    <row r="1053">
      <c r="G1053" s="145"/>
    </row>
    <row r="1054">
      <c r="G1054" s="145"/>
    </row>
    <row r="1055">
      <c r="G1055" s="145"/>
    </row>
    <row r="1056">
      <c r="G1056" s="145"/>
    </row>
    <row r="1057">
      <c r="G1057" s="145"/>
    </row>
    <row r="1058">
      <c r="G1058" s="145"/>
    </row>
    <row r="1059">
      <c r="G1059" s="145"/>
    </row>
    <row r="1060">
      <c r="G1060" s="145"/>
    </row>
    <row r="1061">
      <c r="G1061" s="145"/>
    </row>
    <row r="1062">
      <c r="G1062" s="145"/>
    </row>
    <row r="1063">
      <c r="G1063" s="145"/>
    </row>
    <row r="1064">
      <c r="G1064" s="145"/>
    </row>
    <row r="1065">
      <c r="G1065" s="145"/>
    </row>
    <row r="1066">
      <c r="G1066" s="145"/>
    </row>
    <row r="1067">
      <c r="G1067" s="145"/>
    </row>
    <row r="1068">
      <c r="G1068" s="145"/>
    </row>
    <row r="1069">
      <c r="G1069" s="145"/>
    </row>
    <row r="1070">
      <c r="G1070" s="145"/>
    </row>
    <row r="1071">
      <c r="G1071" s="145"/>
    </row>
    <row r="1072">
      <c r="G1072" s="145"/>
    </row>
    <row r="1073">
      <c r="G1073" s="145"/>
    </row>
    <row r="1074">
      <c r="G1074" s="145"/>
    </row>
    <row r="1075">
      <c r="G1075" s="145"/>
    </row>
    <row r="1076">
      <c r="G1076" s="145"/>
    </row>
    <row r="1077">
      <c r="G1077" s="145"/>
    </row>
    <row r="1078">
      <c r="G1078" s="145"/>
    </row>
    <row r="1079">
      <c r="G1079" s="145"/>
    </row>
    <row r="1080">
      <c r="G1080" s="145"/>
    </row>
    <row r="1081">
      <c r="G1081" s="145"/>
    </row>
    <row r="1082">
      <c r="G1082" s="145"/>
    </row>
    <row r="1083">
      <c r="G1083" s="145"/>
    </row>
    <row r="1084">
      <c r="G1084" s="145"/>
    </row>
    <row r="1085">
      <c r="G1085" s="145"/>
    </row>
    <row r="1086">
      <c r="G1086" s="145"/>
    </row>
    <row r="1087">
      <c r="G1087" s="145"/>
    </row>
    <row r="1088">
      <c r="G1088" s="145"/>
    </row>
    <row r="1089">
      <c r="G1089" s="145"/>
    </row>
    <row r="1090">
      <c r="G1090" s="145"/>
    </row>
    <row r="1091">
      <c r="G1091" s="145"/>
    </row>
    <row r="1092">
      <c r="G1092" s="145"/>
    </row>
    <row r="1093">
      <c r="G1093" s="145"/>
    </row>
    <row r="1094">
      <c r="G1094" s="145"/>
    </row>
    <row r="1095">
      <c r="G1095" s="145"/>
    </row>
    <row r="1096">
      <c r="G1096" s="145"/>
    </row>
    <row r="1097">
      <c r="G1097" s="145"/>
    </row>
    <row r="1098">
      <c r="G1098" s="145"/>
    </row>
    <row r="1099">
      <c r="G1099" s="145"/>
    </row>
    <row r="1100">
      <c r="G1100" s="145"/>
    </row>
    <row r="1101">
      <c r="G1101" s="145"/>
    </row>
    <row r="1102">
      <c r="G1102" s="145"/>
    </row>
    <row r="1103">
      <c r="G1103" s="145"/>
    </row>
    <row r="1104">
      <c r="G1104" s="145"/>
    </row>
    <row r="1105">
      <c r="G1105" s="145"/>
    </row>
    <row r="1106">
      <c r="G1106" s="145"/>
    </row>
    <row r="1107">
      <c r="G1107" s="145"/>
    </row>
    <row r="1108">
      <c r="G1108" s="145"/>
    </row>
    <row r="1109">
      <c r="G1109" s="145"/>
    </row>
    <row r="1110">
      <c r="G1110" s="145"/>
    </row>
    <row r="1111">
      <c r="G1111" s="145"/>
    </row>
    <row r="1112">
      <c r="G1112" s="145"/>
    </row>
    <row r="1113">
      <c r="G1113" s="145"/>
    </row>
    <row r="1114">
      <c r="G1114" s="145"/>
    </row>
    <row r="1115">
      <c r="G1115" s="145"/>
    </row>
    <row r="1116">
      <c r="G1116" s="145"/>
    </row>
    <row r="1117">
      <c r="G1117" s="145"/>
    </row>
    <row r="1118">
      <c r="G1118" s="145"/>
    </row>
    <row r="1119">
      <c r="G1119" s="145"/>
    </row>
    <row r="1120">
      <c r="G1120" s="145"/>
    </row>
    <row r="1121">
      <c r="G1121" s="145"/>
    </row>
    <row r="1122">
      <c r="G1122" s="145"/>
    </row>
    <row r="1123">
      <c r="G1123" s="145"/>
    </row>
    <row r="1124">
      <c r="G1124" s="145"/>
    </row>
    <row r="1125">
      <c r="G1125" s="145"/>
    </row>
    <row r="1126">
      <c r="G1126" s="145"/>
    </row>
    <row r="1127">
      <c r="G1127" s="145"/>
    </row>
    <row r="1128">
      <c r="G1128" s="145"/>
    </row>
    <row r="1129">
      <c r="G1129" s="145"/>
    </row>
    <row r="1130">
      <c r="G1130" s="145"/>
    </row>
    <row r="1131">
      <c r="G1131" s="145"/>
    </row>
    <row r="1132">
      <c r="G1132" s="145"/>
    </row>
    <row r="1133">
      <c r="G1133" s="145"/>
    </row>
    <row r="1134">
      <c r="G1134" s="145"/>
    </row>
    <row r="1135">
      <c r="G1135" s="145"/>
    </row>
    <row r="1136">
      <c r="G1136" s="145"/>
    </row>
    <row r="1137">
      <c r="G1137" s="145"/>
    </row>
    <row r="1138">
      <c r="G1138" s="145"/>
    </row>
    <row r="1139">
      <c r="G1139" s="145"/>
    </row>
    <row r="1140">
      <c r="G1140" s="145"/>
    </row>
    <row r="1141">
      <c r="G1141" s="145"/>
    </row>
    <row r="1142">
      <c r="G1142" s="145"/>
    </row>
    <row r="1143">
      <c r="G1143" s="145"/>
    </row>
    <row r="1144">
      <c r="G1144" s="145"/>
    </row>
    <row r="1145">
      <c r="G1145" s="145"/>
    </row>
    <row r="1146">
      <c r="G1146" s="145"/>
    </row>
    <row r="1147">
      <c r="G1147" s="145"/>
    </row>
    <row r="1148">
      <c r="G1148" s="145"/>
    </row>
    <row r="1149">
      <c r="G1149" s="145"/>
    </row>
    <row r="1150">
      <c r="G1150" s="145"/>
    </row>
    <row r="1151">
      <c r="G1151" s="145"/>
    </row>
    <row r="1152">
      <c r="G1152" s="145"/>
    </row>
    <row r="1153">
      <c r="G1153" s="145"/>
    </row>
    <row r="1154">
      <c r="G1154" s="145"/>
    </row>
    <row r="1155">
      <c r="G1155" s="145"/>
    </row>
    <row r="1156">
      <c r="G1156" s="145"/>
    </row>
    <row r="1157">
      <c r="G1157" s="145"/>
    </row>
    <row r="1158">
      <c r="G1158" s="145"/>
    </row>
    <row r="1159">
      <c r="G1159" s="145"/>
    </row>
    <row r="1160">
      <c r="G1160" s="145"/>
    </row>
    <row r="1161">
      <c r="G1161" s="145"/>
    </row>
    <row r="1162">
      <c r="G1162" s="145"/>
    </row>
    <row r="1163">
      <c r="G1163" s="145"/>
    </row>
    <row r="1164">
      <c r="G1164" s="145"/>
    </row>
    <row r="1165">
      <c r="G1165" s="145"/>
    </row>
    <row r="1166">
      <c r="G1166" s="145"/>
    </row>
    <row r="1167">
      <c r="G1167" s="145"/>
    </row>
    <row r="1168">
      <c r="G1168" s="145"/>
    </row>
    <row r="1169">
      <c r="G1169" s="145"/>
    </row>
    <row r="1170">
      <c r="G1170" s="145"/>
    </row>
    <row r="1171">
      <c r="G1171" s="145"/>
    </row>
    <row r="1172">
      <c r="G1172" s="145"/>
    </row>
    <row r="1173">
      <c r="G1173" s="145"/>
    </row>
    <row r="1174">
      <c r="G1174" s="145"/>
    </row>
    <row r="1175">
      <c r="G1175" s="145"/>
    </row>
    <row r="1176">
      <c r="G1176" s="145"/>
    </row>
    <row r="1177">
      <c r="G1177" s="145"/>
    </row>
    <row r="1178">
      <c r="G1178" s="145"/>
    </row>
    <row r="1179">
      <c r="G1179" s="145"/>
    </row>
    <row r="1180">
      <c r="G1180" s="145"/>
    </row>
    <row r="1181">
      <c r="G1181" s="145"/>
    </row>
    <row r="1182">
      <c r="G1182" s="145"/>
    </row>
    <row r="1183">
      <c r="G1183" s="145"/>
    </row>
    <row r="1184">
      <c r="G1184" s="145"/>
    </row>
    <row r="1185">
      <c r="G1185" s="145"/>
    </row>
    <row r="1186">
      <c r="G1186" s="145"/>
    </row>
    <row r="1187">
      <c r="G1187" s="145"/>
    </row>
    <row r="1188">
      <c r="G1188" s="145"/>
    </row>
    <row r="1189">
      <c r="G1189" s="145"/>
    </row>
    <row r="1190">
      <c r="G1190" s="145"/>
    </row>
    <row r="1191">
      <c r="G1191" s="145"/>
    </row>
    <row r="1192">
      <c r="G1192" s="145"/>
    </row>
    <row r="1193">
      <c r="G1193" s="145"/>
    </row>
    <row r="1194">
      <c r="G1194" s="145"/>
    </row>
    <row r="1195">
      <c r="G1195" s="145"/>
    </row>
    <row r="1196">
      <c r="G1196" s="145"/>
    </row>
    <row r="1197">
      <c r="G1197" s="145"/>
    </row>
    <row r="1198">
      <c r="G1198" s="145"/>
    </row>
    <row r="1199">
      <c r="G1199" s="145"/>
    </row>
    <row r="1200">
      <c r="G1200" s="145"/>
    </row>
    <row r="1201">
      <c r="G1201" s="145"/>
    </row>
    <row r="1202">
      <c r="G1202" s="145"/>
    </row>
    <row r="1203">
      <c r="G1203" s="145"/>
    </row>
    <row r="1204">
      <c r="G1204" s="145"/>
    </row>
    <row r="1205">
      <c r="G1205" s="145"/>
    </row>
    <row r="1206">
      <c r="G1206" s="145"/>
    </row>
    <row r="1207">
      <c r="G1207" s="145"/>
    </row>
    <row r="1208">
      <c r="G1208" s="145"/>
    </row>
    <row r="1209">
      <c r="G1209" s="145"/>
    </row>
    <row r="1210">
      <c r="G1210" s="145"/>
    </row>
    <row r="1211">
      <c r="G1211" s="145"/>
    </row>
    <row r="1212">
      <c r="G1212" s="145"/>
    </row>
    <row r="1213">
      <c r="G1213" s="145"/>
    </row>
    <row r="1214">
      <c r="G1214" s="145"/>
    </row>
    <row r="1215">
      <c r="G1215" s="145"/>
    </row>
    <row r="1216">
      <c r="G1216" s="145"/>
    </row>
    <row r="1217">
      <c r="G1217" s="145"/>
    </row>
    <row r="1218">
      <c r="G1218" s="145"/>
    </row>
    <row r="1219">
      <c r="G1219" s="145"/>
    </row>
    <row r="1220">
      <c r="G1220" s="145"/>
    </row>
    <row r="1221">
      <c r="G1221" s="145"/>
    </row>
    <row r="1222">
      <c r="G1222" s="145"/>
    </row>
    <row r="1223">
      <c r="G1223" s="145"/>
    </row>
    <row r="1224">
      <c r="G1224" s="145"/>
    </row>
    <row r="1225">
      <c r="G1225" s="145"/>
    </row>
    <row r="1226">
      <c r="G1226" s="145"/>
    </row>
    <row r="1227">
      <c r="G1227" s="145"/>
    </row>
    <row r="1228">
      <c r="G1228" s="145"/>
    </row>
    <row r="1229">
      <c r="G1229" s="145"/>
    </row>
    <row r="1230">
      <c r="G1230" s="145"/>
    </row>
    <row r="1231">
      <c r="G1231" s="145"/>
    </row>
    <row r="1232">
      <c r="G1232" s="145"/>
    </row>
    <row r="1233">
      <c r="G1233" s="145"/>
    </row>
    <row r="1234">
      <c r="G1234" s="145"/>
    </row>
    <row r="1235">
      <c r="G1235" s="145"/>
    </row>
    <row r="1236">
      <c r="G1236" s="145"/>
    </row>
    <row r="1237">
      <c r="G1237" s="145"/>
    </row>
    <row r="1238">
      <c r="G1238" s="145"/>
    </row>
    <row r="1239">
      <c r="G1239" s="145"/>
    </row>
    <row r="1240">
      <c r="G1240" s="145"/>
    </row>
    <row r="1241">
      <c r="G1241" s="145"/>
    </row>
    <row r="1242">
      <c r="G1242" s="145"/>
    </row>
    <row r="1243">
      <c r="G1243" s="145"/>
    </row>
    <row r="1244">
      <c r="G1244" s="145"/>
    </row>
    <row r="1245">
      <c r="G1245" s="145"/>
    </row>
    <row r="1246">
      <c r="G1246" s="145"/>
    </row>
    <row r="1247">
      <c r="G1247" s="145"/>
    </row>
    <row r="1248">
      <c r="G1248" s="145"/>
    </row>
    <row r="1249">
      <c r="G1249" s="145"/>
    </row>
    <row r="1250">
      <c r="G1250" s="145"/>
    </row>
    <row r="1251">
      <c r="G1251" s="145"/>
    </row>
    <row r="1252">
      <c r="G1252" s="145"/>
    </row>
    <row r="1253">
      <c r="G1253" s="145"/>
    </row>
    <row r="1254">
      <c r="G1254" s="145"/>
    </row>
    <row r="1255">
      <c r="G1255" s="145"/>
    </row>
    <row r="1256">
      <c r="G1256" s="145"/>
    </row>
    <row r="1257">
      <c r="G1257" s="145"/>
    </row>
    <row r="1258">
      <c r="G1258" s="145"/>
    </row>
    <row r="1259">
      <c r="G1259" s="145"/>
    </row>
    <row r="1260">
      <c r="G1260" s="145"/>
    </row>
    <row r="1261">
      <c r="G1261" s="145"/>
    </row>
    <row r="1262">
      <c r="G1262" s="145"/>
    </row>
    <row r="1263">
      <c r="G1263" s="145"/>
    </row>
    <row r="1264">
      <c r="G1264" s="145"/>
    </row>
    <row r="1265">
      <c r="G1265" s="145"/>
    </row>
    <row r="1266">
      <c r="G1266" s="145"/>
    </row>
    <row r="1267">
      <c r="G1267" s="145"/>
    </row>
    <row r="1268">
      <c r="G1268" s="145"/>
    </row>
    <row r="1269">
      <c r="G1269" s="145"/>
    </row>
    <row r="1270">
      <c r="G1270" s="145"/>
    </row>
    <row r="1271">
      <c r="G1271" s="145"/>
    </row>
    <row r="1272">
      <c r="G1272" s="145"/>
    </row>
    <row r="1273">
      <c r="G1273" s="145"/>
    </row>
    <row r="1274">
      <c r="G1274" s="145"/>
    </row>
    <row r="1275">
      <c r="G1275" s="145"/>
    </row>
    <row r="1276">
      <c r="G1276" s="145"/>
    </row>
    <row r="1277">
      <c r="G1277" s="145"/>
    </row>
    <row r="1278">
      <c r="G1278" s="145"/>
    </row>
    <row r="1279">
      <c r="G1279" s="145"/>
    </row>
    <row r="1280">
      <c r="G1280" s="145"/>
    </row>
    <row r="1281">
      <c r="G1281" s="145"/>
    </row>
    <row r="1282">
      <c r="G1282" s="145"/>
    </row>
    <row r="1283">
      <c r="G1283" s="145"/>
    </row>
    <row r="1284">
      <c r="G1284" s="145"/>
    </row>
    <row r="1285">
      <c r="G1285" s="145"/>
    </row>
    <row r="1286">
      <c r="G1286" s="145"/>
    </row>
    <row r="1287">
      <c r="G1287" s="145"/>
    </row>
    <row r="1288">
      <c r="G1288" s="145"/>
    </row>
    <row r="1289">
      <c r="G1289" s="145"/>
    </row>
    <row r="1290">
      <c r="G1290" s="145"/>
    </row>
    <row r="1291">
      <c r="G1291" s="145"/>
    </row>
    <row r="1292">
      <c r="G1292" s="145"/>
    </row>
    <row r="1293">
      <c r="G1293" s="145"/>
    </row>
    <row r="1294">
      <c r="G1294" s="145"/>
    </row>
    <row r="1295">
      <c r="G1295" s="145"/>
    </row>
    <row r="1296">
      <c r="G1296" s="145"/>
    </row>
    <row r="1297">
      <c r="G1297" s="145"/>
    </row>
    <row r="1298">
      <c r="G1298" s="145"/>
    </row>
    <row r="1299">
      <c r="G1299" s="145"/>
    </row>
    <row r="1300">
      <c r="G1300" s="145"/>
    </row>
    <row r="1301">
      <c r="G1301" s="145"/>
    </row>
    <row r="1302">
      <c r="G1302" s="145"/>
    </row>
    <row r="1303">
      <c r="G1303" s="145"/>
    </row>
    <row r="1304">
      <c r="G1304" s="145"/>
    </row>
    <row r="1305">
      <c r="G1305" s="145"/>
    </row>
    <row r="1306">
      <c r="G1306" s="145"/>
    </row>
    <row r="1307">
      <c r="G1307" s="145"/>
    </row>
    <row r="1308">
      <c r="G1308" s="145"/>
    </row>
    <row r="1309">
      <c r="G1309" s="145"/>
    </row>
    <row r="1310">
      <c r="G1310" s="145"/>
    </row>
    <row r="1311">
      <c r="G1311" s="145"/>
    </row>
    <row r="1312">
      <c r="G1312" s="145"/>
    </row>
    <row r="1313">
      <c r="G1313" s="145"/>
    </row>
    <row r="1314">
      <c r="G1314" s="145"/>
    </row>
    <row r="1315">
      <c r="G1315" s="145"/>
    </row>
    <row r="1316">
      <c r="G1316" s="145"/>
    </row>
    <row r="1317">
      <c r="G1317" s="145"/>
    </row>
    <row r="1318">
      <c r="G1318" s="145"/>
    </row>
    <row r="1319">
      <c r="G1319" s="145"/>
    </row>
    <row r="1320">
      <c r="G1320" s="145"/>
    </row>
    <row r="1321">
      <c r="G1321" s="145"/>
    </row>
    <row r="1322">
      <c r="G1322" s="145"/>
    </row>
    <row r="1323">
      <c r="G1323" s="145"/>
    </row>
    <row r="1324">
      <c r="G1324" s="145"/>
    </row>
    <row r="1325">
      <c r="G1325" s="145"/>
    </row>
    <row r="1326">
      <c r="G1326" s="145"/>
    </row>
    <row r="1327">
      <c r="G1327" s="145"/>
    </row>
    <row r="1328">
      <c r="G1328" s="145"/>
    </row>
    <row r="1329">
      <c r="G1329" s="145"/>
    </row>
    <row r="1330">
      <c r="G1330" s="145"/>
    </row>
    <row r="1331">
      <c r="G1331" s="145"/>
    </row>
    <row r="1332">
      <c r="G1332" s="145"/>
    </row>
    <row r="1333">
      <c r="G1333" s="145"/>
    </row>
    <row r="1334">
      <c r="G1334" s="145"/>
    </row>
    <row r="1335">
      <c r="G1335" s="145"/>
    </row>
    <row r="1336">
      <c r="G1336" s="145"/>
    </row>
    <row r="1337">
      <c r="G1337" s="145"/>
    </row>
    <row r="1338">
      <c r="G1338" s="145"/>
    </row>
    <row r="1339">
      <c r="G1339" s="145"/>
    </row>
    <row r="1340">
      <c r="G1340" s="145"/>
    </row>
    <row r="1341">
      <c r="G1341" s="145"/>
    </row>
    <row r="1342">
      <c r="G1342" s="145"/>
    </row>
    <row r="1343">
      <c r="G1343" s="145"/>
    </row>
    <row r="1344">
      <c r="G1344" s="145"/>
    </row>
    <row r="1345">
      <c r="G1345" s="145"/>
    </row>
    <row r="1346">
      <c r="G1346" s="145"/>
    </row>
    <row r="1347">
      <c r="G1347" s="145"/>
    </row>
    <row r="1348">
      <c r="G1348" s="145"/>
    </row>
    <row r="1349">
      <c r="G1349" s="145"/>
    </row>
    <row r="1350">
      <c r="G1350" s="145"/>
    </row>
    <row r="1351">
      <c r="G1351" s="145"/>
    </row>
    <row r="1352">
      <c r="G1352" s="145"/>
    </row>
    <row r="1353">
      <c r="G1353" s="145"/>
    </row>
    <row r="1354">
      <c r="G1354" s="145"/>
    </row>
    <row r="1355">
      <c r="G1355" s="145"/>
    </row>
    <row r="1356">
      <c r="G1356" s="145"/>
    </row>
    <row r="1357">
      <c r="G1357" s="145"/>
    </row>
    <row r="1358">
      <c r="G1358" s="145"/>
    </row>
    <row r="1359">
      <c r="G1359" s="145"/>
    </row>
    <row r="1360">
      <c r="G1360" s="145"/>
    </row>
    <row r="1361">
      <c r="G1361" s="145"/>
    </row>
    <row r="1362">
      <c r="G1362" s="145"/>
    </row>
    <row r="1363">
      <c r="G1363" s="145"/>
    </row>
    <row r="1364">
      <c r="G1364" s="145"/>
    </row>
    <row r="1365">
      <c r="G1365" s="145"/>
    </row>
    <row r="1366">
      <c r="G1366" s="145"/>
    </row>
    <row r="1367">
      <c r="G1367" s="145"/>
    </row>
    <row r="1368">
      <c r="G1368" s="145"/>
    </row>
    <row r="1369">
      <c r="G1369" s="145"/>
    </row>
    <row r="1370">
      <c r="G1370" s="145"/>
    </row>
    <row r="1371">
      <c r="G1371" s="145"/>
    </row>
    <row r="1372">
      <c r="G1372" s="145"/>
    </row>
    <row r="1373">
      <c r="G1373" s="145"/>
    </row>
    <row r="1374">
      <c r="G1374" s="145"/>
    </row>
    <row r="1375">
      <c r="G1375" s="145"/>
    </row>
    <row r="1376">
      <c r="G1376" s="145"/>
    </row>
    <row r="1377">
      <c r="G1377" s="145"/>
    </row>
    <row r="1378">
      <c r="G1378" s="145"/>
    </row>
    <row r="1379">
      <c r="G1379" s="145"/>
    </row>
    <row r="1380">
      <c r="G1380" s="145"/>
    </row>
    <row r="1381">
      <c r="G1381" s="145"/>
    </row>
    <row r="1382">
      <c r="G1382" s="145"/>
    </row>
    <row r="1383">
      <c r="G1383" s="145"/>
    </row>
    <row r="1384">
      <c r="G1384" s="145"/>
    </row>
    <row r="1385">
      <c r="G1385" s="145"/>
    </row>
    <row r="1386">
      <c r="G1386" s="145"/>
    </row>
    <row r="1387">
      <c r="G1387" s="145"/>
    </row>
    <row r="1388">
      <c r="G1388" s="145"/>
    </row>
    <row r="1389">
      <c r="G1389" s="145"/>
    </row>
    <row r="1390">
      <c r="G1390" s="145"/>
    </row>
    <row r="1391">
      <c r="G1391" s="145"/>
    </row>
    <row r="1392">
      <c r="G1392" s="145"/>
    </row>
    <row r="1393">
      <c r="G1393" s="145"/>
    </row>
    <row r="1394">
      <c r="G1394" s="145"/>
    </row>
    <row r="1395">
      <c r="G1395" s="145"/>
    </row>
    <row r="1396">
      <c r="G1396" s="145"/>
    </row>
    <row r="1397">
      <c r="G1397" s="145"/>
    </row>
    <row r="1398">
      <c r="G1398" s="145"/>
    </row>
    <row r="1399">
      <c r="G1399" s="145"/>
    </row>
    <row r="1400">
      <c r="G1400" s="145"/>
    </row>
    <row r="1401">
      <c r="G1401" s="145"/>
    </row>
    <row r="1402">
      <c r="G1402" s="145"/>
    </row>
    <row r="1403">
      <c r="G1403" s="145"/>
    </row>
    <row r="1404">
      <c r="G1404" s="145"/>
    </row>
    <row r="1405">
      <c r="G1405" s="145"/>
    </row>
    <row r="1406">
      <c r="G1406" s="145"/>
    </row>
    <row r="1407">
      <c r="G1407" s="145"/>
    </row>
    <row r="1408">
      <c r="G1408" s="145"/>
    </row>
    <row r="1409">
      <c r="G1409" s="145"/>
    </row>
    <row r="1410">
      <c r="G1410" s="145"/>
    </row>
    <row r="1411">
      <c r="G1411" s="145"/>
    </row>
    <row r="1412">
      <c r="G1412" s="145"/>
    </row>
    <row r="1413">
      <c r="G1413" s="145"/>
    </row>
    <row r="1414">
      <c r="G1414" s="145"/>
    </row>
    <row r="1415">
      <c r="G1415" s="145"/>
    </row>
    <row r="1416">
      <c r="G1416" s="145"/>
    </row>
    <row r="1417">
      <c r="G1417" s="145"/>
    </row>
    <row r="1418">
      <c r="G1418" s="145"/>
    </row>
    <row r="1419">
      <c r="G1419" s="145"/>
    </row>
    <row r="1420">
      <c r="G1420" s="145"/>
    </row>
    <row r="1421">
      <c r="G1421" s="145"/>
    </row>
    <row r="1422">
      <c r="G1422" s="145"/>
    </row>
    <row r="1423">
      <c r="G1423" s="145"/>
    </row>
    <row r="1424">
      <c r="G1424" s="145"/>
    </row>
    <row r="1425">
      <c r="G1425" s="145"/>
    </row>
    <row r="1426">
      <c r="G1426" s="145"/>
    </row>
    <row r="1427">
      <c r="G1427" s="145"/>
    </row>
    <row r="1428">
      <c r="G1428" s="145"/>
    </row>
    <row r="1429">
      <c r="G1429" s="145"/>
    </row>
    <row r="1430">
      <c r="G1430" s="145"/>
    </row>
    <row r="1431">
      <c r="G1431" s="145"/>
    </row>
    <row r="1432">
      <c r="G1432" s="145"/>
    </row>
    <row r="1433">
      <c r="G1433" s="145"/>
    </row>
    <row r="1434">
      <c r="G1434" s="145"/>
    </row>
    <row r="1435">
      <c r="G1435" s="145"/>
    </row>
    <row r="1436">
      <c r="G1436" s="145"/>
    </row>
    <row r="1437">
      <c r="G1437" s="145"/>
    </row>
    <row r="1438">
      <c r="G1438" s="145"/>
    </row>
    <row r="1439">
      <c r="G1439" s="145"/>
    </row>
    <row r="1440">
      <c r="G1440" s="145"/>
    </row>
    <row r="1441">
      <c r="G1441" s="145"/>
    </row>
    <row r="1442">
      <c r="G1442" s="145"/>
    </row>
    <row r="1443">
      <c r="G1443" s="145"/>
    </row>
    <row r="1444">
      <c r="G1444" s="145"/>
    </row>
    <row r="1445">
      <c r="G1445" s="145"/>
    </row>
    <row r="1446">
      <c r="G1446" s="145"/>
    </row>
    <row r="1447">
      <c r="G1447" s="145"/>
    </row>
    <row r="1448">
      <c r="G1448" s="145"/>
    </row>
    <row r="1449">
      <c r="G1449" s="145"/>
    </row>
    <row r="1450">
      <c r="G1450" s="145"/>
    </row>
    <row r="1451">
      <c r="G1451" s="145"/>
    </row>
    <row r="1452">
      <c r="G1452" s="145"/>
    </row>
    <row r="1453">
      <c r="G1453" s="145"/>
    </row>
    <row r="1454">
      <c r="G1454" s="145"/>
    </row>
    <row r="1455">
      <c r="G1455" s="145"/>
    </row>
    <row r="1456">
      <c r="G1456" s="145"/>
    </row>
    <row r="1457">
      <c r="G1457" s="145"/>
    </row>
    <row r="1458">
      <c r="G1458" s="145"/>
    </row>
    <row r="1459">
      <c r="G1459" s="145"/>
    </row>
    <row r="1460">
      <c r="G1460" s="145"/>
    </row>
    <row r="1461">
      <c r="G1461" s="145"/>
    </row>
    <row r="1462">
      <c r="G1462" s="145"/>
    </row>
    <row r="1463">
      <c r="G1463" s="145"/>
    </row>
    <row r="1464">
      <c r="G1464" s="145"/>
    </row>
    <row r="1465">
      <c r="G1465" s="145"/>
    </row>
    <row r="1466">
      <c r="G1466" s="145"/>
    </row>
    <row r="1467">
      <c r="G1467" s="145"/>
    </row>
    <row r="1468">
      <c r="G1468" s="145"/>
    </row>
    <row r="1469">
      <c r="G1469" s="145"/>
    </row>
    <row r="1470">
      <c r="G1470" s="145"/>
    </row>
    <row r="1471">
      <c r="G1471" s="145"/>
    </row>
    <row r="1472">
      <c r="G1472" s="145"/>
    </row>
    <row r="1473">
      <c r="G1473" s="145"/>
    </row>
    <row r="1474">
      <c r="G1474" s="145"/>
    </row>
    <row r="1475">
      <c r="G1475" s="145"/>
    </row>
    <row r="1476">
      <c r="G1476" s="145"/>
    </row>
    <row r="1477">
      <c r="G1477" s="145"/>
    </row>
    <row r="1478">
      <c r="G1478" s="145"/>
    </row>
    <row r="1479">
      <c r="G1479" s="145"/>
    </row>
    <row r="1480">
      <c r="G1480" s="145"/>
    </row>
    <row r="1481">
      <c r="G1481" s="145"/>
    </row>
    <row r="1482">
      <c r="G1482" s="145"/>
    </row>
    <row r="1483">
      <c r="G1483" s="145"/>
    </row>
    <row r="1484">
      <c r="G1484" s="145"/>
    </row>
    <row r="1485">
      <c r="G1485" s="145"/>
    </row>
    <row r="1486">
      <c r="G1486" s="145"/>
    </row>
    <row r="1487">
      <c r="G1487" s="145"/>
    </row>
    <row r="1488">
      <c r="G1488" s="145"/>
    </row>
    <row r="1489">
      <c r="G1489" s="145"/>
    </row>
    <row r="1490">
      <c r="G1490" s="145"/>
    </row>
    <row r="1491">
      <c r="G1491" s="145"/>
    </row>
    <row r="1492">
      <c r="G1492" s="145"/>
    </row>
    <row r="1493">
      <c r="G1493" s="145"/>
    </row>
    <row r="1494">
      <c r="G1494" s="145"/>
    </row>
    <row r="1495">
      <c r="G1495" s="145"/>
    </row>
    <row r="1496">
      <c r="G1496" s="145"/>
    </row>
    <row r="1497">
      <c r="G1497" s="145"/>
    </row>
    <row r="1498">
      <c r="G1498" s="145"/>
    </row>
    <row r="1499">
      <c r="G1499" s="145"/>
    </row>
    <row r="1500">
      <c r="G1500" s="145"/>
    </row>
    <row r="1501">
      <c r="G1501" s="145"/>
    </row>
    <row r="1502">
      <c r="G1502" s="145"/>
    </row>
    <row r="1503">
      <c r="G1503" s="145"/>
    </row>
    <row r="1504">
      <c r="G1504" s="145"/>
    </row>
    <row r="1505">
      <c r="G1505" s="145"/>
    </row>
    <row r="1506">
      <c r="G1506" s="145"/>
    </row>
    <row r="1507">
      <c r="G1507" s="145"/>
    </row>
    <row r="1508">
      <c r="G1508" s="145"/>
    </row>
    <row r="1509">
      <c r="G1509" s="145"/>
    </row>
    <row r="1510">
      <c r="G1510" s="145"/>
    </row>
    <row r="1511">
      <c r="G1511" s="145"/>
    </row>
    <row r="1512">
      <c r="G1512" s="145"/>
    </row>
    <row r="1513">
      <c r="G1513" s="145"/>
    </row>
    <row r="1514">
      <c r="G1514" s="145"/>
    </row>
    <row r="1515">
      <c r="G1515" s="145"/>
    </row>
    <row r="1516">
      <c r="G1516" s="145"/>
    </row>
    <row r="1517">
      <c r="G1517" s="145"/>
    </row>
    <row r="1518">
      <c r="G1518" s="145"/>
    </row>
    <row r="1519">
      <c r="G1519" s="145"/>
    </row>
    <row r="1520">
      <c r="G1520" s="145"/>
    </row>
    <row r="1521">
      <c r="G1521" s="145"/>
    </row>
    <row r="1522">
      <c r="G1522" s="145"/>
    </row>
    <row r="1523">
      <c r="G1523" s="145"/>
    </row>
    <row r="1524">
      <c r="G1524" s="145"/>
    </row>
    <row r="1525">
      <c r="G1525" s="145"/>
    </row>
    <row r="1526">
      <c r="G1526" s="145"/>
    </row>
    <row r="1527">
      <c r="G1527" s="145"/>
    </row>
    <row r="1528">
      <c r="G1528" s="145"/>
    </row>
    <row r="1529">
      <c r="G1529" s="145"/>
    </row>
    <row r="1530">
      <c r="G1530" s="145"/>
    </row>
    <row r="1531">
      <c r="G1531" s="145"/>
    </row>
    <row r="1532">
      <c r="G1532" s="145"/>
    </row>
    <row r="1533">
      <c r="G1533" s="145"/>
    </row>
    <row r="1534">
      <c r="G1534" s="145"/>
    </row>
    <row r="1535">
      <c r="G1535" s="145"/>
    </row>
    <row r="1536">
      <c r="G1536" s="145"/>
    </row>
    <row r="1537">
      <c r="G1537" s="145"/>
    </row>
    <row r="1538">
      <c r="G1538" s="145"/>
    </row>
    <row r="1539">
      <c r="G1539" s="145"/>
    </row>
    <row r="1540">
      <c r="G1540" s="145"/>
    </row>
    <row r="1541">
      <c r="G1541" s="145"/>
    </row>
    <row r="1542">
      <c r="G1542" s="145"/>
    </row>
    <row r="1543">
      <c r="G1543" s="145"/>
    </row>
    <row r="1544">
      <c r="G1544" s="145"/>
    </row>
    <row r="1545">
      <c r="G1545" s="145"/>
    </row>
    <row r="1546">
      <c r="G1546" s="145"/>
    </row>
    <row r="1547">
      <c r="G1547" s="145"/>
    </row>
    <row r="1548">
      <c r="G1548" s="145"/>
    </row>
    <row r="1549">
      <c r="G1549" s="145"/>
    </row>
    <row r="1550">
      <c r="G1550" s="145"/>
    </row>
    <row r="1551">
      <c r="G1551" s="145"/>
    </row>
    <row r="1552">
      <c r="G1552" s="145"/>
    </row>
    <row r="1553">
      <c r="G1553" s="145"/>
    </row>
    <row r="1554">
      <c r="G1554" s="145"/>
    </row>
    <row r="1555">
      <c r="G1555" s="145"/>
    </row>
    <row r="1556">
      <c r="G1556" s="145"/>
    </row>
    <row r="1557">
      <c r="G1557" s="145"/>
    </row>
    <row r="1558">
      <c r="G1558" s="145"/>
    </row>
    <row r="1559">
      <c r="G1559" s="145"/>
    </row>
    <row r="1560">
      <c r="G1560" s="145"/>
    </row>
    <row r="1561">
      <c r="G1561" s="145"/>
    </row>
    <row r="1562">
      <c r="G1562" s="145"/>
    </row>
    <row r="1563">
      <c r="G1563" s="145"/>
    </row>
    <row r="1564">
      <c r="G1564" s="145"/>
    </row>
    <row r="1565">
      <c r="G1565" s="145"/>
    </row>
    <row r="1566">
      <c r="G1566" s="145"/>
    </row>
    <row r="1567">
      <c r="G1567" s="145"/>
    </row>
    <row r="1568">
      <c r="G1568" s="145"/>
    </row>
    <row r="1569">
      <c r="G1569" s="145"/>
    </row>
    <row r="1570">
      <c r="G1570" s="145"/>
    </row>
    <row r="1571">
      <c r="G1571" s="145"/>
    </row>
    <row r="1572">
      <c r="G1572" s="145"/>
    </row>
    <row r="1573">
      <c r="G1573" s="145"/>
    </row>
    <row r="1574">
      <c r="G1574" s="145"/>
    </row>
    <row r="1575">
      <c r="G1575" s="145"/>
    </row>
    <row r="1576">
      <c r="G1576" s="145"/>
    </row>
    <row r="1577">
      <c r="G1577" s="145"/>
    </row>
    <row r="1578">
      <c r="G1578" s="145"/>
    </row>
    <row r="1579">
      <c r="G1579" s="145"/>
    </row>
    <row r="1580">
      <c r="G1580" s="145"/>
    </row>
    <row r="1581">
      <c r="G1581" s="145"/>
    </row>
    <row r="1582">
      <c r="G1582" s="145"/>
    </row>
    <row r="1583">
      <c r="G1583" s="145"/>
    </row>
    <row r="1584">
      <c r="G1584" s="145"/>
    </row>
    <row r="1585">
      <c r="G1585" s="145"/>
    </row>
    <row r="1586">
      <c r="G1586" s="145"/>
    </row>
    <row r="1587">
      <c r="G1587" s="145"/>
    </row>
    <row r="1588">
      <c r="G1588" s="145"/>
    </row>
    <row r="1589">
      <c r="G1589" s="145"/>
    </row>
    <row r="1590">
      <c r="G1590" s="145"/>
    </row>
    <row r="1591">
      <c r="G1591" s="145"/>
    </row>
    <row r="1592">
      <c r="G1592" s="145"/>
    </row>
    <row r="1593">
      <c r="G1593" s="145"/>
    </row>
    <row r="1594">
      <c r="G1594" s="145"/>
    </row>
    <row r="1595">
      <c r="G1595" s="145"/>
    </row>
    <row r="1596">
      <c r="G1596" s="145"/>
    </row>
    <row r="1597">
      <c r="G1597" s="145"/>
    </row>
    <row r="1598">
      <c r="G1598" s="145"/>
    </row>
    <row r="1599">
      <c r="G1599" s="145"/>
    </row>
    <row r="1600">
      <c r="G1600" s="145"/>
    </row>
    <row r="1601">
      <c r="G1601" s="145"/>
    </row>
    <row r="1602">
      <c r="G1602" s="145"/>
    </row>
    <row r="1603">
      <c r="G1603" s="145"/>
    </row>
    <row r="1604">
      <c r="G1604" s="145"/>
    </row>
    <row r="1605">
      <c r="G1605" s="145"/>
    </row>
    <row r="1606">
      <c r="G1606" s="145"/>
    </row>
    <row r="1607">
      <c r="G1607" s="145"/>
    </row>
    <row r="1608">
      <c r="G1608" s="145"/>
    </row>
    <row r="1609">
      <c r="G1609" s="145"/>
    </row>
    <row r="1610">
      <c r="G1610" s="145"/>
    </row>
    <row r="1611">
      <c r="G1611" s="145"/>
    </row>
    <row r="1612">
      <c r="G1612" s="145"/>
    </row>
    <row r="1613">
      <c r="G1613" s="145"/>
    </row>
    <row r="1614">
      <c r="G1614" s="145"/>
    </row>
    <row r="1615">
      <c r="G1615" s="145"/>
    </row>
    <row r="1616">
      <c r="G1616" s="145"/>
    </row>
    <row r="1617">
      <c r="G1617" s="145"/>
    </row>
    <row r="1618">
      <c r="G1618" s="145"/>
    </row>
    <row r="1619">
      <c r="G1619" s="145"/>
    </row>
    <row r="1620">
      <c r="G1620" s="145"/>
    </row>
    <row r="1621">
      <c r="G1621" s="145"/>
    </row>
    <row r="1622">
      <c r="G1622" s="145"/>
    </row>
    <row r="1623">
      <c r="G1623" s="145"/>
    </row>
    <row r="1624">
      <c r="G1624" s="145"/>
    </row>
    <row r="1625">
      <c r="G1625" s="145"/>
    </row>
    <row r="1626">
      <c r="G1626" s="145"/>
    </row>
    <row r="1627">
      <c r="G1627" s="145"/>
    </row>
    <row r="1628">
      <c r="G1628" s="145"/>
    </row>
    <row r="1629">
      <c r="G1629" s="145"/>
    </row>
    <row r="1630">
      <c r="G1630" s="145"/>
    </row>
    <row r="1631">
      <c r="G1631" s="145"/>
    </row>
    <row r="1632">
      <c r="G1632" s="145"/>
    </row>
    <row r="1633">
      <c r="G1633" s="145"/>
    </row>
    <row r="1634">
      <c r="G1634" s="145"/>
    </row>
    <row r="1635">
      <c r="G1635" s="145"/>
    </row>
    <row r="1636">
      <c r="G1636" s="145"/>
    </row>
    <row r="1637">
      <c r="G1637" s="145"/>
    </row>
    <row r="1638">
      <c r="G1638" s="145"/>
    </row>
    <row r="1639">
      <c r="G1639" s="145"/>
    </row>
    <row r="1640">
      <c r="G1640" s="145"/>
    </row>
    <row r="1641">
      <c r="G1641" s="145"/>
    </row>
    <row r="1642">
      <c r="G1642" s="145"/>
    </row>
    <row r="1643">
      <c r="G1643" s="145"/>
    </row>
    <row r="1644">
      <c r="G1644" s="145"/>
    </row>
    <row r="1645">
      <c r="G1645" s="145"/>
    </row>
    <row r="1646">
      <c r="G1646" s="145"/>
    </row>
    <row r="1647">
      <c r="G1647" s="145"/>
    </row>
    <row r="1648">
      <c r="G1648" s="145"/>
    </row>
    <row r="1649">
      <c r="G1649" s="145"/>
    </row>
    <row r="1650">
      <c r="G1650" s="145"/>
    </row>
    <row r="1651">
      <c r="G1651" s="145"/>
    </row>
    <row r="1652">
      <c r="G1652" s="145"/>
    </row>
    <row r="1653">
      <c r="G1653" s="145"/>
    </row>
    <row r="1654">
      <c r="G1654" s="145"/>
    </row>
    <row r="1655">
      <c r="G1655" s="145"/>
    </row>
    <row r="1656">
      <c r="G1656" s="145"/>
    </row>
    <row r="1657">
      <c r="G1657" s="145"/>
    </row>
    <row r="1658">
      <c r="G1658" s="145"/>
    </row>
    <row r="1659">
      <c r="G1659" s="145"/>
    </row>
    <row r="1660">
      <c r="G1660" s="145"/>
    </row>
    <row r="1661">
      <c r="G1661" s="145"/>
    </row>
    <row r="1662">
      <c r="G1662" s="145"/>
    </row>
    <row r="1663">
      <c r="G1663" s="145"/>
    </row>
    <row r="1664">
      <c r="G1664" s="145"/>
    </row>
    <row r="1665">
      <c r="G1665" s="145"/>
    </row>
    <row r="1666">
      <c r="G1666" s="145"/>
    </row>
    <row r="1667">
      <c r="G1667" s="145"/>
    </row>
    <row r="1668">
      <c r="G1668" s="145"/>
    </row>
    <row r="1669">
      <c r="G1669" s="145"/>
    </row>
    <row r="1670">
      <c r="G1670" s="145"/>
    </row>
    <row r="1671">
      <c r="G1671" s="145"/>
    </row>
    <row r="1672">
      <c r="G1672" s="145"/>
    </row>
    <row r="1673">
      <c r="G1673" s="145"/>
    </row>
    <row r="1674">
      <c r="G1674" s="145"/>
    </row>
    <row r="1675">
      <c r="G1675" s="145"/>
    </row>
    <row r="1676">
      <c r="G1676" s="145"/>
    </row>
    <row r="1677">
      <c r="G1677" s="145"/>
    </row>
    <row r="1678">
      <c r="G1678" s="145"/>
    </row>
    <row r="1679">
      <c r="G1679" s="145"/>
    </row>
    <row r="1680">
      <c r="G1680" s="145"/>
    </row>
    <row r="1681">
      <c r="G1681" s="145"/>
    </row>
    <row r="1682">
      <c r="G1682" s="145"/>
    </row>
    <row r="1683">
      <c r="G1683" s="145"/>
    </row>
    <row r="1684">
      <c r="G1684" s="145"/>
    </row>
    <row r="1685">
      <c r="G1685" s="145"/>
    </row>
    <row r="1686">
      <c r="G1686" s="145"/>
    </row>
    <row r="1687">
      <c r="G1687" s="145"/>
    </row>
    <row r="1688">
      <c r="G1688" s="145"/>
    </row>
    <row r="1689">
      <c r="G1689" s="145"/>
    </row>
    <row r="1690">
      <c r="G1690" s="145"/>
    </row>
    <row r="1691">
      <c r="G1691" s="145"/>
    </row>
    <row r="1692">
      <c r="G1692" s="145"/>
    </row>
    <row r="1693">
      <c r="G1693" s="145"/>
    </row>
    <row r="1694">
      <c r="G1694" s="145"/>
    </row>
    <row r="1695">
      <c r="G1695" s="145"/>
    </row>
    <row r="1696">
      <c r="G1696" s="145"/>
    </row>
    <row r="1697">
      <c r="G1697" s="145"/>
    </row>
    <row r="1698">
      <c r="G1698" s="145"/>
    </row>
    <row r="1699">
      <c r="G1699" s="145"/>
    </row>
    <row r="1700">
      <c r="G1700" s="145"/>
    </row>
    <row r="1701">
      <c r="G1701" s="145"/>
    </row>
    <row r="1702">
      <c r="G1702" s="145"/>
    </row>
    <row r="1703">
      <c r="G1703" s="145"/>
    </row>
    <row r="1704">
      <c r="G1704" s="145"/>
    </row>
    <row r="1705">
      <c r="G1705" s="145"/>
    </row>
    <row r="1706">
      <c r="G1706" s="145"/>
    </row>
    <row r="1707">
      <c r="G1707" s="145"/>
    </row>
    <row r="1708">
      <c r="G1708" s="145"/>
    </row>
    <row r="1709">
      <c r="G1709" s="145"/>
    </row>
    <row r="1710">
      <c r="G1710" s="145"/>
    </row>
    <row r="1711">
      <c r="G1711" s="145"/>
    </row>
    <row r="1712">
      <c r="G1712" s="145"/>
    </row>
    <row r="1713">
      <c r="G1713" s="145"/>
    </row>
    <row r="1714">
      <c r="G1714" s="145"/>
    </row>
    <row r="1715">
      <c r="G1715" s="145"/>
    </row>
    <row r="1716">
      <c r="G1716" s="145"/>
    </row>
    <row r="1717">
      <c r="G1717" s="145"/>
    </row>
    <row r="1718">
      <c r="G1718" s="145"/>
    </row>
    <row r="1719">
      <c r="G1719" s="145"/>
    </row>
    <row r="1720">
      <c r="G1720" s="145"/>
    </row>
    <row r="1721">
      <c r="G1721" s="145"/>
    </row>
    <row r="1722">
      <c r="G1722" s="145"/>
    </row>
    <row r="1723">
      <c r="G1723" s="145"/>
    </row>
    <row r="1724">
      <c r="G1724" s="145"/>
    </row>
    <row r="1725">
      <c r="G1725" s="145"/>
    </row>
    <row r="1726">
      <c r="G1726" s="145"/>
    </row>
    <row r="1727">
      <c r="G1727" s="145"/>
    </row>
    <row r="1728">
      <c r="G1728" s="145"/>
    </row>
    <row r="1729">
      <c r="G1729" s="145"/>
    </row>
    <row r="1730">
      <c r="G1730" s="145"/>
    </row>
    <row r="1731">
      <c r="G1731" s="145"/>
    </row>
    <row r="1732">
      <c r="G1732" s="145"/>
    </row>
    <row r="1733">
      <c r="G1733" s="145"/>
    </row>
    <row r="1734">
      <c r="G1734" s="145"/>
    </row>
    <row r="1735">
      <c r="G1735" s="145"/>
    </row>
    <row r="1736">
      <c r="G1736" s="145"/>
    </row>
    <row r="1737">
      <c r="G1737" s="145"/>
    </row>
    <row r="1738">
      <c r="G1738" s="145"/>
    </row>
    <row r="1739">
      <c r="G1739" s="145"/>
    </row>
    <row r="1740">
      <c r="G1740" s="145"/>
    </row>
    <row r="1741">
      <c r="G1741" s="145"/>
    </row>
    <row r="1742">
      <c r="G1742" s="145"/>
    </row>
    <row r="1743">
      <c r="G1743" s="145"/>
    </row>
    <row r="1744">
      <c r="G1744" s="145"/>
    </row>
    <row r="1745">
      <c r="G1745" s="145"/>
    </row>
    <row r="1746">
      <c r="G1746" s="145"/>
    </row>
    <row r="1747">
      <c r="G1747" s="145"/>
    </row>
    <row r="1748">
      <c r="G1748" s="145"/>
    </row>
    <row r="1749">
      <c r="G1749" s="145"/>
    </row>
    <row r="1750">
      <c r="G1750" s="145"/>
    </row>
    <row r="1751">
      <c r="G1751" s="145"/>
    </row>
    <row r="1752">
      <c r="G1752" s="145"/>
    </row>
    <row r="1753">
      <c r="G1753" s="145"/>
    </row>
    <row r="1754">
      <c r="G1754" s="145"/>
    </row>
    <row r="1755">
      <c r="G1755" s="145"/>
    </row>
    <row r="1756">
      <c r="G1756" s="145"/>
    </row>
    <row r="1757">
      <c r="G1757" s="145"/>
    </row>
    <row r="1758">
      <c r="G1758" s="145"/>
    </row>
    <row r="1759">
      <c r="G1759" s="145"/>
    </row>
    <row r="1760">
      <c r="G1760" s="145"/>
    </row>
    <row r="1761">
      <c r="G1761" s="145"/>
    </row>
    <row r="1762">
      <c r="G1762" s="145"/>
    </row>
    <row r="1763">
      <c r="G1763" s="145"/>
    </row>
    <row r="1764">
      <c r="G1764" s="145"/>
    </row>
    <row r="1765">
      <c r="G1765" s="145"/>
    </row>
    <row r="1766">
      <c r="G1766" s="145"/>
    </row>
    <row r="1767">
      <c r="G1767" s="145"/>
    </row>
    <row r="1768">
      <c r="G1768" s="145"/>
    </row>
    <row r="1769">
      <c r="G1769" s="145"/>
    </row>
    <row r="1770">
      <c r="G1770" s="145"/>
    </row>
    <row r="1771">
      <c r="G1771" s="145"/>
    </row>
    <row r="1772">
      <c r="G1772" s="145"/>
    </row>
    <row r="1773">
      <c r="G1773" s="145"/>
    </row>
    <row r="1774">
      <c r="G1774" s="145"/>
    </row>
    <row r="1775">
      <c r="G1775" s="145"/>
    </row>
    <row r="1776">
      <c r="G1776" s="145"/>
    </row>
    <row r="1777">
      <c r="G1777" s="145"/>
    </row>
    <row r="1778">
      <c r="G1778" s="145"/>
    </row>
    <row r="1779">
      <c r="G1779" s="145"/>
    </row>
    <row r="1780">
      <c r="G1780" s="145"/>
    </row>
    <row r="1781">
      <c r="G1781" s="145"/>
    </row>
    <row r="1782">
      <c r="G1782" s="145"/>
    </row>
    <row r="1783">
      <c r="G1783" s="145"/>
    </row>
    <row r="1784">
      <c r="G1784" s="145"/>
    </row>
    <row r="1785">
      <c r="G1785" s="145"/>
    </row>
    <row r="1786">
      <c r="G1786" s="145"/>
    </row>
    <row r="1787">
      <c r="G1787" s="145"/>
    </row>
    <row r="1788">
      <c r="G1788" s="145"/>
    </row>
    <row r="1789">
      <c r="G1789" s="145"/>
    </row>
    <row r="1790">
      <c r="G1790" s="145"/>
    </row>
    <row r="1791">
      <c r="G1791" s="145"/>
    </row>
    <row r="1792">
      <c r="G1792" s="145"/>
    </row>
    <row r="1793">
      <c r="G1793" s="145"/>
    </row>
    <row r="1794">
      <c r="G1794" s="145"/>
    </row>
    <row r="1795">
      <c r="G1795" s="145"/>
    </row>
    <row r="1796">
      <c r="G1796" s="145"/>
    </row>
    <row r="1797">
      <c r="G1797" s="145"/>
    </row>
    <row r="1798">
      <c r="G1798" s="145"/>
    </row>
    <row r="1799">
      <c r="G1799" s="145"/>
    </row>
    <row r="1800">
      <c r="G1800" s="145"/>
    </row>
    <row r="1801">
      <c r="G1801" s="145"/>
    </row>
    <row r="1802">
      <c r="G1802" s="145"/>
    </row>
    <row r="1803">
      <c r="G1803" s="145"/>
    </row>
    <row r="1804">
      <c r="G1804" s="145"/>
    </row>
    <row r="1805">
      <c r="G1805" s="145"/>
    </row>
    <row r="1806">
      <c r="G1806" s="145"/>
    </row>
    <row r="1807">
      <c r="G1807" s="145"/>
    </row>
    <row r="1808">
      <c r="G1808" s="145"/>
    </row>
    <row r="1809">
      <c r="G1809" s="145"/>
    </row>
    <row r="1810">
      <c r="G1810" s="145"/>
    </row>
    <row r="1811">
      <c r="G1811" s="145"/>
    </row>
    <row r="1812">
      <c r="G1812" s="145"/>
    </row>
    <row r="1813">
      <c r="G1813" s="145"/>
    </row>
    <row r="1814">
      <c r="G1814" s="145"/>
    </row>
    <row r="1815">
      <c r="G1815" s="145"/>
    </row>
    <row r="1816">
      <c r="G1816" s="145"/>
    </row>
    <row r="1817">
      <c r="G1817" s="145"/>
    </row>
    <row r="1818">
      <c r="G1818" s="145"/>
    </row>
    <row r="1819">
      <c r="G1819" s="145"/>
    </row>
    <row r="1820">
      <c r="G1820" s="145"/>
    </row>
    <row r="1821">
      <c r="G1821" s="145"/>
    </row>
    <row r="1822">
      <c r="G1822" s="145"/>
    </row>
    <row r="1823">
      <c r="G1823" s="145"/>
    </row>
    <row r="1824">
      <c r="G1824" s="145"/>
    </row>
    <row r="1825">
      <c r="G1825" s="145"/>
    </row>
    <row r="1826">
      <c r="G1826" s="145"/>
    </row>
    <row r="1827">
      <c r="G1827" s="145"/>
    </row>
    <row r="1828">
      <c r="G1828" s="145"/>
    </row>
    <row r="1829">
      <c r="G1829" s="145"/>
    </row>
    <row r="1830">
      <c r="G1830" s="145"/>
    </row>
    <row r="1831">
      <c r="G1831" s="145"/>
    </row>
    <row r="1832">
      <c r="G1832" s="145"/>
    </row>
    <row r="1833">
      <c r="G1833" s="145"/>
    </row>
    <row r="1834">
      <c r="G1834" s="145"/>
    </row>
    <row r="1835">
      <c r="G1835" s="145"/>
    </row>
    <row r="1836">
      <c r="G1836" s="145"/>
    </row>
    <row r="1837">
      <c r="G1837" s="145"/>
    </row>
    <row r="1838">
      <c r="G1838" s="145"/>
    </row>
    <row r="1839">
      <c r="G1839" s="145"/>
    </row>
    <row r="1840">
      <c r="G1840" s="145"/>
    </row>
    <row r="1841">
      <c r="G1841" s="145"/>
    </row>
    <row r="1842">
      <c r="G1842" s="145"/>
    </row>
    <row r="1843">
      <c r="G1843" s="145"/>
    </row>
    <row r="1844">
      <c r="G1844" s="145"/>
    </row>
    <row r="1845">
      <c r="G1845" s="145"/>
    </row>
    <row r="1846">
      <c r="G1846" s="145"/>
    </row>
    <row r="1847">
      <c r="G1847" s="145"/>
    </row>
    <row r="1848">
      <c r="G1848" s="145"/>
    </row>
    <row r="1849">
      <c r="G1849" s="145"/>
    </row>
    <row r="1850">
      <c r="G1850" s="145"/>
    </row>
    <row r="1851">
      <c r="G1851" s="145"/>
    </row>
    <row r="1852">
      <c r="G1852" s="145"/>
    </row>
    <row r="1853">
      <c r="G1853" s="145"/>
    </row>
    <row r="1854">
      <c r="G1854" s="145"/>
    </row>
    <row r="1855">
      <c r="G1855" s="145"/>
    </row>
    <row r="1856">
      <c r="G1856" s="145"/>
    </row>
    <row r="1857">
      <c r="G1857" s="145"/>
    </row>
    <row r="1858">
      <c r="G1858" s="145"/>
    </row>
    <row r="1859">
      <c r="G1859" s="145"/>
    </row>
    <row r="1860">
      <c r="G1860" s="145"/>
    </row>
    <row r="1861">
      <c r="G1861" s="145"/>
    </row>
    <row r="1862">
      <c r="G1862" s="145"/>
    </row>
    <row r="1863">
      <c r="G1863" s="145"/>
    </row>
    <row r="1864">
      <c r="G1864" s="145"/>
    </row>
    <row r="1865">
      <c r="G1865" s="145"/>
    </row>
    <row r="1866">
      <c r="G1866" s="145"/>
    </row>
    <row r="1867">
      <c r="G1867" s="145"/>
    </row>
    <row r="1868">
      <c r="G1868" s="145"/>
    </row>
    <row r="1869">
      <c r="G1869" s="145"/>
    </row>
    <row r="1870">
      <c r="G1870" s="145"/>
    </row>
    <row r="1871">
      <c r="G1871" s="145"/>
    </row>
    <row r="1872">
      <c r="G1872" s="145"/>
    </row>
    <row r="1873">
      <c r="G1873" s="145"/>
    </row>
    <row r="1874">
      <c r="G1874" s="145"/>
    </row>
    <row r="1875">
      <c r="G1875" s="145"/>
    </row>
    <row r="1876">
      <c r="G1876" s="145"/>
    </row>
    <row r="1877">
      <c r="G1877" s="145"/>
    </row>
    <row r="1878">
      <c r="G1878" s="145"/>
    </row>
    <row r="1879">
      <c r="G1879" s="145"/>
    </row>
    <row r="1880">
      <c r="G1880" s="145"/>
    </row>
    <row r="1881">
      <c r="G1881" s="145"/>
    </row>
    <row r="1882">
      <c r="G1882" s="145"/>
    </row>
    <row r="1883">
      <c r="G1883" s="145"/>
    </row>
    <row r="1884">
      <c r="G1884" s="145"/>
    </row>
    <row r="1885">
      <c r="G1885" s="145"/>
    </row>
    <row r="1886">
      <c r="G1886" s="145"/>
    </row>
    <row r="1887">
      <c r="G1887" s="145"/>
    </row>
    <row r="1888">
      <c r="G1888" s="145"/>
    </row>
    <row r="1889">
      <c r="G1889" s="145"/>
    </row>
    <row r="1890">
      <c r="G1890" s="145"/>
    </row>
    <row r="1891">
      <c r="G1891" s="145"/>
    </row>
    <row r="1892">
      <c r="G1892" s="145"/>
    </row>
    <row r="1893">
      <c r="G1893" s="145"/>
    </row>
    <row r="1894">
      <c r="G1894" s="145"/>
    </row>
    <row r="1895">
      <c r="G1895" s="145"/>
    </row>
    <row r="1896">
      <c r="G1896" s="145"/>
    </row>
    <row r="1897">
      <c r="G1897" s="145"/>
    </row>
    <row r="1898">
      <c r="G1898" s="145"/>
    </row>
    <row r="1899">
      <c r="G1899" s="145"/>
    </row>
    <row r="1900">
      <c r="G1900" s="145"/>
    </row>
    <row r="1901">
      <c r="G1901" s="145"/>
    </row>
    <row r="1902">
      <c r="G1902" s="145"/>
    </row>
    <row r="1903">
      <c r="G1903" s="145"/>
    </row>
    <row r="1904">
      <c r="G1904" s="145"/>
    </row>
    <row r="1905">
      <c r="G1905" s="145"/>
    </row>
    <row r="1906">
      <c r="G1906" s="145"/>
    </row>
    <row r="1907">
      <c r="G1907" s="145"/>
    </row>
    <row r="1908">
      <c r="G1908" s="145"/>
    </row>
    <row r="1909">
      <c r="G1909" s="145"/>
    </row>
    <row r="1910">
      <c r="G1910" s="145"/>
    </row>
    <row r="1911">
      <c r="G1911" s="145"/>
    </row>
    <row r="1912">
      <c r="G1912" s="145"/>
    </row>
    <row r="1913">
      <c r="G1913" s="145"/>
    </row>
    <row r="1914">
      <c r="G1914" s="145"/>
    </row>
    <row r="1915">
      <c r="G1915" s="145"/>
    </row>
    <row r="1916">
      <c r="G1916" s="145"/>
    </row>
    <row r="1917">
      <c r="G1917" s="145"/>
    </row>
    <row r="1918">
      <c r="G1918" s="145"/>
    </row>
    <row r="1919">
      <c r="G1919" s="145"/>
    </row>
    <row r="1920">
      <c r="G1920" s="145"/>
    </row>
    <row r="1921">
      <c r="G1921" s="145"/>
    </row>
    <row r="1922">
      <c r="G1922" s="145"/>
    </row>
    <row r="1923">
      <c r="G1923" s="145"/>
    </row>
    <row r="1924">
      <c r="G1924" s="145"/>
    </row>
    <row r="1925">
      <c r="G1925" s="145"/>
    </row>
    <row r="1926">
      <c r="G1926" s="145"/>
    </row>
    <row r="1927">
      <c r="G1927" s="145"/>
    </row>
    <row r="1928">
      <c r="G1928" s="145"/>
    </row>
    <row r="1929">
      <c r="G1929" s="145"/>
    </row>
    <row r="1930">
      <c r="G1930" s="145"/>
    </row>
    <row r="1931">
      <c r="G1931" s="145"/>
    </row>
    <row r="1932">
      <c r="G1932" s="145"/>
    </row>
    <row r="1933">
      <c r="G1933" s="145"/>
    </row>
    <row r="1934">
      <c r="G1934" s="145"/>
    </row>
    <row r="1935">
      <c r="G1935" s="145"/>
    </row>
    <row r="1936">
      <c r="G1936" s="145"/>
    </row>
    <row r="1937">
      <c r="G1937" s="145"/>
    </row>
    <row r="1938">
      <c r="G1938" s="145"/>
    </row>
    <row r="1939">
      <c r="G1939" s="145"/>
    </row>
    <row r="1940">
      <c r="G1940" s="145"/>
    </row>
    <row r="1941">
      <c r="G1941" s="145"/>
    </row>
    <row r="1942">
      <c r="G1942" s="145"/>
    </row>
    <row r="1943">
      <c r="G1943" s="145"/>
    </row>
    <row r="1944">
      <c r="G1944" s="145"/>
    </row>
    <row r="1945">
      <c r="G1945" s="145"/>
    </row>
    <row r="1946">
      <c r="G1946" s="145"/>
    </row>
    <row r="1947">
      <c r="G1947" s="145"/>
    </row>
    <row r="1948">
      <c r="G1948" s="145"/>
    </row>
    <row r="1949">
      <c r="G1949" s="145"/>
    </row>
    <row r="1950">
      <c r="G1950" s="145"/>
    </row>
    <row r="1951">
      <c r="G1951" s="145"/>
    </row>
    <row r="1952">
      <c r="G1952" s="145"/>
    </row>
    <row r="1953">
      <c r="G1953" s="145"/>
    </row>
    <row r="1954">
      <c r="G1954" s="145"/>
    </row>
    <row r="1955">
      <c r="G1955" s="145"/>
    </row>
    <row r="1956">
      <c r="G1956" s="145"/>
    </row>
    <row r="1957">
      <c r="G1957" s="145"/>
    </row>
    <row r="1958">
      <c r="G1958" s="145"/>
    </row>
    <row r="1959">
      <c r="G1959" s="145"/>
    </row>
    <row r="1960">
      <c r="G1960" s="145"/>
    </row>
    <row r="1961">
      <c r="G1961" s="145"/>
    </row>
    <row r="1962">
      <c r="G1962" s="145"/>
    </row>
    <row r="1963">
      <c r="G1963" s="145"/>
    </row>
    <row r="1964">
      <c r="G1964" s="145"/>
    </row>
    <row r="1965">
      <c r="G1965" s="145"/>
    </row>
    <row r="1966">
      <c r="G1966" s="145"/>
    </row>
    <row r="1967">
      <c r="G1967" s="145"/>
    </row>
    <row r="1968">
      <c r="G1968" s="145"/>
    </row>
    <row r="1969">
      <c r="G1969" s="145"/>
    </row>
    <row r="1970">
      <c r="G1970" s="145"/>
    </row>
    <row r="1971">
      <c r="G1971" s="145"/>
    </row>
    <row r="1972">
      <c r="G1972" s="145"/>
    </row>
    <row r="1973">
      <c r="G1973" s="145"/>
    </row>
    <row r="1974">
      <c r="G1974" s="145"/>
    </row>
    <row r="1975">
      <c r="G1975" s="145"/>
    </row>
    <row r="1976">
      <c r="G1976" s="145"/>
    </row>
    <row r="1977">
      <c r="G1977" s="145"/>
    </row>
    <row r="1978">
      <c r="G1978" s="145"/>
    </row>
    <row r="1979">
      <c r="G1979" s="145"/>
    </row>
    <row r="1980">
      <c r="G1980" s="145"/>
    </row>
    <row r="1981">
      <c r="G1981" s="145"/>
    </row>
    <row r="1982">
      <c r="G1982" s="145"/>
    </row>
    <row r="1983">
      <c r="G1983" s="145"/>
    </row>
    <row r="1984">
      <c r="G1984" s="145"/>
    </row>
    <row r="1985">
      <c r="G1985" s="145"/>
    </row>
    <row r="1986">
      <c r="G1986" s="145"/>
    </row>
    <row r="1987">
      <c r="G1987" s="145"/>
    </row>
    <row r="1988">
      <c r="G1988" s="145"/>
    </row>
    <row r="1989">
      <c r="G1989" s="145"/>
    </row>
    <row r="1990">
      <c r="G1990" s="145"/>
    </row>
    <row r="1991">
      <c r="G1991" s="145"/>
    </row>
    <row r="1992">
      <c r="G1992" s="145"/>
    </row>
    <row r="1993">
      <c r="G1993" s="145"/>
    </row>
    <row r="1994">
      <c r="G1994" s="145"/>
    </row>
    <row r="1995">
      <c r="G1995" s="145"/>
    </row>
    <row r="1996">
      <c r="G1996" s="145"/>
    </row>
    <row r="1997">
      <c r="G1997" s="145"/>
    </row>
    <row r="1998">
      <c r="G1998" s="145"/>
    </row>
    <row r="1999">
      <c r="G1999" s="145"/>
    </row>
    <row r="2000">
      <c r="G2000" s="145"/>
    </row>
    <row r="2001">
      <c r="G2001" s="145"/>
    </row>
    <row r="2002">
      <c r="G2002" s="145"/>
    </row>
    <row r="2003">
      <c r="G2003" s="145"/>
    </row>
    <row r="2004">
      <c r="G2004" s="145"/>
    </row>
    <row r="2005">
      <c r="G2005" s="145"/>
    </row>
    <row r="2006">
      <c r="G2006" s="145"/>
    </row>
    <row r="2007">
      <c r="G2007" s="145"/>
    </row>
    <row r="2008">
      <c r="G2008" s="145"/>
    </row>
    <row r="2009">
      <c r="G2009" s="145"/>
    </row>
    <row r="2010">
      <c r="G2010" s="145"/>
    </row>
    <row r="2011">
      <c r="G2011" s="145"/>
    </row>
    <row r="2012">
      <c r="G2012" s="145"/>
    </row>
    <row r="2013">
      <c r="G2013" s="145"/>
    </row>
    <row r="2014">
      <c r="G2014" s="145"/>
    </row>
    <row r="2015">
      <c r="G2015" s="145"/>
    </row>
    <row r="2016">
      <c r="G2016" s="145"/>
    </row>
    <row r="2017">
      <c r="G2017" s="145"/>
    </row>
    <row r="2018">
      <c r="G2018" s="145"/>
    </row>
    <row r="2019">
      <c r="G2019" s="145"/>
    </row>
    <row r="2020">
      <c r="G2020" s="145"/>
    </row>
    <row r="2021">
      <c r="G2021" s="145"/>
    </row>
    <row r="2022">
      <c r="G2022" s="145"/>
    </row>
    <row r="2023">
      <c r="G2023" s="145"/>
    </row>
    <row r="2024">
      <c r="G2024" s="145"/>
    </row>
    <row r="2025">
      <c r="G2025" s="145"/>
    </row>
    <row r="2026">
      <c r="G2026" s="145"/>
    </row>
    <row r="2027">
      <c r="G2027" s="145"/>
    </row>
    <row r="2028">
      <c r="G2028" s="145"/>
    </row>
    <row r="2029">
      <c r="G2029" s="145"/>
    </row>
    <row r="2030">
      <c r="G2030" s="145"/>
    </row>
    <row r="2031">
      <c r="G2031" s="145"/>
    </row>
    <row r="2032">
      <c r="G2032" s="145"/>
    </row>
    <row r="2033">
      <c r="G2033" s="145"/>
    </row>
    <row r="2034">
      <c r="G2034" s="145"/>
    </row>
    <row r="2035">
      <c r="G2035" s="145"/>
    </row>
    <row r="2036">
      <c r="G2036" s="145"/>
    </row>
    <row r="2037">
      <c r="G2037" s="145"/>
    </row>
    <row r="2038">
      <c r="G2038" s="145"/>
    </row>
    <row r="2039">
      <c r="G2039" s="145"/>
    </row>
    <row r="2040">
      <c r="G2040" s="145"/>
    </row>
    <row r="2041">
      <c r="G2041" s="145"/>
    </row>
    <row r="2042">
      <c r="G2042" s="145"/>
    </row>
    <row r="2043">
      <c r="G2043" s="145"/>
    </row>
    <row r="2044">
      <c r="G2044" s="145"/>
    </row>
    <row r="2045">
      <c r="G2045" s="145"/>
    </row>
    <row r="2046">
      <c r="G2046" s="145"/>
    </row>
    <row r="2047">
      <c r="G2047" s="145"/>
    </row>
    <row r="2048">
      <c r="G2048" s="145"/>
    </row>
    <row r="2049">
      <c r="G2049" s="145"/>
    </row>
    <row r="2050">
      <c r="G2050" s="145"/>
    </row>
    <row r="2051">
      <c r="G2051" s="145"/>
    </row>
    <row r="2052">
      <c r="G2052" s="145"/>
    </row>
    <row r="2053">
      <c r="G2053" s="145"/>
    </row>
    <row r="2054">
      <c r="G2054" s="145"/>
    </row>
    <row r="2055">
      <c r="G2055" s="145"/>
    </row>
    <row r="2056">
      <c r="G2056" s="145"/>
    </row>
    <row r="2057">
      <c r="G2057" s="145"/>
    </row>
    <row r="2058">
      <c r="G2058" s="145"/>
    </row>
    <row r="2059">
      <c r="G2059" s="145"/>
    </row>
    <row r="2060">
      <c r="G2060" s="145"/>
    </row>
    <row r="2061">
      <c r="G2061" s="145"/>
    </row>
    <row r="2062">
      <c r="G2062" s="145"/>
    </row>
    <row r="2063">
      <c r="G2063" s="145"/>
    </row>
    <row r="2064">
      <c r="G2064" s="145"/>
    </row>
    <row r="2065">
      <c r="G2065" s="145"/>
    </row>
    <row r="2066">
      <c r="G2066" s="145"/>
    </row>
    <row r="2067">
      <c r="G2067" s="145"/>
    </row>
    <row r="2068">
      <c r="G2068" s="145"/>
    </row>
    <row r="2069">
      <c r="G2069" s="145"/>
    </row>
    <row r="2070">
      <c r="G2070" s="145"/>
    </row>
    <row r="2071">
      <c r="G2071" s="145"/>
    </row>
    <row r="2072">
      <c r="G2072" s="145"/>
    </row>
    <row r="2073">
      <c r="G2073" s="145"/>
    </row>
    <row r="2074">
      <c r="G2074" s="145"/>
    </row>
    <row r="2075">
      <c r="G2075" s="145"/>
    </row>
    <row r="2076">
      <c r="G2076" s="145"/>
    </row>
    <row r="2077">
      <c r="G2077" s="145"/>
    </row>
    <row r="2078">
      <c r="G2078" s="145"/>
    </row>
    <row r="2079">
      <c r="G2079" s="145"/>
    </row>
    <row r="2080">
      <c r="G2080" s="145"/>
    </row>
    <row r="2081">
      <c r="G2081" s="145"/>
    </row>
    <row r="2082">
      <c r="G2082" s="145"/>
    </row>
    <row r="2083">
      <c r="G2083" s="145"/>
    </row>
    <row r="2084">
      <c r="G2084" s="145"/>
    </row>
    <row r="2085">
      <c r="G2085" s="145"/>
    </row>
    <row r="2086">
      <c r="G2086" s="145"/>
    </row>
    <row r="2087">
      <c r="G2087" s="145"/>
    </row>
    <row r="2088">
      <c r="G2088" s="145"/>
    </row>
    <row r="2089">
      <c r="G2089" s="145"/>
    </row>
    <row r="2090">
      <c r="G2090" s="145"/>
    </row>
    <row r="2091">
      <c r="G2091" s="145"/>
    </row>
    <row r="2092">
      <c r="G2092" s="145"/>
    </row>
    <row r="2093">
      <c r="G2093" s="145"/>
    </row>
    <row r="2094">
      <c r="G2094" s="145"/>
    </row>
    <row r="2095">
      <c r="G2095" s="145"/>
    </row>
    <row r="2096">
      <c r="G2096" s="145"/>
    </row>
    <row r="2097">
      <c r="G2097" s="145"/>
    </row>
    <row r="2098">
      <c r="G2098" s="145"/>
    </row>
    <row r="2099">
      <c r="G2099" s="145"/>
    </row>
    <row r="2100">
      <c r="G2100" s="145"/>
    </row>
    <row r="2101">
      <c r="G2101" s="145"/>
    </row>
    <row r="2102">
      <c r="G2102" s="145"/>
    </row>
    <row r="2103">
      <c r="G2103" s="145"/>
    </row>
    <row r="2104">
      <c r="G2104" s="145"/>
    </row>
    <row r="2105">
      <c r="G2105" s="145"/>
    </row>
    <row r="2106">
      <c r="G2106" s="145"/>
    </row>
    <row r="2107">
      <c r="G2107" s="145"/>
    </row>
    <row r="2108">
      <c r="G2108" s="145"/>
    </row>
    <row r="2109">
      <c r="G2109" s="145"/>
    </row>
    <row r="2110">
      <c r="G2110" s="145"/>
    </row>
    <row r="2111">
      <c r="G2111" s="145"/>
    </row>
    <row r="2112">
      <c r="G2112" s="145"/>
    </row>
    <row r="2113">
      <c r="G2113" s="145"/>
    </row>
    <row r="2114">
      <c r="G2114" s="145"/>
    </row>
    <row r="2115">
      <c r="G2115" s="145"/>
    </row>
    <row r="2116">
      <c r="G2116" s="145"/>
    </row>
    <row r="2117">
      <c r="G2117" s="145"/>
    </row>
    <row r="2118">
      <c r="G2118" s="145"/>
    </row>
    <row r="2119">
      <c r="G2119" s="145"/>
    </row>
    <row r="2120">
      <c r="G2120" s="145"/>
    </row>
    <row r="2121">
      <c r="G2121" s="145"/>
    </row>
    <row r="2122">
      <c r="G2122" s="145"/>
    </row>
    <row r="2123">
      <c r="G2123" s="145"/>
    </row>
    <row r="2124">
      <c r="G2124" s="145"/>
    </row>
    <row r="2125">
      <c r="G2125" s="145"/>
    </row>
    <row r="2126">
      <c r="G2126" s="145"/>
    </row>
    <row r="2127">
      <c r="G2127" s="145"/>
    </row>
    <row r="2128">
      <c r="G2128" s="145"/>
    </row>
    <row r="2129">
      <c r="G2129" s="145"/>
    </row>
    <row r="2130">
      <c r="G2130" s="145"/>
    </row>
    <row r="2131">
      <c r="G2131" s="145"/>
    </row>
    <row r="2132">
      <c r="G2132" s="145"/>
    </row>
    <row r="2133">
      <c r="G2133" s="145"/>
    </row>
    <row r="2134">
      <c r="G2134" s="145"/>
    </row>
    <row r="2135">
      <c r="G2135" s="145"/>
    </row>
    <row r="2136">
      <c r="G2136" s="145"/>
    </row>
    <row r="2137">
      <c r="G2137" s="145"/>
    </row>
    <row r="2138">
      <c r="G2138" s="145"/>
    </row>
    <row r="2139">
      <c r="G2139" s="145"/>
    </row>
    <row r="2140">
      <c r="G2140" s="145"/>
    </row>
    <row r="2141">
      <c r="G2141" s="145"/>
    </row>
    <row r="2142">
      <c r="G2142" s="145"/>
    </row>
    <row r="2143">
      <c r="G2143" s="145"/>
    </row>
    <row r="2144">
      <c r="G2144" s="145"/>
    </row>
    <row r="2145">
      <c r="G2145" s="145"/>
    </row>
    <row r="2146">
      <c r="G2146" s="145"/>
    </row>
    <row r="2147">
      <c r="G2147" s="145"/>
    </row>
    <row r="2148">
      <c r="G2148" s="145"/>
    </row>
    <row r="2149">
      <c r="G2149" s="145"/>
    </row>
    <row r="2150">
      <c r="G2150" s="145"/>
    </row>
    <row r="2151">
      <c r="G2151" s="145"/>
    </row>
    <row r="2152">
      <c r="G2152" s="145"/>
    </row>
    <row r="2153">
      <c r="G2153" s="145"/>
    </row>
    <row r="2154">
      <c r="G2154" s="145"/>
    </row>
    <row r="2155">
      <c r="G2155" s="145"/>
    </row>
    <row r="2156">
      <c r="G2156" s="145"/>
    </row>
    <row r="2157">
      <c r="G2157" s="145"/>
    </row>
    <row r="2158">
      <c r="G2158" s="145"/>
    </row>
    <row r="2159">
      <c r="G2159" s="145"/>
    </row>
    <row r="2160">
      <c r="G2160" s="145"/>
    </row>
    <row r="2161">
      <c r="G2161" s="145"/>
    </row>
    <row r="2162">
      <c r="G2162" s="145"/>
    </row>
    <row r="2163">
      <c r="G2163" s="145"/>
    </row>
    <row r="2164">
      <c r="G2164" s="145"/>
    </row>
    <row r="2165">
      <c r="G2165" s="145"/>
    </row>
    <row r="2166">
      <c r="G2166" s="145"/>
    </row>
    <row r="2167">
      <c r="G2167" s="145"/>
    </row>
    <row r="2168">
      <c r="G2168" s="145"/>
    </row>
    <row r="2169">
      <c r="G2169" s="145"/>
    </row>
    <row r="2170">
      <c r="G2170" s="145"/>
    </row>
    <row r="2171">
      <c r="G2171" s="145"/>
    </row>
    <row r="2172">
      <c r="G2172" s="145"/>
    </row>
    <row r="2173">
      <c r="G2173" s="145"/>
    </row>
    <row r="2174">
      <c r="G2174" s="145"/>
    </row>
    <row r="2175">
      <c r="G2175" s="145"/>
    </row>
    <row r="2176">
      <c r="G2176" s="145"/>
    </row>
    <row r="2177">
      <c r="G2177" s="145"/>
    </row>
    <row r="2178">
      <c r="G2178" s="145"/>
    </row>
    <row r="2179">
      <c r="G2179" s="145"/>
    </row>
    <row r="2180">
      <c r="G2180" s="145"/>
    </row>
    <row r="2181">
      <c r="G2181" s="145"/>
    </row>
    <row r="2182">
      <c r="G2182" s="145"/>
    </row>
    <row r="2183">
      <c r="G2183" s="145"/>
    </row>
    <row r="2184">
      <c r="G2184" s="145"/>
    </row>
    <row r="2185">
      <c r="G2185" s="145"/>
    </row>
    <row r="2186">
      <c r="G2186" s="145"/>
    </row>
    <row r="2187">
      <c r="G2187" s="145"/>
    </row>
    <row r="2188">
      <c r="G2188" s="145"/>
    </row>
    <row r="2189">
      <c r="G2189" s="145"/>
    </row>
    <row r="2190">
      <c r="G2190" s="145"/>
    </row>
    <row r="2191">
      <c r="G2191" s="145"/>
    </row>
    <row r="2192">
      <c r="G2192" s="145"/>
    </row>
    <row r="2193">
      <c r="G2193" s="145"/>
    </row>
    <row r="2194">
      <c r="G2194" s="145"/>
    </row>
    <row r="2195">
      <c r="G2195" s="145"/>
    </row>
    <row r="2196">
      <c r="G2196" s="145"/>
    </row>
    <row r="2197">
      <c r="G2197" s="145"/>
    </row>
    <row r="2198">
      <c r="G2198" s="145"/>
    </row>
    <row r="2199">
      <c r="G2199" s="145"/>
    </row>
    <row r="2200">
      <c r="G2200" s="145"/>
    </row>
    <row r="2201">
      <c r="G2201" s="145"/>
    </row>
    <row r="2202">
      <c r="G2202" s="145"/>
    </row>
    <row r="2203">
      <c r="G2203" s="145"/>
    </row>
    <row r="2204">
      <c r="G2204" s="145"/>
    </row>
    <row r="2205">
      <c r="G2205" s="145"/>
    </row>
    <row r="2206">
      <c r="G2206" s="145"/>
    </row>
    <row r="2207">
      <c r="G2207" s="145"/>
    </row>
    <row r="2208">
      <c r="G2208" s="145"/>
    </row>
    <row r="2209">
      <c r="G2209" s="145"/>
    </row>
    <row r="2210">
      <c r="G2210" s="145"/>
    </row>
    <row r="2211">
      <c r="G2211" s="145"/>
    </row>
    <row r="2212">
      <c r="G2212" s="145"/>
    </row>
    <row r="2213">
      <c r="G2213" s="145"/>
    </row>
    <row r="2214">
      <c r="G2214" s="145"/>
    </row>
    <row r="2215">
      <c r="G2215" s="145"/>
    </row>
    <row r="2216">
      <c r="G2216" s="145"/>
    </row>
    <row r="2217">
      <c r="G2217" s="145"/>
    </row>
    <row r="2218">
      <c r="G2218" s="145"/>
    </row>
    <row r="2219">
      <c r="G2219" s="145"/>
    </row>
    <row r="2220">
      <c r="G2220" s="145"/>
    </row>
    <row r="2221">
      <c r="G2221" s="145"/>
    </row>
    <row r="2222">
      <c r="G2222" s="145"/>
    </row>
    <row r="2223">
      <c r="G2223" s="145"/>
    </row>
    <row r="2224">
      <c r="G2224" s="145"/>
    </row>
    <row r="2225">
      <c r="G2225" s="145"/>
    </row>
    <row r="2226">
      <c r="G2226" s="145"/>
    </row>
    <row r="2227">
      <c r="G2227" s="145"/>
    </row>
    <row r="2228">
      <c r="G2228" s="145"/>
    </row>
    <row r="2229">
      <c r="G2229" s="145"/>
    </row>
    <row r="2230">
      <c r="G2230" s="145"/>
    </row>
    <row r="2231">
      <c r="G2231" s="145"/>
    </row>
    <row r="2232">
      <c r="G2232" s="145"/>
    </row>
    <row r="2233">
      <c r="G2233" s="145"/>
    </row>
    <row r="2234">
      <c r="G2234" s="145"/>
    </row>
    <row r="2235">
      <c r="G2235" s="145"/>
    </row>
    <row r="2236">
      <c r="G2236" s="145"/>
    </row>
    <row r="2237">
      <c r="G2237" s="145"/>
    </row>
    <row r="2238">
      <c r="G2238" s="145"/>
    </row>
    <row r="2239">
      <c r="G2239" s="145"/>
    </row>
    <row r="2240">
      <c r="G2240" s="145"/>
    </row>
    <row r="2241">
      <c r="G2241" s="145"/>
    </row>
    <row r="2242">
      <c r="G2242" s="145"/>
    </row>
    <row r="2243">
      <c r="G2243" s="145"/>
    </row>
    <row r="2244">
      <c r="G2244" s="145"/>
    </row>
    <row r="2245">
      <c r="G2245" s="145"/>
    </row>
    <row r="2246">
      <c r="G2246" s="145"/>
    </row>
    <row r="2247">
      <c r="G2247" s="145"/>
    </row>
    <row r="2248">
      <c r="G2248" s="145"/>
    </row>
    <row r="2249">
      <c r="G2249" s="145"/>
    </row>
    <row r="2250">
      <c r="G2250" s="145"/>
    </row>
    <row r="2251">
      <c r="G2251" s="145"/>
    </row>
    <row r="2252">
      <c r="G2252" s="145"/>
    </row>
    <row r="2253">
      <c r="G2253" s="145"/>
    </row>
    <row r="2254">
      <c r="G2254" s="145"/>
    </row>
    <row r="2255">
      <c r="G2255" s="145"/>
    </row>
    <row r="2256">
      <c r="G2256" s="145"/>
    </row>
    <row r="2257">
      <c r="G2257" s="145"/>
    </row>
    <row r="2258">
      <c r="G2258" s="145"/>
    </row>
    <row r="2259">
      <c r="G2259" s="145"/>
    </row>
    <row r="2260">
      <c r="G2260" s="145"/>
    </row>
    <row r="2261">
      <c r="G2261" s="145"/>
    </row>
    <row r="2262">
      <c r="G2262" s="145"/>
    </row>
    <row r="2263">
      <c r="G2263" s="145"/>
    </row>
    <row r="2264">
      <c r="G2264" s="145"/>
    </row>
    <row r="2265">
      <c r="G2265" s="145"/>
    </row>
    <row r="2266">
      <c r="G2266" s="145"/>
    </row>
    <row r="2267">
      <c r="G2267" s="145"/>
    </row>
    <row r="2268">
      <c r="G2268" s="145"/>
    </row>
    <row r="2269">
      <c r="G2269" s="145"/>
    </row>
    <row r="2270">
      <c r="G2270" s="145"/>
    </row>
    <row r="2271">
      <c r="G2271" s="145"/>
    </row>
    <row r="2272">
      <c r="G2272" s="145"/>
    </row>
    <row r="2273">
      <c r="G2273" s="145"/>
    </row>
    <row r="2274">
      <c r="G2274" s="145"/>
    </row>
    <row r="2275">
      <c r="G2275" s="145"/>
    </row>
    <row r="2276">
      <c r="G2276" s="145"/>
    </row>
    <row r="2277">
      <c r="G2277" s="145"/>
    </row>
    <row r="2278">
      <c r="G2278" s="145"/>
    </row>
    <row r="2279">
      <c r="G2279" s="145"/>
    </row>
    <row r="2280">
      <c r="G2280" s="145"/>
    </row>
    <row r="2281">
      <c r="G2281" s="145"/>
    </row>
    <row r="2282">
      <c r="G2282" s="145"/>
    </row>
    <row r="2283">
      <c r="G2283" s="145"/>
    </row>
    <row r="2284">
      <c r="G2284" s="145"/>
    </row>
    <row r="2285">
      <c r="G2285" s="145"/>
    </row>
    <row r="2286">
      <c r="G2286" s="145"/>
    </row>
    <row r="2287">
      <c r="G2287" s="145"/>
    </row>
    <row r="2288">
      <c r="G2288" s="145"/>
    </row>
    <row r="2289">
      <c r="G2289" s="145"/>
    </row>
    <row r="2290">
      <c r="G2290" s="145"/>
    </row>
    <row r="2291">
      <c r="G2291" s="145"/>
    </row>
    <row r="2292">
      <c r="G2292" s="145"/>
    </row>
    <row r="2293">
      <c r="G2293" s="145"/>
    </row>
    <row r="2294">
      <c r="G2294" s="145"/>
    </row>
    <row r="2295">
      <c r="G2295" s="145"/>
    </row>
    <row r="2296">
      <c r="G2296" s="145"/>
    </row>
    <row r="2297">
      <c r="G2297" s="145"/>
    </row>
    <row r="2298">
      <c r="G2298" s="145"/>
    </row>
    <row r="2299">
      <c r="G2299" s="145"/>
    </row>
    <row r="2300">
      <c r="G2300" s="145"/>
    </row>
    <row r="2301">
      <c r="G2301" s="145"/>
    </row>
    <row r="2302">
      <c r="G2302" s="145"/>
    </row>
    <row r="2303">
      <c r="G2303" s="145"/>
    </row>
    <row r="2304">
      <c r="G2304" s="145"/>
    </row>
    <row r="2305">
      <c r="G2305" s="145"/>
    </row>
    <row r="2306">
      <c r="G2306" s="145"/>
    </row>
    <row r="2307">
      <c r="G2307" s="145"/>
    </row>
    <row r="2308">
      <c r="G2308" s="145"/>
    </row>
    <row r="2309">
      <c r="G2309" s="145"/>
    </row>
    <row r="2310">
      <c r="G2310" s="145"/>
    </row>
    <row r="2311">
      <c r="G2311" s="145"/>
    </row>
    <row r="2312">
      <c r="G2312" s="145"/>
    </row>
    <row r="2313">
      <c r="G2313" s="145"/>
    </row>
    <row r="2314">
      <c r="G2314" s="145"/>
    </row>
    <row r="2315">
      <c r="G2315" s="145"/>
    </row>
    <row r="2316">
      <c r="G2316" s="145"/>
    </row>
    <row r="2317">
      <c r="G2317" s="145"/>
    </row>
    <row r="2318">
      <c r="G2318" s="145"/>
    </row>
    <row r="2319">
      <c r="G2319" s="145"/>
    </row>
    <row r="2320">
      <c r="G2320" s="145"/>
    </row>
    <row r="2321">
      <c r="G2321" s="145"/>
    </row>
    <row r="2322">
      <c r="G2322" s="145"/>
    </row>
    <row r="2323">
      <c r="G2323" s="145"/>
    </row>
    <row r="2324">
      <c r="G2324" s="145"/>
    </row>
    <row r="2325">
      <c r="G2325" s="145"/>
    </row>
    <row r="2326">
      <c r="G2326" s="145"/>
    </row>
    <row r="2327">
      <c r="G2327" s="145"/>
    </row>
    <row r="2328">
      <c r="G2328" s="145"/>
    </row>
    <row r="2329">
      <c r="G2329" s="145"/>
    </row>
    <row r="2330">
      <c r="G2330" s="145"/>
    </row>
    <row r="2331">
      <c r="G2331" s="145"/>
    </row>
    <row r="2332">
      <c r="G2332" s="145"/>
    </row>
    <row r="2333">
      <c r="G2333" s="145"/>
    </row>
    <row r="2334">
      <c r="G2334" s="145"/>
    </row>
    <row r="2335">
      <c r="G2335" s="145"/>
    </row>
    <row r="2336">
      <c r="G2336" s="145"/>
    </row>
    <row r="2337">
      <c r="G2337" s="145"/>
    </row>
    <row r="2338">
      <c r="G2338" s="145"/>
    </row>
    <row r="2339">
      <c r="G2339" s="145"/>
    </row>
    <row r="2340">
      <c r="G2340" s="145"/>
    </row>
    <row r="2341">
      <c r="G2341" s="145"/>
    </row>
    <row r="2342">
      <c r="G2342" s="145"/>
    </row>
    <row r="2343">
      <c r="G2343" s="145"/>
    </row>
    <row r="2344">
      <c r="G2344" s="145"/>
    </row>
    <row r="2345">
      <c r="G2345" s="145"/>
    </row>
    <row r="2346">
      <c r="G2346" s="145"/>
    </row>
    <row r="2347">
      <c r="G2347" s="145"/>
    </row>
    <row r="2348">
      <c r="G2348" s="145"/>
    </row>
    <row r="2349">
      <c r="G2349" s="145"/>
    </row>
    <row r="2350">
      <c r="G2350" s="145"/>
    </row>
    <row r="2351">
      <c r="G2351" s="145"/>
    </row>
    <row r="2352">
      <c r="G2352" s="145"/>
    </row>
    <row r="2353">
      <c r="G2353" s="145"/>
    </row>
    <row r="2354">
      <c r="G2354" s="145"/>
    </row>
    <row r="2355">
      <c r="G2355" s="145"/>
    </row>
    <row r="2356">
      <c r="G2356" s="145"/>
    </row>
    <row r="2357">
      <c r="G2357" s="145"/>
    </row>
    <row r="2358">
      <c r="G2358" s="145"/>
    </row>
    <row r="2359">
      <c r="G2359" s="145"/>
    </row>
    <row r="2360">
      <c r="G2360" s="145"/>
    </row>
    <row r="2361">
      <c r="G2361" s="145"/>
    </row>
    <row r="2362">
      <c r="G2362" s="145"/>
    </row>
    <row r="2363">
      <c r="G2363" s="145"/>
    </row>
    <row r="2364">
      <c r="G2364" s="145"/>
    </row>
    <row r="2365">
      <c r="G2365" s="145"/>
    </row>
    <row r="2366">
      <c r="G2366" s="145"/>
    </row>
    <row r="2367">
      <c r="G2367" s="145"/>
    </row>
    <row r="2368">
      <c r="G2368" s="145"/>
    </row>
    <row r="2369">
      <c r="G2369" s="145"/>
    </row>
    <row r="2370">
      <c r="G2370" s="145"/>
    </row>
    <row r="2371">
      <c r="G2371" s="145"/>
    </row>
    <row r="2372">
      <c r="G2372" s="145"/>
    </row>
    <row r="2373">
      <c r="G2373" s="145"/>
    </row>
    <row r="2374">
      <c r="G2374" s="145"/>
    </row>
    <row r="2375">
      <c r="G2375" s="145"/>
    </row>
    <row r="2376">
      <c r="G2376" s="145"/>
    </row>
    <row r="2377">
      <c r="G2377" s="145"/>
    </row>
    <row r="2378">
      <c r="G2378" s="145"/>
    </row>
    <row r="2379">
      <c r="G2379" s="145"/>
    </row>
    <row r="2380">
      <c r="G2380" s="145"/>
    </row>
    <row r="2381">
      <c r="G2381" s="145"/>
    </row>
    <row r="2382">
      <c r="G2382" s="145"/>
    </row>
    <row r="2383">
      <c r="G2383" s="145"/>
    </row>
    <row r="2384">
      <c r="G2384" s="145"/>
    </row>
    <row r="2385">
      <c r="G2385" s="145"/>
    </row>
    <row r="2386">
      <c r="G2386" s="145"/>
    </row>
    <row r="2387">
      <c r="G2387" s="145"/>
    </row>
    <row r="2388">
      <c r="G2388" s="145"/>
    </row>
    <row r="2389">
      <c r="G2389" s="145"/>
    </row>
    <row r="2390">
      <c r="G2390" s="145"/>
    </row>
    <row r="2391">
      <c r="G2391" s="145"/>
    </row>
    <row r="2392">
      <c r="G2392" s="145"/>
    </row>
    <row r="2393">
      <c r="G2393" s="145"/>
    </row>
    <row r="2394">
      <c r="G2394" s="145"/>
    </row>
    <row r="2395">
      <c r="G2395" s="145"/>
    </row>
    <row r="2396">
      <c r="G2396" s="145"/>
    </row>
    <row r="2397">
      <c r="G2397" s="145"/>
    </row>
    <row r="2398">
      <c r="G2398" s="145"/>
    </row>
    <row r="2399">
      <c r="G2399" s="145"/>
    </row>
    <row r="2400">
      <c r="G2400" s="145"/>
    </row>
    <row r="2401">
      <c r="G2401" s="145"/>
    </row>
    <row r="2402">
      <c r="G2402" s="145"/>
    </row>
    <row r="2403">
      <c r="G2403" s="145"/>
    </row>
    <row r="2404">
      <c r="G2404" s="145"/>
    </row>
    <row r="2405">
      <c r="G2405" s="145"/>
    </row>
    <row r="2406">
      <c r="G2406" s="145"/>
    </row>
    <row r="2407">
      <c r="G2407" s="145"/>
    </row>
    <row r="2408">
      <c r="G2408" s="145"/>
    </row>
    <row r="2409">
      <c r="G2409" s="145"/>
    </row>
    <row r="2410">
      <c r="G2410" s="145"/>
    </row>
    <row r="2411">
      <c r="G2411" s="145"/>
    </row>
    <row r="2412">
      <c r="G2412" s="145"/>
    </row>
    <row r="2413">
      <c r="G2413" s="145"/>
    </row>
    <row r="2414">
      <c r="G2414" s="145"/>
    </row>
    <row r="2415">
      <c r="G2415" s="145"/>
    </row>
    <row r="2416">
      <c r="G2416" s="145"/>
    </row>
    <row r="2417">
      <c r="G2417" s="145"/>
    </row>
    <row r="2418">
      <c r="G2418" s="145"/>
    </row>
    <row r="2419">
      <c r="G2419" s="145"/>
    </row>
    <row r="2420">
      <c r="G2420" s="145"/>
    </row>
    <row r="2421">
      <c r="G2421" s="145"/>
    </row>
    <row r="2422">
      <c r="G2422" s="145"/>
    </row>
    <row r="2423">
      <c r="G2423" s="145"/>
    </row>
    <row r="2424">
      <c r="G2424" s="145"/>
    </row>
    <row r="2425">
      <c r="G2425" s="145"/>
    </row>
    <row r="2426">
      <c r="G2426" s="145"/>
    </row>
    <row r="2427">
      <c r="G2427" s="145"/>
    </row>
    <row r="2428">
      <c r="G2428" s="145"/>
    </row>
    <row r="2429">
      <c r="G2429" s="145"/>
    </row>
    <row r="2430">
      <c r="G2430" s="145"/>
    </row>
    <row r="2431">
      <c r="G2431" s="145"/>
    </row>
    <row r="2432">
      <c r="G2432" s="145"/>
    </row>
    <row r="2433">
      <c r="G2433" s="145"/>
    </row>
    <row r="2434">
      <c r="G2434" s="145"/>
    </row>
    <row r="2435">
      <c r="G2435" s="145"/>
    </row>
    <row r="2436">
      <c r="G2436" s="145"/>
    </row>
    <row r="2437">
      <c r="G2437" s="145"/>
    </row>
    <row r="2438">
      <c r="G2438" s="145"/>
    </row>
    <row r="2439">
      <c r="G2439" s="145"/>
    </row>
    <row r="2440">
      <c r="G2440" s="145"/>
    </row>
    <row r="2441">
      <c r="G2441" s="145"/>
    </row>
    <row r="2442">
      <c r="G2442" s="145"/>
    </row>
    <row r="2443">
      <c r="G2443" s="145"/>
    </row>
    <row r="2444">
      <c r="G2444" s="145"/>
    </row>
    <row r="2445">
      <c r="G2445" s="145"/>
    </row>
    <row r="2446">
      <c r="G2446" s="145"/>
    </row>
    <row r="2447">
      <c r="G2447" s="145"/>
    </row>
    <row r="2448">
      <c r="G2448" s="145"/>
    </row>
    <row r="2449">
      <c r="G2449" s="145"/>
    </row>
    <row r="2450">
      <c r="G2450" s="145"/>
    </row>
    <row r="2451">
      <c r="G2451" s="145"/>
    </row>
    <row r="2452">
      <c r="G2452" s="145"/>
    </row>
    <row r="2453">
      <c r="G2453" s="145"/>
    </row>
    <row r="2454">
      <c r="G2454" s="145"/>
    </row>
    <row r="2455">
      <c r="G2455" s="145"/>
    </row>
    <row r="2456">
      <c r="G2456" s="145"/>
    </row>
    <row r="2457">
      <c r="G2457" s="145"/>
    </row>
    <row r="2458">
      <c r="G2458" s="145"/>
    </row>
    <row r="2459">
      <c r="G2459" s="145"/>
    </row>
    <row r="2460">
      <c r="G2460" s="145"/>
    </row>
    <row r="2461">
      <c r="G2461" s="145"/>
    </row>
    <row r="2462">
      <c r="G2462" s="145"/>
    </row>
    <row r="2463">
      <c r="G2463" s="145"/>
    </row>
    <row r="2464">
      <c r="G2464" s="145"/>
    </row>
    <row r="2465">
      <c r="G2465" s="145"/>
    </row>
    <row r="2466">
      <c r="G2466" s="145"/>
    </row>
    <row r="2467">
      <c r="G2467" s="145"/>
    </row>
    <row r="2468">
      <c r="G2468" s="145"/>
    </row>
    <row r="2469">
      <c r="G2469" s="145"/>
    </row>
    <row r="2470">
      <c r="G2470" s="145"/>
    </row>
    <row r="2471">
      <c r="G2471" s="145"/>
    </row>
    <row r="2472">
      <c r="G2472" s="145"/>
    </row>
    <row r="2473">
      <c r="G2473" s="145"/>
    </row>
    <row r="2474">
      <c r="G2474" s="145"/>
    </row>
    <row r="2475">
      <c r="G2475" s="145"/>
    </row>
    <row r="2476">
      <c r="G2476" s="145"/>
    </row>
    <row r="2477">
      <c r="G2477" s="145"/>
    </row>
    <row r="2478">
      <c r="G2478" s="145"/>
    </row>
    <row r="2479">
      <c r="G2479" s="145"/>
    </row>
    <row r="2480">
      <c r="G2480" s="145"/>
    </row>
    <row r="2481">
      <c r="G2481" s="145"/>
    </row>
    <row r="2482">
      <c r="G2482" s="145"/>
    </row>
    <row r="2483">
      <c r="G2483" s="145"/>
    </row>
    <row r="2484">
      <c r="G2484" s="145"/>
    </row>
    <row r="2485">
      <c r="G2485" s="145"/>
    </row>
    <row r="2486">
      <c r="G2486" s="145"/>
    </row>
    <row r="2487">
      <c r="G2487" s="145"/>
    </row>
    <row r="2488">
      <c r="G2488" s="145"/>
    </row>
    <row r="2489">
      <c r="G2489" s="145"/>
    </row>
    <row r="2490">
      <c r="G2490" s="145"/>
    </row>
    <row r="2491">
      <c r="G2491" s="145"/>
    </row>
    <row r="2492">
      <c r="G2492" s="145"/>
    </row>
    <row r="2493">
      <c r="G2493" s="145"/>
    </row>
    <row r="2494">
      <c r="G2494" s="145"/>
    </row>
    <row r="2495">
      <c r="G2495" s="145"/>
    </row>
    <row r="2496">
      <c r="G2496" s="145"/>
    </row>
    <row r="2497">
      <c r="G2497" s="145"/>
    </row>
    <row r="2498">
      <c r="G2498" s="145"/>
    </row>
    <row r="2499">
      <c r="G2499" s="145"/>
    </row>
    <row r="2500">
      <c r="G2500" s="145"/>
    </row>
    <row r="2501">
      <c r="G2501" s="145"/>
    </row>
    <row r="2502">
      <c r="G2502" s="145"/>
    </row>
    <row r="2503">
      <c r="G2503" s="145"/>
    </row>
    <row r="2504">
      <c r="G2504" s="145"/>
    </row>
    <row r="2505">
      <c r="G2505" s="145"/>
    </row>
    <row r="2506">
      <c r="G2506" s="145"/>
    </row>
    <row r="2507">
      <c r="G2507" s="145"/>
    </row>
    <row r="2508">
      <c r="G2508" s="145"/>
    </row>
    <row r="2509">
      <c r="G2509" s="145"/>
    </row>
    <row r="2510">
      <c r="G2510" s="145"/>
    </row>
    <row r="2511">
      <c r="G2511" s="145"/>
    </row>
    <row r="2512">
      <c r="G2512" s="145"/>
    </row>
    <row r="2513">
      <c r="G2513" s="145"/>
    </row>
    <row r="2514">
      <c r="G2514" s="145"/>
    </row>
    <row r="2515">
      <c r="G2515" s="145"/>
    </row>
    <row r="2516">
      <c r="G2516" s="145"/>
    </row>
    <row r="2517">
      <c r="G2517" s="145"/>
    </row>
    <row r="2518">
      <c r="G2518" s="145"/>
    </row>
    <row r="2519">
      <c r="G2519" s="145"/>
    </row>
    <row r="2520">
      <c r="G2520" s="145"/>
    </row>
    <row r="2521">
      <c r="G2521" s="145"/>
    </row>
    <row r="2522">
      <c r="G2522" s="145"/>
    </row>
    <row r="2523">
      <c r="G2523" s="145"/>
    </row>
    <row r="2524">
      <c r="G2524" s="145"/>
    </row>
    <row r="2525">
      <c r="G2525" s="145"/>
    </row>
    <row r="2526">
      <c r="G2526" s="145"/>
    </row>
    <row r="2527">
      <c r="G2527" s="145"/>
    </row>
    <row r="2528">
      <c r="G2528" s="145"/>
    </row>
    <row r="2529">
      <c r="G2529" s="145"/>
    </row>
    <row r="2530">
      <c r="G2530" s="145"/>
    </row>
    <row r="2531">
      <c r="G2531" s="145"/>
    </row>
    <row r="2532">
      <c r="G2532" s="145"/>
    </row>
    <row r="2533">
      <c r="G2533" s="145"/>
    </row>
    <row r="2534">
      <c r="G2534" s="145"/>
    </row>
    <row r="2535">
      <c r="G2535" s="145"/>
    </row>
    <row r="2536">
      <c r="G2536" s="145"/>
    </row>
    <row r="2537">
      <c r="G2537" s="145"/>
    </row>
    <row r="2538">
      <c r="G2538" s="145"/>
    </row>
    <row r="2539">
      <c r="G2539" s="145"/>
    </row>
    <row r="2540">
      <c r="G2540" s="145"/>
    </row>
    <row r="2541">
      <c r="G2541" s="145"/>
    </row>
    <row r="2542">
      <c r="G2542" s="145"/>
    </row>
    <row r="2543">
      <c r="G2543" s="145"/>
    </row>
    <row r="2544">
      <c r="G2544" s="145"/>
    </row>
    <row r="2545">
      <c r="G2545" s="145"/>
    </row>
    <row r="2546">
      <c r="G2546" s="145"/>
    </row>
    <row r="2547">
      <c r="G2547" s="145"/>
    </row>
    <row r="2548">
      <c r="G2548" s="145"/>
    </row>
    <row r="2549">
      <c r="G2549" s="145"/>
    </row>
    <row r="2550">
      <c r="G2550" s="145"/>
    </row>
    <row r="2551">
      <c r="G2551" s="145"/>
    </row>
    <row r="2552">
      <c r="G2552" s="145"/>
    </row>
    <row r="2553">
      <c r="G2553" s="145"/>
    </row>
    <row r="2554">
      <c r="G2554" s="145"/>
    </row>
    <row r="2555">
      <c r="G2555" s="145"/>
    </row>
    <row r="2556">
      <c r="G2556" s="145"/>
    </row>
    <row r="2557">
      <c r="G2557" s="145"/>
    </row>
    <row r="2558">
      <c r="G2558" s="145"/>
    </row>
    <row r="2559">
      <c r="G2559" s="145"/>
    </row>
    <row r="2560">
      <c r="G2560" s="145"/>
    </row>
    <row r="2561">
      <c r="G2561" s="145"/>
    </row>
    <row r="2562">
      <c r="G2562" s="145"/>
    </row>
    <row r="2563">
      <c r="G2563" s="145"/>
    </row>
    <row r="2564">
      <c r="G2564" s="145"/>
    </row>
    <row r="2565">
      <c r="G2565" s="145"/>
    </row>
    <row r="2566">
      <c r="G2566" s="145"/>
    </row>
    <row r="2567">
      <c r="G2567" s="145"/>
    </row>
    <row r="2568">
      <c r="G2568" s="145"/>
    </row>
    <row r="2569">
      <c r="G2569" s="145"/>
    </row>
    <row r="2570">
      <c r="G2570" s="145"/>
    </row>
    <row r="2571">
      <c r="G2571" s="145"/>
    </row>
    <row r="2572">
      <c r="G2572" s="145"/>
    </row>
    <row r="2573">
      <c r="G2573" s="145"/>
    </row>
    <row r="2574">
      <c r="G2574" s="145"/>
    </row>
    <row r="2575">
      <c r="G2575" s="145"/>
    </row>
    <row r="2576">
      <c r="G2576" s="145"/>
    </row>
    <row r="2577">
      <c r="G2577" s="145"/>
    </row>
    <row r="2578">
      <c r="G2578" s="145"/>
    </row>
    <row r="2579">
      <c r="G2579" s="145"/>
    </row>
    <row r="2580">
      <c r="G2580" s="145"/>
    </row>
    <row r="2581">
      <c r="G2581" s="145"/>
    </row>
    <row r="2582">
      <c r="G2582" s="145"/>
    </row>
    <row r="2583">
      <c r="G2583" s="145"/>
    </row>
    <row r="2584">
      <c r="G2584" s="145"/>
    </row>
    <row r="2585">
      <c r="G2585" s="145"/>
    </row>
    <row r="2586">
      <c r="G2586" s="145"/>
    </row>
    <row r="2587">
      <c r="G2587" s="145"/>
    </row>
    <row r="2588">
      <c r="G2588" s="145"/>
    </row>
    <row r="2589">
      <c r="G2589" s="145"/>
    </row>
    <row r="2590">
      <c r="G2590" s="145"/>
    </row>
    <row r="2591">
      <c r="G2591" s="145"/>
    </row>
    <row r="2592">
      <c r="G2592" s="145"/>
    </row>
    <row r="2593">
      <c r="G2593" s="145"/>
    </row>
    <row r="2594">
      <c r="G2594" s="145"/>
    </row>
    <row r="2595">
      <c r="G2595" s="145"/>
    </row>
    <row r="2596">
      <c r="G2596" s="145"/>
    </row>
    <row r="2597">
      <c r="G2597" s="145"/>
    </row>
    <row r="2598">
      <c r="G2598" s="145"/>
    </row>
    <row r="2599">
      <c r="G2599" s="145"/>
    </row>
    <row r="2600">
      <c r="G2600" s="145"/>
    </row>
    <row r="2601">
      <c r="G2601" s="145"/>
    </row>
    <row r="2602">
      <c r="G2602" s="145"/>
    </row>
    <row r="2603">
      <c r="G2603" s="145"/>
    </row>
    <row r="2604">
      <c r="G2604" s="145"/>
    </row>
    <row r="2605">
      <c r="G2605" s="145"/>
    </row>
    <row r="2606">
      <c r="G2606" s="145"/>
    </row>
    <row r="2607">
      <c r="G2607" s="145"/>
    </row>
    <row r="2608">
      <c r="G2608" s="145"/>
    </row>
    <row r="2609">
      <c r="G2609" s="145"/>
    </row>
    <row r="2610">
      <c r="G2610" s="145"/>
    </row>
    <row r="2611">
      <c r="G2611" s="145"/>
    </row>
    <row r="2612">
      <c r="G2612" s="145"/>
    </row>
    <row r="2613">
      <c r="G2613" s="145"/>
    </row>
    <row r="2614">
      <c r="G2614" s="145"/>
    </row>
    <row r="2615">
      <c r="G2615" s="145"/>
    </row>
    <row r="2616">
      <c r="G2616" s="145"/>
    </row>
    <row r="2617">
      <c r="G2617" s="145"/>
    </row>
    <row r="2618">
      <c r="G2618" s="145"/>
    </row>
    <row r="2619">
      <c r="G2619" s="145"/>
    </row>
    <row r="2620">
      <c r="G2620" s="145"/>
    </row>
    <row r="2621">
      <c r="G2621" s="145"/>
    </row>
    <row r="2622">
      <c r="G2622" s="145"/>
    </row>
    <row r="2623">
      <c r="G2623" s="145"/>
    </row>
    <row r="2624">
      <c r="G2624" s="145"/>
    </row>
    <row r="2625">
      <c r="G2625" s="145"/>
    </row>
    <row r="2626">
      <c r="G2626" s="145"/>
    </row>
    <row r="2627">
      <c r="G2627" s="145"/>
    </row>
    <row r="2628">
      <c r="G2628" s="145"/>
    </row>
    <row r="2629">
      <c r="G2629" s="145"/>
    </row>
    <row r="2630">
      <c r="G2630" s="145"/>
    </row>
    <row r="2631">
      <c r="G2631" s="145"/>
    </row>
    <row r="2632">
      <c r="G2632" s="145"/>
    </row>
    <row r="2633">
      <c r="G2633" s="145"/>
    </row>
    <row r="2634">
      <c r="G2634" s="145"/>
    </row>
    <row r="2635">
      <c r="G2635" s="145"/>
    </row>
    <row r="2636">
      <c r="G2636" s="145"/>
    </row>
    <row r="2637">
      <c r="G2637" s="145"/>
    </row>
    <row r="2638">
      <c r="G2638" s="145"/>
    </row>
    <row r="2639">
      <c r="G2639" s="145"/>
    </row>
    <row r="2640">
      <c r="G2640" s="145"/>
    </row>
    <row r="2641">
      <c r="G2641" s="145"/>
    </row>
    <row r="2642">
      <c r="G2642" s="145"/>
    </row>
    <row r="2643">
      <c r="G2643" s="145"/>
    </row>
    <row r="2644">
      <c r="G2644" s="145"/>
    </row>
    <row r="2645">
      <c r="G2645" s="145"/>
    </row>
    <row r="2646">
      <c r="G2646" s="145"/>
    </row>
    <row r="2647">
      <c r="G2647" s="145"/>
    </row>
    <row r="2648">
      <c r="G2648" s="145"/>
    </row>
    <row r="2649">
      <c r="G2649" s="145"/>
    </row>
    <row r="2650">
      <c r="G2650" s="145"/>
    </row>
    <row r="2651">
      <c r="G2651" s="145"/>
    </row>
    <row r="2652">
      <c r="G2652" s="145"/>
    </row>
    <row r="2653">
      <c r="G2653" s="145"/>
    </row>
    <row r="2654">
      <c r="G2654" s="145"/>
    </row>
    <row r="2655">
      <c r="G2655" s="145"/>
    </row>
    <row r="2656">
      <c r="G2656" s="145"/>
    </row>
    <row r="2657">
      <c r="G2657" s="145"/>
    </row>
    <row r="2658">
      <c r="G2658" s="145"/>
    </row>
    <row r="2659">
      <c r="G2659" s="145"/>
    </row>
    <row r="2660">
      <c r="G2660" s="145"/>
    </row>
    <row r="2661">
      <c r="G2661" s="145"/>
    </row>
    <row r="2662">
      <c r="G2662" s="145"/>
    </row>
    <row r="2663">
      <c r="G2663" s="145"/>
    </row>
    <row r="2664">
      <c r="G2664" s="145"/>
    </row>
    <row r="2665">
      <c r="G2665" s="145"/>
    </row>
    <row r="2666">
      <c r="G2666" s="145"/>
    </row>
    <row r="2667">
      <c r="G2667" s="145"/>
    </row>
    <row r="2668">
      <c r="G2668" s="145"/>
    </row>
    <row r="2669">
      <c r="G2669" s="145"/>
    </row>
    <row r="2670">
      <c r="G2670" s="145"/>
    </row>
    <row r="2671">
      <c r="G2671" s="145"/>
    </row>
    <row r="2672">
      <c r="G2672" s="145"/>
    </row>
    <row r="2673">
      <c r="G2673" s="145"/>
    </row>
    <row r="2674">
      <c r="G2674" s="145"/>
    </row>
    <row r="2675">
      <c r="G2675" s="145"/>
    </row>
    <row r="2676">
      <c r="G2676" s="145"/>
    </row>
    <row r="2677">
      <c r="G2677" s="145"/>
    </row>
    <row r="2678">
      <c r="G2678" s="145"/>
    </row>
    <row r="2679">
      <c r="G2679" s="145"/>
    </row>
    <row r="2680">
      <c r="G2680" s="145"/>
    </row>
    <row r="2681">
      <c r="G2681" s="145"/>
    </row>
    <row r="2682">
      <c r="G2682" s="145"/>
    </row>
    <row r="2683">
      <c r="G2683" s="145"/>
    </row>
    <row r="2684">
      <c r="G2684" s="145"/>
    </row>
    <row r="2685">
      <c r="G2685" s="145"/>
    </row>
    <row r="2686">
      <c r="G2686" s="145"/>
    </row>
    <row r="2687">
      <c r="G2687" s="145"/>
    </row>
    <row r="2688">
      <c r="G2688" s="145"/>
    </row>
    <row r="2689">
      <c r="G2689" s="145"/>
    </row>
    <row r="2690">
      <c r="G2690" s="145"/>
    </row>
    <row r="2691">
      <c r="G2691" s="145"/>
    </row>
    <row r="2692">
      <c r="G2692" s="145"/>
    </row>
    <row r="2693">
      <c r="G2693" s="145"/>
    </row>
    <row r="2694">
      <c r="G2694" s="145"/>
    </row>
    <row r="2695">
      <c r="G2695" s="145"/>
    </row>
    <row r="2696">
      <c r="G2696" s="145"/>
    </row>
    <row r="2697">
      <c r="G2697" s="145"/>
    </row>
    <row r="2698">
      <c r="G2698" s="145"/>
    </row>
    <row r="2699">
      <c r="G2699" s="145"/>
    </row>
    <row r="2700">
      <c r="G2700" s="145"/>
    </row>
    <row r="2701">
      <c r="G2701" s="145"/>
    </row>
    <row r="2702">
      <c r="G2702" s="145"/>
    </row>
    <row r="2703">
      <c r="G2703" s="145"/>
    </row>
    <row r="2704">
      <c r="G2704" s="145"/>
    </row>
    <row r="2705">
      <c r="G2705" s="145"/>
    </row>
    <row r="2706">
      <c r="G2706" s="145"/>
    </row>
    <row r="2707">
      <c r="G2707" s="145"/>
    </row>
    <row r="2708">
      <c r="G2708" s="145"/>
    </row>
    <row r="2709">
      <c r="G2709" s="145"/>
    </row>
    <row r="2710">
      <c r="G2710" s="145"/>
    </row>
    <row r="2711">
      <c r="G2711" s="145"/>
    </row>
    <row r="2712">
      <c r="G2712" s="145"/>
    </row>
    <row r="2713">
      <c r="G2713" s="145"/>
    </row>
    <row r="2714">
      <c r="G2714" s="145"/>
    </row>
    <row r="2715">
      <c r="G2715" s="145"/>
    </row>
    <row r="2716">
      <c r="G2716" s="145"/>
    </row>
    <row r="2717">
      <c r="G2717" s="145"/>
    </row>
    <row r="2718">
      <c r="G2718" s="145"/>
    </row>
    <row r="2719">
      <c r="G2719" s="145"/>
    </row>
    <row r="2720">
      <c r="G2720" s="145"/>
    </row>
    <row r="2721">
      <c r="G2721" s="145"/>
    </row>
    <row r="2722">
      <c r="G2722" s="145"/>
    </row>
    <row r="2723">
      <c r="G2723" s="145"/>
    </row>
    <row r="2724">
      <c r="G2724" s="145"/>
    </row>
    <row r="2725">
      <c r="G2725" s="145"/>
    </row>
    <row r="2726">
      <c r="G2726" s="145"/>
    </row>
    <row r="2727">
      <c r="G2727" s="145"/>
    </row>
    <row r="2728">
      <c r="G2728" s="145"/>
    </row>
    <row r="2729">
      <c r="G2729" s="145"/>
    </row>
    <row r="2730">
      <c r="G2730" s="145"/>
    </row>
    <row r="2731">
      <c r="G2731" s="145"/>
    </row>
    <row r="2732">
      <c r="G2732" s="145"/>
    </row>
    <row r="2733">
      <c r="G2733" s="145"/>
    </row>
    <row r="2734">
      <c r="G2734" s="145"/>
    </row>
    <row r="2735">
      <c r="G2735" s="145"/>
    </row>
    <row r="2736">
      <c r="G2736" s="145"/>
    </row>
    <row r="2737">
      <c r="G2737" s="145"/>
    </row>
    <row r="2738">
      <c r="G2738" s="145"/>
    </row>
    <row r="2739">
      <c r="G2739" s="145"/>
    </row>
    <row r="2740">
      <c r="G2740" s="145"/>
    </row>
    <row r="2741">
      <c r="G2741" s="145"/>
    </row>
    <row r="2742">
      <c r="G2742" s="145"/>
    </row>
    <row r="2743">
      <c r="G2743" s="145"/>
    </row>
    <row r="2744">
      <c r="G2744" s="145"/>
    </row>
    <row r="2745">
      <c r="G2745" s="145"/>
    </row>
    <row r="2746">
      <c r="G2746" s="145"/>
    </row>
    <row r="2747">
      <c r="G2747" s="145"/>
    </row>
    <row r="2748">
      <c r="G2748" s="145"/>
    </row>
    <row r="2749">
      <c r="G2749" s="145"/>
    </row>
    <row r="2750">
      <c r="G2750" s="145"/>
    </row>
    <row r="2751">
      <c r="G2751" s="145"/>
    </row>
    <row r="2752">
      <c r="G2752" s="145"/>
    </row>
    <row r="2753">
      <c r="G2753" s="145"/>
    </row>
    <row r="2754">
      <c r="G2754" s="145"/>
    </row>
    <row r="2755">
      <c r="G2755" s="145"/>
    </row>
    <row r="2756">
      <c r="G2756" s="145"/>
    </row>
    <row r="2757">
      <c r="G2757" s="145"/>
    </row>
    <row r="2758">
      <c r="G2758" s="145"/>
    </row>
    <row r="2759">
      <c r="G2759" s="145"/>
    </row>
    <row r="2760">
      <c r="G2760" s="145"/>
    </row>
    <row r="2761">
      <c r="G2761" s="145"/>
    </row>
    <row r="2762">
      <c r="G2762" s="145"/>
    </row>
    <row r="2763">
      <c r="G2763" s="145"/>
    </row>
    <row r="2764">
      <c r="G2764" s="145"/>
    </row>
    <row r="2765">
      <c r="G2765" s="145"/>
    </row>
    <row r="2766">
      <c r="G2766" s="145"/>
    </row>
    <row r="2767">
      <c r="G2767" s="145"/>
    </row>
    <row r="2768">
      <c r="G2768" s="145"/>
    </row>
    <row r="2769">
      <c r="G2769" s="145"/>
    </row>
    <row r="2770">
      <c r="G2770" s="145"/>
    </row>
    <row r="2771">
      <c r="G2771" s="145"/>
    </row>
    <row r="2772">
      <c r="G2772" s="145"/>
    </row>
    <row r="2773">
      <c r="G2773" s="145"/>
    </row>
    <row r="2774">
      <c r="G2774" s="145"/>
    </row>
    <row r="2775">
      <c r="G2775" s="145"/>
    </row>
    <row r="2776">
      <c r="G2776" s="145"/>
    </row>
    <row r="2777">
      <c r="G2777" s="145"/>
    </row>
    <row r="2778">
      <c r="G2778" s="145"/>
    </row>
    <row r="2779">
      <c r="G2779" s="145"/>
    </row>
    <row r="2780">
      <c r="G2780" s="145"/>
    </row>
    <row r="2781">
      <c r="G2781" s="145"/>
    </row>
    <row r="2782">
      <c r="G2782" s="145"/>
    </row>
    <row r="2783">
      <c r="G2783" s="145"/>
    </row>
    <row r="2784">
      <c r="G2784" s="145"/>
    </row>
    <row r="2785">
      <c r="G2785" s="145"/>
    </row>
    <row r="2786">
      <c r="G2786" s="145"/>
    </row>
    <row r="2787">
      <c r="G2787" s="145"/>
    </row>
    <row r="2788">
      <c r="G2788" s="145"/>
    </row>
    <row r="2789">
      <c r="G2789" s="145"/>
    </row>
    <row r="2790">
      <c r="G2790" s="145"/>
    </row>
    <row r="2791">
      <c r="G2791" s="145"/>
    </row>
    <row r="2792">
      <c r="G2792" s="145"/>
    </row>
    <row r="2793">
      <c r="G2793" s="145"/>
    </row>
    <row r="2794">
      <c r="G2794" s="145"/>
    </row>
    <row r="2795">
      <c r="G2795" s="145"/>
    </row>
    <row r="2796">
      <c r="G2796" s="145"/>
    </row>
    <row r="2797">
      <c r="G2797" s="145"/>
    </row>
    <row r="2798">
      <c r="G2798" s="145"/>
    </row>
    <row r="2799">
      <c r="G2799" s="145"/>
    </row>
    <row r="2800">
      <c r="G2800" s="145"/>
    </row>
    <row r="2801">
      <c r="G2801" s="145"/>
    </row>
    <row r="2802">
      <c r="G2802" s="145"/>
    </row>
    <row r="2803">
      <c r="G2803" s="145"/>
    </row>
    <row r="2804">
      <c r="G2804" s="145"/>
    </row>
    <row r="2805">
      <c r="G2805" s="145"/>
    </row>
    <row r="2806">
      <c r="G2806" s="145"/>
    </row>
    <row r="2807">
      <c r="G2807" s="145"/>
    </row>
    <row r="2808">
      <c r="G2808" s="145"/>
    </row>
    <row r="2809">
      <c r="G2809" s="145"/>
    </row>
    <row r="2810">
      <c r="G2810" s="145"/>
    </row>
    <row r="2811">
      <c r="G2811" s="145"/>
    </row>
    <row r="2812">
      <c r="G2812" s="145"/>
    </row>
    <row r="2813">
      <c r="G2813" s="145"/>
    </row>
    <row r="2814">
      <c r="G2814" s="145"/>
    </row>
    <row r="2815">
      <c r="G2815" s="145"/>
    </row>
    <row r="2816">
      <c r="G2816" s="145"/>
    </row>
    <row r="2817">
      <c r="G2817" s="145"/>
    </row>
    <row r="2818">
      <c r="G2818" s="145"/>
    </row>
    <row r="2819">
      <c r="G2819" s="145"/>
    </row>
    <row r="2820">
      <c r="G2820" s="145"/>
    </row>
    <row r="2821">
      <c r="G2821" s="145"/>
    </row>
    <row r="2822">
      <c r="G2822" s="145"/>
    </row>
    <row r="2823">
      <c r="G2823" s="145"/>
    </row>
    <row r="2824">
      <c r="G2824" s="145"/>
    </row>
    <row r="2825">
      <c r="G2825" s="145"/>
    </row>
    <row r="2826">
      <c r="G2826" s="145"/>
    </row>
    <row r="2827">
      <c r="G2827" s="145"/>
    </row>
    <row r="2828">
      <c r="G2828" s="145"/>
    </row>
    <row r="2829">
      <c r="G2829" s="145"/>
    </row>
    <row r="2830">
      <c r="G2830" s="145"/>
    </row>
    <row r="2831">
      <c r="G2831" s="145"/>
    </row>
    <row r="2832">
      <c r="G2832" s="145"/>
    </row>
    <row r="2833">
      <c r="G2833" s="145"/>
    </row>
    <row r="2834">
      <c r="G2834" s="145"/>
    </row>
    <row r="2835">
      <c r="G2835" s="145"/>
    </row>
    <row r="2836">
      <c r="G2836" s="145"/>
    </row>
    <row r="2837">
      <c r="G2837" s="145"/>
    </row>
    <row r="2838">
      <c r="G2838" s="145"/>
    </row>
    <row r="2839">
      <c r="G2839" s="145"/>
    </row>
    <row r="2840">
      <c r="G2840" s="145"/>
    </row>
    <row r="2841">
      <c r="G2841" s="145"/>
    </row>
    <row r="2842">
      <c r="G2842" s="145"/>
    </row>
    <row r="2843">
      <c r="G2843" s="145"/>
    </row>
    <row r="2844">
      <c r="G2844" s="145"/>
    </row>
    <row r="2845">
      <c r="G2845" s="145"/>
    </row>
    <row r="2846">
      <c r="G2846" s="145"/>
    </row>
    <row r="2847">
      <c r="G2847" s="145"/>
    </row>
    <row r="2848">
      <c r="G2848" s="145"/>
    </row>
    <row r="2849">
      <c r="G2849" s="145"/>
    </row>
    <row r="2850">
      <c r="G2850" s="145"/>
    </row>
    <row r="2851">
      <c r="G2851" s="145"/>
    </row>
    <row r="2852">
      <c r="G2852" s="145"/>
    </row>
    <row r="2853">
      <c r="G2853" s="145"/>
    </row>
    <row r="2854">
      <c r="G2854" s="145"/>
    </row>
    <row r="2855">
      <c r="G2855" s="145"/>
    </row>
    <row r="2856">
      <c r="G2856" s="145"/>
    </row>
    <row r="2857">
      <c r="G2857" s="145"/>
    </row>
    <row r="2858">
      <c r="G2858" s="145"/>
    </row>
    <row r="2859">
      <c r="G2859" s="145"/>
    </row>
    <row r="2860">
      <c r="G2860" s="145"/>
    </row>
    <row r="2861">
      <c r="G2861" s="145"/>
    </row>
    <row r="2862">
      <c r="G2862" s="145"/>
    </row>
    <row r="2863">
      <c r="G2863" s="145"/>
    </row>
    <row r="2864">
      <c r="G2864" s="145"/>
    </row>
    <row r="2865">
      <c r="G2865" s="145"/>
    </row>
    <row r="2866">
      <c r="G2866" s="145"/>
    </row>
    <row r="2867">
      <c r="G2867" s="145"/>
    </row>
    <row r="2868">
      <c r="G2868" s="145"/>
    </row>
    <row r="2869">
      <c r="G2869" s="145"/>
    </row>
    <row r="2870">
      <c r="G2870" s="145"/>
    </row>
    <row r="2871">
      <c r="G2871" s="145"/>
    </row>
    <row r="2872">
      <c r="G2872" s="145"/>
    </row>
    <row r="2873">
      <c r="G2873" s="145"/>
    </row>
    <row r="2874">
      <c r="G2874" s="145"/>
    </row>
    <row r="2875">
      <c r="G2875" s="145"/>
    </row>
    <row r="2876">
      <c r="G2876" s="145"/>
    </row>
    <row r="2877">
      <c r="G2877" s="145"/>
    </row>
    <row r="2878">
      <c r="G2878" s="145"/>
    </row>
    <row r="2879">
      <c r="G2879" s="145"/>
    </row>
    <row r="2880">
      <c r="G2880" s="145"/>
    </row>
    <row r="2881">
      <c r="G2881" s="145"/>
    </row>
    <row r="2882">
      <c r="G2882" s="145"/>
    </row>
    <row r="2883">
      <c r="G2883" s="145"/>
    </row>
    <row r="2884">
      <c r="G2884" s="145"/>
    </row>
    <row r="2885">
      <c r="G2885" s="145"/>
    </row>
    <row r="2886">
      <c r="G2886" s="145"/>
    </row>
    <row r="2887">
      <c r="G2887" s="145"/>
    </row>
    <row r="2888">
      <c r="G2888" s="145"/>
    </row>
    <row r="2889">
      <c r="G2889" s="145"/>
    </row>
    <row r="2890">
      <c r="G2890" s="145"/>
    </row>
    <row r="2891">
      <c r="G2891" s="145"/>
    </row>
    <row r="2892">
      <c r="G2892" s="145"/>
    </row>
    <row r="2893">
      <c r="G2893" s="145"/>
    </row>
    <row r="2894">
      <c r="G2894" s="145"/>
    </row>
    <row r="2895">
      <c r="G2895" s="145"/>
    </row>
    <row r="2896">
      <c r="G2896" s="145"/>
    </row>
    <row r="2897">
      <c r="G2897" s="145"/>
    </row>
    <row r="2898">
      <c r="G2898" s="145"/>
    </row>
    <row r="2899">
      <c r="G2899" s="145"/>
    </row>
    <row r="2900">
      <c r="G2900" s="145"/>
    </row>
    <row r="2901">
      <c r="G2901" s="145"/>
    </row>
    <row r="2902">
      <c r="G2902" s="145"/>
    </row>
    <row r="2903">
      <c r="G2903" s="145"/>
    </row>
    <row r="2904">
      <c r="G2904" s="145"/>
    </row>
    <row r="2905">
      <c r="G2905" s="145"/>
    </row>
    <row r="2906">
      <c r="G2906" s="145"/>
    </row>
    <row r="2907">
      <c r="G2907" s="145"/>
    </row>
    <row r="2908">
      <c r="G2908" s="145"/>
    </row>
    <row r="2909">
      <c r="G2909" s="145"/>
    </row>
    <row r="2910">
      <c r="G2910" s="145"/>
    </row>
    <row r="2911">
      <c r="G2911" s="145"/>
    </row>
    <row r="2912">
      <c r="G2912" s="145"/>
    </row>
    <row r="2913">
      <c r="G2913" s="145"/>
    </row>
    <row r="2914">
      <c r="G2914" s="145"/>
    </row>
    <row r="2915">
      <c r="G2915" s="145"/>
    </row>
    <row r="2916">
      <c r="G2916" s="145"/>
    </row>
    <row r="2917">
      <c r="G2917" s="145"/>
    </row>
    <row r="2918">
      <c r="G2918" s="145"/>
    </row>
    <row r="2919">
      <c r="G2919" s="145"/>
    </row>
    <row r="2920">
      <c r="G2920" s="145"/>
    </row>
    <row r="2921">
      <c r="G2921" s="145"/>
    </row>
    <row r="2922">
      <c r="G2922" s="145"/>
    </row>
    <row r="2923">
      <c r="G2923" s="145"/>
    </row>
    <row r="2924">
      <c r="G2924" s="145"/>
    </row>
    <row r="2925">
      <c r="G2925" s="145"/>
    </row>
    <row r="2926">
      <c r="G2926" s="145"/>
    </row>
    <row r="2927">
      <c r="G2927" s="145"/>
    </row>
    <row r="2928">
      <c r="G2928" s="145"/>
    </row>
    <row r="2929">
      <c r="G2929" s="145"/>
    </row>
    <row r="2930">
      <c r="G2930" s="145"/>
    </row>
    <row r="2931">
      <c r="G2931" s="145"/>
    </row>
    <row r="2932">
      <c r="G2932" s="145"/>
    </row>
    <row r="2933">
      <c r="G2933" s="145"/>
    </row>
    <row r="2934">
      <c r="G2934" s="145"/>
    </row>
    <row r="2935">
      <c r="G2935" s="145"/>
    </row>
    <row r="2936">
      <c r="G2936" s="145"/>
    </row>
    <row r="2937">
      <c r="G2937" s="145"/>
    </row>
    <row r="2938">
      <c r="G2938" s="145"/>
    </row>
    <row r="2939">
      <c r="G2939" s="145"/>
    </row>
    <row r="2940">
      <c r="G2940" s="145"/>
    </row>
    <row r="2941">
      <c r="G2941" s="145"/>
    </row>
    <row r="2942">
      <c r="G2942" s="145"/>
    </row>
    <row r="2943">
      <c r="G2943" s="145"/>
    </row>
    <row r="2944">
      <c r="G2944" s="145"/>
    </row>
    <row r="2945">
      <c r="G2945" s="145"/>
    </row>
    <row r="2946">
      <c r="G2946" s="145"/>
    </row>
    <row r="2947">
      <c r="G2947" s="145"/>
    </row>
    <row r="2948">
      <c r="G2948" s="145"/>
    </row>
    <row r="2949">
      <c r="G2949" s="145"/>
    </row>
    <row r="2950">
      <c r="G2950" s="145"/>
    </row>
    <row r="2951">
      <c r="G2951" s="145"/>
    </row>
    <row r="2952">
      <c r="G2952" s="145"/>
    </row>
    <row r="2953">
      <c r="G2953" s="145"/>
    </row>
    <row r="2954">
      <c r="G2954" s="145"/>
    </row>
    <row r="2955">
      <c r="G2955" s="145"/>
    </row>
    <row r="2956">
      <c r="G2956" s="145"/>
    </row>
    <row r="2957">
      <c r="G2957" s="145"/>
    </row>
    <row r="2958">
      <c r="G2958" s="145"/>
    </row>
    <row r="2959">
      <c r="G2959" s="145"/>
    </row>
    <row r="2960">
      <c r="G2960" s="145"/>
    </row>
    <row r="2961">
      <c r="G2961" s="145"/>
    </row>
    <row r="2962">
      <c r="G2962" s="145"/>
    </row>
    <row r="2963">
      <c r="G2963" s="145"/>
    </row>
    <row r="2964">
      <c r="G2964" s="145"/>
    </row>
    <row r="2965">
      <c r="G2965" s="145"/>
    </row>
    <row r="2966">
      <c r="G2966" s="145"/>
    </row>
    <row r="2967">
      <c r="G2967" s="145"/>
    </row>
    <row r="2968">
      <c r="G2968" s="145"/>
    </row>
    <row r="2969">
      <c r="G2969" s="145"/>
    </row>
    <row r="2970">
      <c r="G2970" s="145"/>
    </row>
    <row r="2971">
      <c r="G2971" s="145"/>
    </row>
    <row r="2972">
      <c r="G2972" s="145"/>
    </row>
    <row r="2973">
      <c r="G2973" s="145"/>
    </row>
    <row r="2974">
      <c r="G2974" s="145"/>
    </row>
    <row r="2975">
      <c r="G2975" s="145"/>
    </row>
    <row r="2976">
      <c r="G2976" s="145"/>
    </row>
    <row r="2977">
      <c r="G2977" s="145"/>
    </row>
    <row r="2978">
      <c r="G2978" s="145"/>
    </row>
    <row r="2979">
      <c r="G2979" s="145"/>
    </row>
    <row r="2980">
      <c r="G2980" s="145"/>
    </row>
    <row r="2981">
      <c r="G2981" s="145"/>
    </row>
    <row r="2982">
      <c r="G2982" s="145"/>
    </row>
    <row r="2983">
      <c r="G2983" s="145"/>
    </row>
    <row r="2984">
      <c r="G2984" s="145"/>
    </row>
    <row r="2985">
      <c r="G2985" s="145"/>
    </row>
    <row r="2986">
      <c r="G2986" s="145"/>
    </row>
    <row r="2987">
      <c r="G2987" s="145"/>
    </row>
    <row r="2988">
      <c r="G2988" s="145"/>
    </row>
    <row r="2989">
      <c r="G2989" s="145"/>
    </row>
    <row r="2990">
      <c r="G2990" s="145"/>
    </row>
    <row r="2991">
      <c r="G2991" s="145"/>
    </row>
    <row r="2992">
      <c r="G2992" s="145"/>
    </row>
    <row r="2993">
      <c r="G2993" s="145"/>
    </row>
    <row r="2994">
      <c r="G2994" s="145"/>
    </row>
    <row r="2995">
      <c r="G2995" s="145"/>
    </row>
    <row r="2996">
      <c r="G2996" s="145"/>
    </row>
    <row r="2997">
      <c r="G2997" s="145"/>
    </row>
    <row r="2998">
      <c r="G2998" s="145"/>
    </row>
    <row r="2999">
      <c r="G2999" s="145"/>
    </row>
    <row r="3000">
      <c r="G3000" s="145"/>
    </row>
    <row r="3001">
      <c r="G3001" s="145"/>
    </row>
    <row r="3002">
      <c r="G3002" s="145"/>
    </row>
    <row r="3003">
      <c r="G3003" s="145"/>
    </row>
    <row r="3004">
      <c r="G3004" s="145"/>
    </row>
    <row r="3005">
      <c r="G3005" s="145"/>
    </row>
    <row r="3006">
      <c r="G3006" s="145"/>
    </row>
    <row r="3007">
      <c r="G3007" s="145"/>
    </row>
    <row r="3008">
      <c r="G3008" s="145"/>
    </row>
    <row r="3009">
      <c r="G3009" s="145"/>
    </row>
    <row r="3010">
      <c r="G3010" s="145"/>
    </row>
    <row r="3011">
      <c r="G3011" s="145"/>
    </row>
    <row r="3012">
      <c r="G3012" s="145"/>
    </row>
    <row r="3013">
      <c r="G3013" s="145"/>
    </row>
    <row r="3014">
      <c r="G3014" s="145"/>
    </row>
    <row r="3015">
      <c r="G3015" s="145"/>
    </row>
    <row r="3016">
      <c r="G3016" s="145"/>
    </row>
    <row r="3017">
      <c r="G3017" s="145"/>
    </row>
    <row r="3018">
      <c r="G3018" s="145"/>
    </row>
    <row r="3019">
      <c r="G3019" s="145"/>
    </row>
    <row r="3020">
      <c r="G3020" s="145"/>
    </row>
    <row r="3021">
      <c r="G3021" s="145"/>
    </row>
    <row r="3022">
      <c r="G3022" s="145"/>
    </row>
    <row r="3023">
      <c r="G3023" s="145"/>
    </row>
    <row r="3024">
      <c r="G3024" s="145"/>
    </row>
    <row r="3025">
      <c r="G3025" s="145"/>
    </row>
    <row r="3026">
      <c r="G3026" s="145"/>
    </row>
    <row r="3027">
      <c r="G3027" s="145"/>
    </row>
    <row r="3028">
      <c r="G3028" s="145"/>
    </row>
    <row r="3029">
      <c r="G3029" s="145"/>
    </row>
    <row r="3030">
      <c r="G3030" s="145"/>
    </row>
    <row r="3031">
      <c r="G3031" s="145"/>
    </row>
    <row r="3032">
      <c r="G3032" s="145"/>
    </row>
    <row r="3033">
      <c r="G3033" s="145"/>
    </row>
    <row r="3034">
      <c r="G3034" s="145"/>
    </row>
    <row r="3035">
      <c r="G3035" s="145"/>
    </row>
    <row r="3036">
      <c r="G3036" s="145"/>
    </row>
    <row r="3037">
      <c r="G3037" s="145"/>
    </row>
    <row r="3038">
      <c r="G3038" s="145"/>
    </row>
    <row r="3039">
      <c r="G3039" s="145"/>
    </row>
    <row r="3040">
      <c r="G3040" s="145"/>
    </row>
    <row r="3041">
      <c r="G3041" s="145"/>
    </row>
    <row r="3042">
      <c r="G3042" s="145"/>
    </row>
    <row r="3043">
      <c r="G3043" s="145"/>
    </row>
    <row r="3044">
      <c r="G3044" s="145"/>
    </row>
    <row r="3045">
      <c r="G3045" s="145"/>
    </row>
    <row r="3046">
      <c r="G3046" s="145"/>
    </row>
    <row r="3047">
      <c r="G3047" s="145"/>
    </row>
    <row r="3048">
      <c r="G3048" s="145"/>
    </row>
    <row r="3049">
      <c r="G3049" s="145"/>
    </row>
    <row r="3050">
      <c r="G3050" s="145"/>
    </row>
    <row r="3051">
      <c r="G3051" s="145"/>
    </row>
    <row r="3052">
      <c r="G3052" s="145"/>
    </row>
    <row r="3053">
      <c r="G3053" s="145"/>
    </row>
    <row r="3054">
      <c r="G3054" s="145"/>
    </row>
    <row r="3055">
      <c r="G3055" s="145"/>
    </row>
    <row r="3056">
      <c r="G3056" s="145"/>
    </row>
    <row r="3057">
      <c r="G3057" s="145"/>
    </row>
    <row r="3058">
      <c r="G3058" s="145"/>
    </row>
    <row r="3059">
      <c r="G3059" s="145"/>
    </row>
    <row r="3060">
      <c r="G3060" s="145"/>
    </row>
    <row r="3061">
      <c r="G3061" s="145"/>
    </row>
    <row r="3062">
      <c r="G3062" s="145"/>
    </row>
    <row r="3063">
      <c r="G3063" s="145"/>
    </row>
    <row r="3064">
      <c r="G3064" s="145"/>
    </row>
    <row r="3065">
      <c r="G3065" s="145"/>
    </row>
    <row r="3066">
      <c r="G3066" s="145"/>
    </row>
    <row r="3067">
      <c r="G3067" s="145"/>
    </row>
    <row r="3068">
      <c r="G3068" s="145"/>
    </row>
    <row r="3069">
      <c r="G3069" s="145"/>
    </row>
    <row r="3070">
      <c r="G3070" s="145"/>
    </row>
    <row r="3071">
      <c r="G3071" s="145"/>
    </row>
    <row r="3072">
      <c r="G3072" s="145"/>
    </row>
    <row r="3073">
      <c r="G3073" s="145"/>
    </row>
    <row r="3074">
      <c r="G3074" s="145"/>
    </row>
    <row r="3075">
      <c r="G3075" s="145"/>
    </row>
    <row r="3076">
      <c r="G3076" s="145"/>
    </row>
    <row r="3077">
      <c r="G3077" s="145"/>
    </row>
    <row r="3078">
      <c r="G3078" s="145"/>
    </row>
    <row r="3079">
      <c r="G3079" s="145"/>
    </row>
    <row r="3080">
      <c r="G3080" s="145"/>
    </row>
    <row r="3081">
      <c r="G3081" s="145"/>
    </row>
    <row r="3082">
      <c r="G3082" s="145"/>
    </row>
    <row r="3083">
      <c r="G3083" s="145"/>
    </row>
    <row r="3084">
      <c r="G3084" s="145"/>
    </row>
    <row r="3085">
      <c r="G3085" s="145"/>
    </row>
    <row r="3086">
      <c r="G3086" s="145"/>
    </row>
    <row r="3087">
      <c r="G3087" s="145"/>
    </row>
    <row r="3088">
      <c r="G3088" s="145"/>
    </row>
    <row r="3089">
      <c r="G3089" s="145"/>
    </row>
    <row r="3090">
      <c r="G3090" s="145"/>
    </row>
    <row r="3091">
      <c r="G3091" s="145"/>
    </row>
    <row r="3092">
      <c r="G3092" s="145"/>
    </row>
    <row r="3093">
      <c r="G3093" s="145"/>
    </row>
    <row r="3094">
      <c r="G3094" s="145"/>
    </row>
    <row r="3095">
      <c r="G3095" s="145"/>
    </row>
    <row r="3096">
      <c r="G3096" s="145"/>
    </row>
    <row r="3097">
      <c r="G3097" s="145"/>
    </row>
    <row r="3098">
      <c r="G3098" s="145"/>
    </row>
    <row r="3099">
      <c r="G3099" s="145"/>
    </row>
    <row r="3100">
      <c r="G3100" s="145"/>
    </row>
    <row r="3101">
      <c r="G3101" s="145"/>
    </row>
    <row r="3102">
      <c r="G3102" s="145"/>
    </row>
    <row r="3103">
      <c r="G3103" s="145"/>
    </row>
    <row r="3104">
      <c r="G3104" s="145"/>
    </row>
    <row r="3105">
      <c r="G3105" s="145"/>
    </row>
    <row r="3106">
      <c r="G3106" s="145"/>
    </row>
    <row r="3107">
      <c r="G3107" s="145"/>
    </row>
    <row r="3108">
      <c r="G3108" s="145"/>
    </row>
    <row r="3109">
      <c r="G3109" s="145"/>
    </row>
    <row r="3110">
      <c r="G3110" s="145"/>
    </row>
    <row r="3111">
      <c r="G3111" s="145"/>
    </row>
    <row r="3112">
      <c r="G3112" s="145"/>
    </row>
    <row r="3113">
      <c r="G3113" s="145"/>
    </row>
    <row r="3114">
      <c r="G3114" s="145"/>
    </row>
    <row r="3115">
      <c r="G3115" s="145"/>
    </row>
    <row r="3116">
      <c r="G3116" s="145"/>
    </row>
    <row r="3117">
      <c r="G3117" s="145"/>
    </row>
    <row r="3118">
      <c r="G3118" s="145"/>
    </row>
    <row r="3119">
      <c r="G3119" s="145"/>
    </row>
    <row r="3120">
      <c r="G3120" s="145"/>
    </row>
    <row r="3121">
      <c r="G3121" s="145"/>
    </row>
    <row r="3122">
      <c r="G3122" s="145"/>
    </row>
    <row r="3123">
      <c r="G3123" s="145"/>
    </row>
    <row r="3124">
      <c r="G3124" s="145"/>
    </row>
    <row r="3125">
      <c r="G3125" s="145"/>
    </row>
    <row r="3126">
      <c r="G3126" s="145"/>
    </row>
    <row r="3127">
      <c r="G3127" s="145"/>
    </row>
    <row r="3128">
      <c r="G3128" s="145"/>
    </row>
    <row r="3129">
      <c r="G3129" s="145"/>
    </row>
    <row r="3130">
      <c r="G3130" s="145"/>
    </row>
    <row r="3131">
      <c r="G3131" s="145"/>
    </row>
    <row r="3132">
      <c r="G3132" s="145"/>
    </row>
    <row r="3133">
      <c r="G3133" s="145"/>
    </row>
    <row r="3134">
      <c r="G3134" s="145"/>
    </row>
    <row r="3135">
      <c r="G3135" s="145"/>
    </row>
    <row r="3136">
      <c r="G3136" s="145"/>
    </row>
    <row r="3137">
      <c r="G3137" s="145"/>
    </row>
    <row r="3138">
      <c r="G3138" s="145"/>
    </row>
    <row r="3139">
      <c r="G3139" s="145"/>
    </row>
    <row r="3140">
      <c r="G3140" s="145"/>
    </row>
    <row r="3141">
      <c r="G3141" s="145"/>
    </row>
    <row r="3142">
      <c r="G3142" s="145"/>
    </row>
    <row r="3143">
      <c r="G3143" s="145"/>
    </row>
    <row r="3144">
      <c r="G3144" s="145"/>
    </row>
    <row r="3145">
      <c r="G3145" s="145"/>
    </row>
    <row r="3146">
      <c r="G3146" s="145"/>
    </row>
    <row r="3147">
      <c r="G3147" s="145"/>
    </row>
    <row r="3148">
      <c r="G3148" s="145"/>
    </row>
    <row r="3149">
      <c r="G3149" s="145"/>
    </row>
    <row r="3150">
      <c r="G3150" s="145"/>
    </row>
    <row r="3151">
      <c r="G3151" s="145"/>
    </row>
    <row r="3152">
      <c r="G3152" s="145"/>
    </row>
    <row r="3153">
      <c r="G3153" s="145"/>
    </row>
    <row r="3154">
      <c r="G3154" s="145"/>
    </row>
    <row r="3155">
      <c r="G3155" s="145"/>
    </row>
    <row r="3156">
      <c r="G3156" s="145"/>
    </row>
    <row r="3157">
      <c r="G3157" s="145"/>
    </row>
    <row r="3158">
      <c r="G3158" s="145"/>
    </row>
    <row r="3159">
      <c r="G3159" s="145"/>
    </row>
    <row r="3160">
      <c r="G3160" s="145"/>
    </row>
    <row r="3161">
      <c r="G3161" s="145"/>
    </row>
    <row r="3162">
      <c r="G3162" s="145"/>
    </row>
    <row r="3163">
      <c r="G3163" s="145"/>
    </row>
    <row r="3164">
      <c r="G3164" s="145"/>
    </row>
    <row r="3165">
      <c r="G3165" s="145"/>
    </row>
    <row r="3166">
      <c r="G3166" s="145"/>
    </row>
    <row r="3167">
      <c r="G3167" s="145"/>
    </row>
    <row r="3168">
      <c r="G3168" s="145"/>
    </row>
    <row r="3169">
      <c r="G3169" s="145"/>
    </row>
    <row r="3170">
      <c r="G3170" s="145"/>
    </row>
    <row r="3171">
      <c r="G3171" s="145"/>
    </row>
    <row r="3172">
      <c r="G3172" s="145"/>
    </row>
    <row r="3173">
      <c r="G3173" s="145"/>
    </row>
    <row r="3174">
      <c r="G3174" s="145"/>
    </row>
    <row r="3175">
      <c r="G3175" s="145"/>
    </row>
    <row r="3176">
      <c r="G3176" s="145"/>
    </row>
    <row r="3177">
      <c r="G3177" s="145"/>
    </row>
    <row r="3178">
      <c r="G3178" s="145"/>
    </row>
    <row r="3179">
      <c r="G3179" s="145"/>
    </row>
    <row r="3180">
      <c r="G3180" s="145"/>
    </row>
    <row r="3181">
      <c r="G3181" s="145"/>
    </row>
    <row r="3182">
      <c r="G3182" s="145"/>
    </row>
    <row r="3183">
      <c r="G3183" s="145"/>
    </row>
    <row r="3184">
      <c r="G3184" s="145"/>
    </row>
    <row r="3185">
      <c r="G3185" s="145"/>
    </row>
    <row r="3186">
      <c r="G3186" s="145"/>
    </row>
    <row r="3187">
      <c r="G3187" s="145"/>
    </row>
    <row r="3188">
      <c r="G3188" s="145"/>
    </row>
    <row r="3189">
      <c r="G3189" s="145"/>
    </row>
    <row r="3190">
      <c r="G3190" s="145"/>
    </row>
    <row r="3191">
      <c r="G3191" s="145"/>
    </row>
    <row r="3192">
      <c r="G3192" s="145"/>
    </row>
    <row r="3193">
      <c r="G3193" s="145"/>
    </row>
    <row r="3194">
      <c r="G3194" s="145"/>
    </row>
    <row r="3195">
      <c r="G3195" s="145"/>
    </row>
    <row r="3196">
      <c r="G3196" s="145"/>
    </row>
    <row r="3197">
      <c r="G3197" s="145"/>
    </row>
    <row r="3198">
      <c r="G3198" s="145"/>
    </row>
    <row r="3199">
      <c r="G3199" s="145"/>
    </row>
    <row r="3200">
      <c r="G3200" s="145"/>
    </row>
    <row r="3201">
      <c r="G3201" s="145"/>
    </row>
    <row r="3202">
      <c r="G3202" s="145"/>
    </row>
    <row r="3203">
      <c r="G3203" s="145"/>
    </row>
    <row r="3204">
      <c r="G3204" s="145"/>
    </row>
    <row r="3205">
      <c r="G3205" s="145"/>
    </row>
    <row r="3206">
      <c r="G3206" s="145"/>
    </row>
    <row r="3207">
      <c r="G3207" s="145"/>
    </row>
    <row r="3208">
      <c r="G3208" s="145"/>
    </row>
    <row r="3209">
      <c r="G3209" s="145"/>
    </row>
    <row r="3210">
      <c r="G3210" s="145"/>
    </row>
    <row r="3211">
      <c r="G3211" s="145"/>
    </row>
    <row r="3212">
      <c r="G3212" s="145"/>
    </row>
    <row r="3213">
      <c r="G3213" s="145"/>
    </row>
    <row r="3214">
      <c r="G3214" s="145"/>
    </row>
    <row r="3215">
      <c r="G3215" s="145"/>
    </row>
    <row r="3216">
      <c r="G3216" s="145"/>
    </row>
    <row r="3217">
      <c r="G3217" s="145"/>
    </row>
    <row r="3218">
      <c r="G3218" s="145"/>
    </row>
    <row r="3219">
      <c r="G3219" s="145"/>
    </row>
    <row r="3220">
      <c r="G3220" s="145"/>
    </row>
    <row r="3221">
      <c r="G3221" s="145"/>
    </row>
    <row r="3222">
      <c r="G3222" s="145"/>
    </row>
    <row r="3223">
      <c r="G3223" s="145"/>
    </row>
    <row r="3224">
      <c r="G3224" s="145"/>
    </row>
    <row r="3225">
      <c r="G3225" s="145"/>
    </row>
    <row r="3226">
      <c r="G3226" s="145"/>
    </row>
    <row r="3227">
      <c r="G3227" s="145"/>
    </row>
    <row r="3228">
      <c r="G3228" s="145"/>
    </row>
    <row r="3229">
      <c r="G3229" s="145"/>
    </row>
    <row r="3230">
      <c r="G3230" s="145"/>
    </row>
    <row r="3231">
      <c r="G3231" s="145"/>
    </row>
    <row r="3232">
      <c r="G3232" s="145"/>
    </row>
    <row r="3233">
      <c r="G3233" s="145"/>
    </row>
    <row r="3234">
      <c r="G3234" s="145"/>
    </row>
    <row r="3235">
      <c r="G3235" s="145"/>
    </row>
    <row r="3236">
      <c r="G3236" s="145"/>
    </row>
    <row r="3237">
      <c r="G3237" s="145"/>
    </row>
    <row r="3238">
      <c r="G3238" s="145"/>
    </row>
    <row r="3239">
      <c r="G3239" s="145"/>
    </row>
    <row r="3240">
      <c r="G3240" s="145"/>
    </row>
    <row r="3241">
      <c r="G3241" s="145"/>
    </row>
    <row r="3242">
      <c r="G3242" s="145"/>
    </row>
    <row r="3243">
      <c r="G3243" s="145"/>
    </row>
    <row r="3244">
      <c r="G3244" s="145"/>
    </row>
    <row r="3245">
      <c r="G3245" s="145"/>
    </row>
    <row r="3246">
      <c r="G3246" s="145"/>
    </row>
    <row r="3247">
      <c r="G3247" s="145"/>
    </row>
    <row r="3248">
      <c r="G3248" s="145"/>
    </row>
    <row r="3249">
      <c r="G3249" s="145"/>
    </row>
    <row r="3250">
      <c r="G3250" s="145"/>
    </row>
    <row r="3251">
      <c r="G3251" s="145"/>
    </row>
    <row r="3252">
      <c r="G3252" s="145"/>
    </row>
    <row r="3253">
      <c r="G3253" s="145"/>
    </row>
    <row r="3254">
      <c r="G3254" s="145"/>
    </row>
    <row r="3255">
      <c r="G3255" s="145"/>
    </row>
    <row r="3256">
      <c r="G3256" s="145"/>
    </row>
    <row r="3257">
      <c r="G3257" s="145"/>
    </row>
    <row r="3258">
      <c r="G3258" s="145"/>
    </row>
    <row r="3259">
      <c r="G3259" s="145"/>
    </row>
    <row r="3260">
      <c r="G3260" s="145"/>
    </row>
    <row r="3261">
      <c r="G3261" s="145"/>
    </row>
    <row r="3262">
      <c r="G3262" s="145"/>
    </row>
    <row r="3263">
      <c r="G3263" s="145"/>
    </row>
    <row r="3264">
      <c r="G3264" s="145"/>
    </row>
    <row r="3265">
      <c r="G3265" s="145"/>
    </row>
    <row r="3266">
      <c r="G3266" s="145"/>
    </row>
    <row r="3267">
      <c r="G3267" s="145"/>
    </row>
    <row r="3268">
      <c r="G3268" s="145"/>
    </row>
    <row r="3269">
      <c r="G3269" s="145"/>
    </row>
    <row r="3270">
      <c r="G3270" s="145"/>
    </row>
    <row r="3271">
      <c r="G3271" s="145"/>
    </row>
    <row r="3272">
      <c r="G3272" s="145"/>
    </row>
    <row r="3273">
      <c r="G3273" s="145"/>
    </row>
    <row r="3274">
      <c r="G3274" s="145"/>
    </row>
    <row r="3275">
      <c r="G3275" s="145"/>
    </row>
    <row r="3276">
      <c r="G3276" s="145"/>
    </row>
    <row r="3277">
      <c r="G3277" s="145"/>
    </row>
    <row r="3278">
      <c r="G3278" s="145"/>
    </row>
    <row r="3279">
      <c r="G3279" s="145"/>
    </row>
    <row r="3280">
      <c r="G3280" s="145"/>
    </row>
    <row r="3281">
      <c r="G3281" s="145"/>
    </row>
    <row r="3282">
      <c r="G3282" s="145"/>
    </row>
    <row r="3283">
      <c r="G3283" s="145"/>
    </row>
    <row r="3284">
      <c r="G3284" s="145"/>
    </row>
    <row r="3285">
      <c r="G3285" s="145"/>
    </row>
    <row r="3286">
      <c r="G3286" s="145"/>
    </row>
    <row r="3287">
      <c r="G3287" s="145"/>
    </row>
    <row r="3288">
      <c r="G3288" s="145"/>
    </row>
    <row r="3289">
      <c r="G3289" s="145"/>
    </row>
    <row r="3290">
      <c r="G3290" s="145"/>
    </row>
    <row r="3291">
      <c r="G3291" s="145"/>
    </row>
    <row r="3292">
      <c r="G3292" s="145"/>
    </row>
    <row r="3293">
      <c r="G3293" s="145"/>
    </row>
    <row r="3294">
      <c r="G3294" s="145"/>
    </row>
    <row r="3295">
      <c r="G3295" s="145"/>
    </row>
    <row r="3296">
      <c r="G3296" s="145"/>
    </row>
    <row r="3297">
      <c r="G3297" s="145"/>
    </row>
    <row r="3298">
      <c r="G3298" s="145"/>
    </row>
    <row r="3299">
      <c r="G3299" s="145"/>
    </row>
    <row r="3300">
      <c r="G3300" s="145"/>
    </row>
    <row r="3301">
      <c r="G3301" s="145"/>
    </row>
    <row r="3302">
      <c r="G3302" s="145"/>
    </row>
    <row r="3303">
      <c r="G3303" s="145"/>
    </row>
    <row r="3304">
      <c r="G3304" s="145"/>
    </row>
    <row r="3305">
      <c r="G3305" s="145"/>
    </row>
    <row r="3306">
      <c r="G3306" s="145"/>
    </row>
    <row r="3307">
      <c r="G3307" s="145"/>
    </row>
    <row r="3308">
      <c r="G3308" s="145"/>
    </row>
    <row r="3309">
      <c r="G3309" s="145"/>
    </row>
    <row r="3310">
      <c r="G3310" s="145"/>
    </row>
    <row r="3311">
      <c r="G3311" s="145"/>
    </row>
    <row r="3312">
      <c r="G3312" s="145"/>
    </row>
    <row r="3313">
      <c r="G3313" s="145"/>
    </row>
    <row r="3314">
      <c r="G3314" s="145"/>
    </row>
    <row r="3315">
      <c r="G3315" s="145"/>
    </row>
    <row r="3316">
      <c r="G3316" s="145"/>
    </row>
    <row r="3317">
      <c r="G3317" s="145"/>
    </row>
    <row r="3318">
      <c r="G3318" s="145"/>
    </row>
    <row r="3319">
      <c r="G3319" s="145"/>
    </row>
    <row r="3320">
      <c r="G3320" s="145"/>
    </row>
    <row r="3321">
      <c r="G3321" s="145"/>
    </row>
    <row r="3322">
      <c r="G3322" s="145"/>
    </row>
    <row r="3323">
      <c r="G3323" s="145"/>
    </row>
    <row r="3324">
      <c r="G3324" s="145"/>
    </row>
    <row r="3325">
      <c r="G3325" s="145"/>
    </row>
    <row r="3326">
      <c r="G3326" s="145"/>
    </row>
    <row r="3327">
      <c r="G3327" s="145"/>
    </row>
    <row r="3328">
      <c r="G3328" s="145"/>
    </row>
    <row r="3329">
      <c r="G3329" s="145"/>
    </row>
    <row r="3330">
      <c r="G3330" s="145"/>
    </row>
    <row r="3331">
      <c r="G3331" s="145"/>
    </row>
    <row r="3332">
      <c r="G3332" s="145"/>
    </row>
    <row r="3333">
      <c r="G3333" s="145"/>
    </row>
    <row r="3334">
      <c r="G3334" s="145"/>
    </row>
    <row r="3335">
      <c r="G3335" s="145"/>
    </row>
    <row r="3336">
      <c r="G3336" s="145"/>
    </row>
    <row r="3337">
      <c r="G3337" s="145"/>
    </row>
    <row r="3338">
      <c r="G3338" s="145"/>
    </row>
    <row r="3339">
      <c r="G3339" s="145"/>
    </row>
    <row r="3340">
      <c r="G3340" s="145"/>
    </row>
    <row r="3341">
      <c r="G3341" s="145"/>
    </row>
    <row r="3342">
      <c r="G3342" s="145"/>
    </row>
    <row r="3343">
      <c r="G3343" s="145"/>
    </row>
    <row r="3344">
      <c r="G3344" s="145"/>
    </row>
    <row r="3345">
      <c r="G3345" s="145"/>
    </row>
    <row r="3346">
      <c r="G3346" s="145"/>
    </row>
    <row r="3347">
      <c r="G3347" s="145"/>
    </row>
    <row r="3348">
      <c r="G3348" s="145"/>
    </row>
    <row r="3349">
      <c r="G3349" s="145"/>
    </row>
    <row r="3350">
      <c r="G3350" s="145"/>
    </row>
    <row r="3351">
      <c r="G3351" s="145"/>
    </row>
    <row r="3352">
      <c r="G3352" s="145"/>
    </row>
    <row r="3353">
      <c r="G3353" s="145"/>
    </row>
    <row r="3354">
      <c r="G3354" s="145"/>
    </row>
    <row r="3355">
      <c r="G3355" s="145"/>
    </row>
    <row r="3356">
      <c r="G3356" s="145"/>
    </row>
    <row r="3357">
      <c r="G3357" s="145"/>
    </row>
    <row r="3358">
      <c r="G3358" s="145"/>
    </row>
    <row r="3359">
      <c r="G3359" s="145"/>
    </row>
    <row r="3360">
      <c r="G3360" s="145"/>
    </row>
    <row r="3361">
      <c r="G3361" s="145"/>
    </row>
    <row r="3362">
      <c r="G3362" s="145"/>
    </row>
    <row r="3363">
      <c r="G3363" s="145"/>
    </row>
    <row r="3364">
      <c r="G3364" s="145"/>
    </row>
    <row r="3365">
      <c r="G3365" s="145"/>
    </row>
    <row r="3366">
      <c r="G3366" s="145"/>
    </row>
    <row r="3367">
      <c r="G3367" s="145"/>
    </row>
    <row r="3368">
      <c r="G3368" s="145"/>
    </row>
    <row r="3369">
      <c r="G3369" s="145"/>
    </row>
    <row r="3370">
      <c r="G3370" s="145"/>
    </row>
    <row r="3371">
      <c r="G3371" s="145"/>
    </row>
    <row r="3372">
      <c r="G3372" s="145"/>
    </row>
    <row r="3373">
      <c r="G3373" s="145"/>
    </row>
    <row r="3374">
      <c r="G3374" s="145"/>
    </row>
    <row r="3375">
      <c r="G3375" s="145"/>
    </row>
    <row r="3376">
      <c r="G3376" s="145"/>
    </row>
    <row r="3377">
      <c r="G3377" s="145"/>
    </row>
    <row r="3378">
      <c r="G3378" s="145"/>
    </row>
    <row r="3379">
      <c r="G3379" s="145"/>
    </row>
    <row r="3380">
      <c r="G3380" s="145"/>
    </row>
    <row r="3381">
      <c r="G3381" s="145"/>
    </row>
    <row r="3382">
      <c r="G3382" s="145"/>
    </row>
    <row r="3383">
      <c r="G3383" s="145"/>
    </row>
    <row r="3384">
      <c r="G3384" s="145"/>
    </row>
    <row r="3385">
      <c r="G3385" s="145"/>
    </row>
    <row r="3386">
      <c r="G3386" s="145"/>
    </row>
    <row r="3387">
      <c r="G3387" s="145"/>
    </row>
    <row r="3388">
      <c r="G3388" s="145"/>
    </row>
    <row r="3389">
      <c r="G3389" s="145"/>
    </row>
    <row r="3390">
      <c r="G3390" s="145"/>
    </row>
    <row r="3391">
      <c r="G3391" s="145"/>
    </row>
    <row r="3392">
      <c r="G3392" s="145"/>
    </row>
    <row r="3393">
      <c r="G3393" s="145"/>
    </row>
    <row r="3394">
      <c r="G3394" s="145"/>
    </row>
    <row r="3395">
      <c r="G3395" s="145"/>
    </row>
    <row r="3396">
      <c r="G3396" s="145"/>
    </row>
    <row r="3397">
      <c r="G3397" s="145"/>
    </row>
    <row r="3398">
      <c r="G3398" s="145"/>
    </row>
    <row r="3399">
      <c r="G3399" s="145"/>
    </row>
    <row r="3400">
      <c r="G3400" s="145"/>
    </row>
    <row r="3401">
      <c r="G3401" s="145"/>
    </row>
    <row r="3402">
      <c r="G3402" s="145"/>
    </row>
    <row r="3403">
      <c r="G3403" s="145"/>
    </row>
    <row r="3404">
      <c r="G3404" s="145"/>
    </row>
    <row r="3405">
      <c r="G3405" s="145"/>
    </row>
    <row r="3406">
      <c r="G3406" s="145"/>
    </row>
    <row r="3407">
      <c r="G3407" s="145"/>
    </row>
    <row r="3408">
      <c r="G3408" s="145"/>
    </row>
    <row r="3409">
      <c r="G3409" s="145"/>
    </row>
    <row r="3410">
      <c r="G3410" s="145"/>
    </row>
    <row r="3411">
      <c r="G3411" s="145"/>
    </row>
    <row r="3412">
      <c r="G3412" s="145"/>
    </row>
    <row r="3413">
      <c r="G3413" s="145"/>
    </row>
    <row r="3414">
      <c r="G3414" s="145"/>
    </row>
    <row r="3415">
      <c r="G3415" s="145"/>
    </row>
    <row r="3416">
      <c r="G3416" s="145"/>
    </row>
    <row r="3417">
      <c r="G3417" s="145"/>
    </row>
    <row r="3418">
      <c r="G3418" s="145"/>
    </row>
    <row r="3419">
      <c r="G3419" s="145"/>
    </row>
    <row r="3420">
      <c r="G3420" s="145"/>
    </row>
    <row r="3421">
      <c r="G3421" s="145"/>
    </row>
    <row r="3422">
      <c r="G3422" s="145"/>
    </row>
    <row r="3423">
      <c r="G3423" s="145"/>
    </row>
    <row r="3424">
      <c r="G3424" s="145"/>
    </row>
    <row r="3425">
      <c r="G3425" s="145"/>
    </row>
    <row r="3426">
      <c r="G3426" s="145"/>
    </row>
    <row r="3427">
      <c r="G3427" s="145"/>
    </row>
    <row r="3428">
      <c r="G3428" s="145"/>
    </row>
    <row r="3429">
      <c r="G3429" s="145"/>
    </row>
    <row r="3430">
      <c r="G3430" s="145"/>
    </row>
    <row r="3431">
      <c r="G3431" s="145"/>
    </row>
    <row r="3432">
      <c r="G3432" s="145"/>
    </row>
    <row r="3433">
      <c r="G3433" s="145"/>
    </row>
    <row r="3434">
      <c r="G3434" s="145"/>
    </row>
    <row r="3435">
      <c r="G3435" s="145"/>
    </row>
    <row r="3436">
      <c r="G3436" s="145"/>
    </row>
    <row r="3437">
      <c r="G3437" s="145"/>
    </row>
    <row r="3438">
      <c r="G3438" s="145"/>
    </row>
    <row r="3439">
      <c r="G3439" s="145"/>
    </row>
    <row r="3440">
      <c r="G3440" s="145"/>
    </row>
    <row r="3441">
      <c r="G3441" s="145"/>
    </row>
    <row r="3442">
      <c r="G3442" s="145"/>
    </row>
    <row r="3443">
      <c r="G3443" s="145"/>
    </row>
    <row r="3444">
      <c r="G3444" s="145"/>
    </row>
    <row r="3445">
      <c r="G3445" s="145"/>
    </row>
    <row r="3446">
      <c r="G3446" s="145"/>
    </row>
    <row r="3447">
      <c r="G3447" s="145"/>
    </row>
    <row r="3448">
      <c r="G3448" s="145"/>
    </row>
    <row r="3449">
      <c r="G3449" s="145"/>
    </row>
    <row r="3450">
      <c r="G3450" s="145"/>
    </row>
    <row r="3451">
      <c r="G3451" s="145"/>
    </row>
    <row r="3452">
      <c r="G3452" s="145"/>
    </row>
    <row r="3453">
      <c r="G3453" s="145"/>
    </row>
    <row r="3454">
      <c r="G3454" s="145"/>
    </row>
    <row r="3455">
      <c r="G3455" s="145"/>
    </row>
    <row r="3456">
      <c r="G3456" s="145"/>
    </row>
    <row r="3457">
      <c r="G3457" s="145"/>
    </row>
    <row r="3458">
      <c r="G3458" s="145"/>
    </row>
    <row r="3459">
      <c r="G3459" s="145"/>
    </row>
    <row r="3460">
      <c r="G3460" s="145"/>
    </row>
    <row r="3461">
      <c r="G3461" s="145"/>
    </row>
    <row r="3462">
      <c r="G3462" s="145"/>
    </row>
    <row r="3463">
      <c r="G3463" s="145"/>
    </row>
    <row r="3464">
      <c r="G3464" s="145"/>
    </row>
    <row r="3465">
      <c r="G3465" s="145"/>
    </row>
    <row r="3466">
      <c r="G3466" s="145"/>
    </row>
    <row r="3467">
      <c r="G3467" s="145"/>
    </row>
    <row r="3468">
      <c r="G3468" s="145"/>
    </row>
    <row r="3469">
      <c r="G3469" s="145"/>
    </row>
    <row r="3470">
      <c r="G3470" s="145"/>
    </row>
    <row r="3471">
      <c r="G3471" s="145"/>
    </row>
    <row r="3472">
      <c r="G3472" s="145"/>
    </row>
    <row r="3473">
      <c r="G3473" s="145"/>
    </row>
    <row r="3474">
      <c r="G3474" s="145"/>
    </row>
    <row r="3475">
      <c r="G3475" s="145"/>
    </row>
    <row r="3476">
      <c r="G3476" s="145"/>
    </row>
    <row r="3477">
      <c r="G3477" s="145"/>
    </row>
    <row r="3478">
      <c r="G3478" s="145"/>
    </row>
    <row r="3479">
      <c r="G3479" s="145"/>
    </row>
    <row r="3480">
      <c r="G3480" s="145"/>
    </row>
    <row r="3481">
      <c r="G3481" s="145"/>
    </row>
    <row r="3482">
      <c r="G3482" s="145"/>
    </row>
    <row r="3483">
      <c r="G3483" s="145"/>
    </row>
    <row r="3484">
      <c r="G3484" s="145"/>
    </row>
    <row r="3485">
      <c r="G3485" s="145"/>
    </row>
    <row r="3486">
      <c r="G3486" s="145"/>
    </row>
    <row r="3487">
      <c r="G3487" s="145"/>
    </row>
    <row r="3488">
      <c r="G3488" s="145"/>
    </row>
    <row r="3489">
      <c r="G3489" s="145"/>
    </row>
    <row r="3490">
      <c r="G3490" s="145"/>
    </row>
    <row r="3491">
      <c r="G3491" s="145"/>
    </row>
    <row r="3492">
      <c r="G3492" s="145"/>
    </row>
    <row r="3493">
      <c r="G3493" s="145"/>
    </row>
    <row r="3494">
      <c r="G3494" s="145"/>
    </row>
    <row r="3495">
      <c r="G3495" s="145"/>
    </row>
    <row r="3496">
      <c r="G3496" s="145"/>
    </row>
    <row r="3497">
      <c r="G3497" s="145"/>
    </row>
    <row r="3498">
      <c r="G3498" s="145"/>
    </row>
    <row r="3499">
      <c r="G3499" s="145"/>
    </row>
    <row r="3500">
      <c r="G3500" s="145"/>
    </row>
    <row r="3501">
      <c r="G3501" s="145"/>
    </row>
    <row r="3502">
      <c r="G3502" s="145"/>
    </row>
    <row r="3503">
      <c r="G3503" s="145"/>
    </row>
    <row r="3504">
      <c r="G3504" s="145"/>
    </row>
    <row r="3505">
      <c r="G3505" s="145"/>
    </row>
    <row r="3506">
      <c r="G3506" s="145"/>
    </row>
    <row r="3507">
      <c r="G3507" s="145"/>
    </row>
    <row r="3508">
      <c r="G3508" s="145"/>
    </row>
    <row r="3509">
      <c r="G3509" s="145"/>
    </row>
    <row r="3510">
      <c r="G3510" s="145"/>
    </row>
    <row r="3511">
      <c r="G3511" s="145"/>
    </row>
    <row r="3512">
      <c r="G3512" s="145"/>
    </row>
    <row r="3513">
      <c r="G3513" s="145"/>
    </row>
    <row r="3514">
      <c r="G3514" s="145"/>
    </row>
    <row r="3515">
      <c r="G3515" s="145"/>
    </row>
    <row r="3516">
      <c r="G3516" s="145"/>
    </row>
    <row r="3517">
      <c r="G3517" s="145"/>
    </row>
    <row r="3518">
      <c r="G3518" s="145"/>
    </row>
    <row r="3519">
      <c r="G3519" s="145"/>
    </row>
    <row r="3520">
      <c r="G3520" s="145"/>
    </row>
    <row r="3521">
      <c r="G3521" s="145"/>
    </row>
    <row r="3522">
      <c r="G3522" s="145"/>
    </row>
    <row r="3523">
      <c r="G3523" s="145"/>
    </row>
    <row r="3524">
      <c r="G3524" s="145"/>
    </row>
    <row r="3525">
      <c r="G3525" s="145"/>
    </row>
    <row r="3526">
      <c r="G3526" s="145"/>
    </row>
    <row r="3527">
      <c r="G3527" s="145"/>
    </row>
    <row r="3528">
      <c r="G3528" s="145"/>
    </row>
    <row r="3529">
      <c r="G3529" s="145"/>
    </row>
    <row r="3530">
      <c r="G3530" s="145"/>
    </row>
    <row r="3531">
      <c r="G3531" s="145"/>
    </row>
    <row r="3532">
      <c r="G3532" s="145"/>
    </row>
    <row r="3533">
      <c r="G3533" s="145"/>
    </row>
    <row r="3534">
      <c r="G3534" s="145"/>
    </row>
    <row r="3535">
      <c r="G3535" s="145"/>
    </row>
    <row r="3536">
      <c r="G3536" s="145"/>
    </row>
    <row r="3537">
      <c r="G3537" s="145"/>
    </row>
    <row r="3538">
      <c r="G3538" s="145"/>
    </row>
    <row r="3539">
      <c r="G3539" s="145"/>
    </row>
    <row r="3540">
      <c r="G3540" s="145"/>
    </row>
    <row r="3541">
      <c r="G3541" s="145"/>
    </row>
    <row r="3542">
      <c r="G3542" s="145"/>
    </row>
    <row r="3543">
      <c r="G3543" s="145"/>
    </row>
    <row r="3544">
      <c r="G3544" s="145"/>
    </row>
    <row r="3545">
      <c r="G3545" s="145"/>
    </row>
    <row r="3546">
      <c r="G3546" s="145"/>
    </row>
    <row r="3547">
      <c r="G3547" s="145"/>
    </row>
    <row r="3548">
      <c r="G3548" s="145"/>
    </row>
    <row r="3549">
      <c r="G3549" s="145"/>
    </row>
    <row r="3550">
      <c r="G3550" s="145"/>
    </row>
    <row r="3551">
      <c r="G3551" s="145"/>
    </row>
    <row r="3552">
      <c r="G3552" s="145"/>
    </row>
    <row r="3553">
      <c r="G3553" s="145"/>
    </row>
    <row r="3554">
      <c r="G3554" s="145"/>
    </row>
    <row r="3555">
      <c r="G3555" s="145"/>
    </row>
    <row r="3556">
      <c r="G3556" s="145"/>
    </row>
    <row r="3557">
      <c r="G3557" s="145"/>
    </row>
    <row r="3558">
      <c r="G3558" s="145"/>
    </row>
    <row r="3559">
      <c r="G3559" s="145"/>
    </row>
    <row r="3560">
      <c r="G3560" s="145"/>
    </row>
    <row r="3561">
      <c r="G3561" s="145"/>
    </row>
    <row r="3562">
      <c r="G3562" s="145"/>
    </row>
    <row r="3563">
      <c r="G3563" s="145"/>
    </row>
    <row r="3564">
      <c r="G3564" s="145"/>
    </row>
    <row r="3565">
      <c r="G3565" s="145"/>
    </row>
    <row r="3566">
      <c r="G3566" s="145"/>
    </row>
    <row r="3567">
      <c r="G3567" s="145"/>
    </row>
    <row r="3568">
      <c r="G3568" s="145"/>
    </row>
    <row r="3569">
      <c r="G3569" s="145"/>
    </row>
    <row r="3570">
      <c r="G3570" s="145"/>
    </row>
    <row r="3571">
      <c r="G3571" s="145"/>
    </row>
    <row r="3572">
      <c r="G3572" s="145"/>
    </row>
    <row r="3573">
      <c r="G3573" s="145"/>
    </row>
    <row r="3574">
      <c r="G3574" s="145"/>
    </row>
    <row r="3575">
      <c r="G3575" s="145"/>
    </row>
    <row r="3576">
      <c r="G3576" s="145"/>
    </row>
    <row r="3577">
      <c r="G3577" s="145"/>
    </row>
    <row r="3578">
      <c r="G3578" s="145"/>
    </row>
    <row r="3579">
      <c r="G3579" s="145"/>
    </row>
    <row r="3580">
      <c r="G3580" s="145"/>
    </row>
    <row r="3581">
      <c r="G3581" s="145"/>
    </row>
    <row r="3582">
      <c r="G3582" s="145"/>
    </row>
    <row r="3583">
      <c r="G3583" s="145"/>
    </row>
    <row r="3584">
      <c r="G3584" s="145"/>
    </row>
    <row r="3585">
      <c r="G3585" s="145"/>
    </row>
    <row r="3586">
      <c r="G3586" s="145"/>
    </row>
    <row r="3587">
      <c r="G3587" s="145"/>
    </row>
    <row r="3588">
      <c r="G3588" s="145"/>
    </row>
    <row r="3589">
      <c r="G3589" s="145"/>
    </row>
    <row r="3590">
      <c r="G3590" s="145"/>
    </row>
    <row r="3591">
      <c r="G3591" s="145"/>
    </row>
    <row r="3592">
      <c r="G3592" s="145"/>
    </row>
    <row r="3593">
      <c r="G3593" s="145"/>
    </row>
    <row r="3594">
      <c r="G3594" s="145"/>
    </row>
    <row r="3595">
      <c r="G3595" s="145"/>
    </row>
    <row r="3596">
      <c r="G3596" s="145"/>
    </row>
    <row r="3597">
      <c r="G3597" s="145"/>
    </row>
    <row r="3598">
      <c r="G3598" s="145"/>
    </row>
    <row r="3599">
      <c r="G3599" s="145"/>
    </row>
    <row r="3600">
      <c r="G3600" s="145"/>
    </row>
    <row r="3601">
      <c r="G3601" s="145"/>
    </row>
    <row r="3602">
      <c r="G3602" s="145"/>
    </row>
    <row r="3603">
      <c r="G3603" s="145"/>
    </row>
    <row r="3604">
      <c r="G3604" s="145"/>
    </row>
    <row r="3605">
      <c r="G3605" s="145"/>
    </row>
    <row r="3606">
      <c r="G3606" s="145"/>
    </row>
    <row r="3607">
      <c r="G3607" s="145"/>
    </row>
    <row r="3608">
      <c r="G3608" s="145"/>
    </row>
    <row r="3609">
      <c r="G3609" s="145"/>
    </row>
    <row r="3610">
      <c r="G3610" s="145"/>
    </row>
    <row r="3611">
      <c r="G3611" s="145"/>
    </row>
    <row r="3612">
      <c r="G3612" s="145"/>
    </row>
    <row r="3613">
      <c r="G3613" s="145"/>
    </row>
    <row r="3614">
      <c r="G3614" s="145"/>
    </row>
    <row r="3615">
      <c r="G3615" s="145"/>
    </row>
    <row r="3616">
      <c r="G3616" s="145"/>
    </row>
    <row r="3617">
      <c r="G3617" s="145"/>
    </row>
    <row r="3618">
      <c r="G3618" s="145"/>
    </row>
    <row r="3619">
      <c r="G3619" s="145"/>
    </row>
    <row r="3620">
      <c r="G3620" s="145"/>
    </row>
    <row r="3621">
      <c r="G3621" s="145"/>
    </row>
    <row r="3622">
      <c r="G3622" s="145"/>
    </row>
    <row r="3623">
      <c r="G3623" s="145"/>
    </row>
    <row r="3624">
      <c r="G3624" s="145"/>
    </row>
    <row r="3625">
      <c r="G3625" s="145"/>
    </row>
    <row r="3626">
      <c r="G3626" s="145"/>
    </row>
    <row r="3627">
      <c r="G3627" s="145"/>
    </row>
    <row r="3628">
      <c r="G3628" s="145"/>
    </row>
    <row r="3629">
      <c r="G3629" s="145"/>
    </row>
    <row r="3630">
      <c r="G3630" s="145"/>
    </row>
    <row r="3631">
      <c r="G3631" s="145"/>
    </row>
    <row r="3632">
      <c r="G3632" s="145"/>
    </row>
    <row r="3633">
      <c r="G3633" s="145"/>
    </row>
    <row r="3634">
      <c r="G3634" s="145"/>
    </row>
    <row r="3635">
      <c r="G3635" s="145"/>
    </row>
    <row r="3636">
      <c r="G3636" s="145"/>
    </row>
    <row r="3637">
      <c r="G3637" s="145"/>
    </row>
    <row r="3638">
      <c r="G3638" s="145"/>
    </row>
    <row r="3639">
      <c r="G3639" s="145"/>
    </row>
    <row r="3640">
      <c r="G3640" s="145"/>
    </row>
    <row r="3641">
      <c r="G3641" s="145"/>
    </row>
    <row r="3642">
      <c r="G3642" s="145"/>
    </row>
    <row r="3643">
      <c r="G3643" s="145"/>
    </row>
    <row r="3644">
      <c r="G3644" s="145"/>
    </row>
    <row r="3645">
      <c r="G3645" s="145"/>
    </row>
    <row r="3646">
      <c r="G3646" s="145"/>
    </row>
    <row r="3647">
      <c r="G3647" s="145"/>
    </row>
    <row r="3648">
      <c r="G3648" s="145"/>
    </row>
    <row r="3649">
      <c r="G3649" s="145"/>
    </row>
    <row r="3650">
      <c r="G3650" s="145"/>
    </row>
    <row r="3651">
      <c r="G3651" s="145"/>
    </row>
    <row r="3652">
      <c r="G3652" s="145"/>
    </row>
    <row r="3653">
      <c r="G3653" s="145"/>
    </row>
    <row r="3654">
      <c r="G3654" s="145"/>
    </row>
    <row r="3655">
      <c r="G3655" s="145"/>
    </row>
    <row r="3656">
      <c r="G3656" s="145"/>
    </row>
    <row r="3657">
      <c r="G3657" s="145"/>
    </row>
    <row r="3658">
      <c r="G3658" s="145"/>
    </row>
    <row r="3659">
      <c r="G3659" s="145"/>
    </row>
    <row r="3660">
      <c r="G3660" s="145"/>
    </row>
    <row r="3661">
      <c r="G3661" s="145"/>
    </row>
    <row r="3662">
      <c r="G3662" s="145"/>
    </row>
    <row r="3663">
      <c r="G3663" s="145"/>
    </row>
    <row r="3664">
      <c r="G3664" s="145"/>
    </row>
    <row r="3665">
      <c r="G3665" s="145"/>
    </row>
    <row r="3666">
      <c r="G3666" s="145"/>
    </row>
    <row r="3667">
      <c r="G3667" s="145"/>
    </row>
    <row r="3668">
      <c r="G3668" s="145"/>
    </row>
    <row r="3669">
      <c r="G3669" s="145"/>
    </row>
    <row r="3670">
      <c r="G3670" s="145"/>
    </row>
    <row r="3671">
      <c r="G3671" s="145"/>
    </row>
    <row r="3672">
      <c r="G3672" s="145"/>
    </row>
    <row r="3673">
      <c r="G3673" s="145"/>
    </row>
    <row r="3674">
      <c r="G3674" s="145"/>
    </row>
    <row r="3675">
      <c r="G3675" s="145"/>
    </row>
    <row r="3676">
      <c r="G3676" s="145"/>
    </row>
    <row r="3677">
      <c r="G3677" s="145"/>
    </row>
    <row r="3678">
      <c r="G3678" s="145"/>
    </row>
    <row r="3679">
      <c r="G3679" s="145"/>
    </row>
    <row r="3680">
      <c r="G3680" s="145"/>
    </row>
    <row r="3681">
      <c r="G3681" s="145"/>
    </row>
    <row r="3682">
      <c r="G3682" s="145"/>
    </row>
    <row r="3683">
      <c r="G3683" s="145"/>
    </row>
    <row r="3684">
      <c r="G3684" s="145"/>
    </row>
    <row r="3685">
      <c r="G3685" s="145"/>
    </row>
    <row r="3686">
      <c r="G3686" s="145"/>
    </row>
    <row r="3687">
      <c r="G3687" s="145"/>
    </row>
    <row r="3688">
      <c r="G3688" s="145"/>
    </row>
    <row r="3689">
      <c r="G3689" s="145"/>
    </row>
    <row r="3690">
      <c r="G3690" s="145"/>
    </row>
    <row r="3691">
      <c r="G3691" s="145"/>
    </row>
    <row r="3692">
      <c r="G3692" s="145"/>
    </row>
    <row r="3693">
      <c r="G3693" s="145"/>
    </row>
    <row r="3694">
      <c r="G3694" s="145"/>
    </row>
    <row r="3695">
      <c r="G3695" s="145"/>
    </row>
    <row r="3696">
      <c r="G3696" s="145"/>
    </row>
    <row r="3697">
      <c r="G3697" s="145"/>
    </row>
    <row r="3698">
      <c r="G3698" s="145"/>
    </row>
    <row r="3699">
      <c r="G3699" s="145"/>
    </row>
    <row r="3700">
      <c r="G3700" s="145"/>
    </row>
    <row r="3701">
      <c r="G3701" s="145"/>
    </row>
    <row r="3702">
      <c r="G3702" s="145"/>
    </row>
    <row r="3703">
      <c r="G3703" s="145"/>
    </row>
    <row r="3704">
      <c r="G3704" s="145"/>
    </row>
    <row r="3705">
      <c r="G3705" s="145"/>
    </row>
    <row r="3706">
      <c r="G3706" s="145"/>
    </row>
    <row r="3707">
      <c r="G3707" s="145"/>
    </row>
    <row r="3708">
      <c r="G3708" s="145"/>
    </row>
    <row r="3709">
      <c r="G3709" s="145"/>
    </row>
    <row r="3710">
      <c r="G3710" s="145"/>
    </row>
    <row r="3711">
      <c r="G3711" s="145"/>
    </row>
    <row r="3712">
      <c r="G3712" s="145"/>
    </row>
    <row r="3713">
      <c r="G3713" s="145"/>
    </row>
    <row r="3714">
      <c r="G3714" s="145"/>
    </row>
    <row r="3715">
      <c r="G3715" s="145"/>
    </row>
    <row r="3716">
      <c r="G3716" s="145"/>
    </row>
    <row r="3717">
      <c r="G3717" s="145"/>
    </row>
    <row r="3718">
      <c r="G3718" s="145"/>
    </row>
    <row r="3719">
      <c r="G3719" s="145"/>
    </row>
    <row r="3720">
      <c r="G3720" s="145"/>
    </row>
    <row r="3721">
      <c r="G3721" s="145"/>
    </row>
    <row r="3722">
      <c r="G3722" s="145"/>
    </row>
    <row r="3723">
      <c r="G3723" s="145"/>
    </row>
    <row r="3724">
      <c r="G3724" s="145"/>
    </row>
    <row r="3725">
      <c r="G3725" s="145"/>
    </row>
    <row r="3726">
      <c r="G3726" s="145"/>
    </row>
    <row r="3727">
      <c r="G3727" s="145"/>
    </row>
    <row r="3728">
      <c r="G3728" s="145"/>
    </row>
    <row r="3729">
      <c r="G3729" s="145"/>
    </row>
    <row r="3730">
      <c r="G3730" s="145"/>
    </row>
    <row r="3731">
      <c r="G3731" s="145"/>
    </row>
    <row r="3732">
      <c r="G3732" s="145"/>
    </row>
    <row r="3733">
      <c r="G3733" s="145"/>
    </row>
    <row r="3734">
      <c r="G3734" s="145"/>
    </row>
    <row r="3735">
      <c r="G3735" s="145"/>
    </row>
    <row r="3736">
      <c r="G3736" s="145"/>
    </row>
    <row r="3737">
      <c r="G3737" s="145"/>
    </row>
    <row r="3738">
      <c r="G3738" s="145"/>
    </row>
    <row r="3739">
      <c r="G3739" s="145"/>
    </row>
    <row r="3740">
      <c r="G3740" s="145"/>
    </row>
    <row r="3741">
      <c r="G3741" s="145"/>
    </row>
    <row r="3742">
      <c r="G3742" s="145"/>
    </row>
    <row r="3743">
      <c r="G3743" s="145"/>
    </row>
    <row r="3744">
      <c r="G3744" s="145"/>
    </row>
    <row r="3745">
      <c r="G3745" s="145"/>
    </row>
    <row r="3746">
      <c r="G3746" s="145"/>
    </row>
    <row r="3747">
      <c r="G3747" s="145"/>
    </row>
    <row r="3748">
      <c r="G3748" s="145"/>
    </row>
    <row r="3749">
      <c r="G3749" s="145"/>
    </row>
    <row r="3750">
      <c r="G3750" s="145"/>
    </row>
    <row r="3751">
      <c r="G3751" s="145"/>
    </row>
    <row r="3752">
      <c r="G3752" s="145"/>
    </row>
    <row r="3753">
      <c r="G3753" s="145"/>
    </row>
    <row r="3754">
      <c r="G3754" s="145"/>
    </row>
    <row r="3755">
      <c r="G3755" s="145"/>
    </row>
    <row r="3756">
      <c r="G3756" s="145"/>
    </row>
    <row r="3757">
      <c r="G3757" s="145"/>
    </row>
    <row r="3758">
      <c r="G3758" s="145"/>
    </row>
    <row r="3759">
      <c r="G3759" s="145"/>
    </row>
    <row r="3760">
      <c r="G3760" s="145"/>
    </row>
    <row r="3761">
      <c r="G3761" s="145"/>
    </row>
    <row r="3762">
      <c r="G3762" s="145"/>
    </row>
    <row r="3763">
      <c r="G3763" s="145"/>
    </row>
    <row r="3764">
      <c r="G3764" s="145"/>
    </row>
    <row r="3765">
      <c r="G3765" s="145"/>
    </row>
    <row r="3766">
      <c r="G3766" s="145"/>
    </row>
    <row r="3767">
      <c r="G3767" s="145"/>
    </row>
    <row r="3768">
      <c r="G3768" s="145"/>
    </row>
    <row r="3769">
      <c r="G3769" s="145"/>
    </row>
    <row r="3770">
      <c r="G3770" s="145"/>
    </row>
    <row r="3771">
      <c r="G3771" s="145"/>
    </row>
    <row r="3772">
      <c r="G3772" s="145"/>
    </row>
    <row r="3773">
      <c r="G3773" s="145"/>
    </row>
    <row r="3774">
      <c r="G3774" s="145"/>
    </row>
    <row r="3775">
      <c r="G3775" s="145"/>
    </row>
    <row r="3776">
      <c r="G3776" s="145"/>
    </row>
    <row r="3777">
      <c r="G3777" s="145"/>
    </row>
    <row r="3778">
      <c r="G3778" s="145"/>
    </row>
    <row r="3779">
      <c r="G3779" s="145"/>
    </row>
    <row r="3780">
      <c r="G3780" s="145"/>
    </row>
    <row r="3781">
      <c r="G3781" s="145"/>
    </row>
    <row r="3782">
      <c r="G3782" s="145"/>
    </row>
    <row r="3783">
      <c r="G3783" s="145"/>
    </row>
    <row r="3784">
      <c r="G3784" s="145"/>
    </row>
    <row r="3785">
      <c r="G3785" s="145"/>
    </row>
    <row r="3786">
      <c r="G3786" s="145"/>
    </row>
    <row r="3787">
      <c r="G3787" s="145"/>
    </row>
    <row r="3788">
      <c r="G3788" s="145"/>
    </row>
    <row r="3789">
      <c r="G3789" s="145"/>
    </row>
    <row r="3790">
      <c r="G3790" s="145"/>
    </row>
    <row r="3791">
      <c r="G3791" s="145"/>
    </row>
    <row r="3792">
      <c r="G3792" s="145"/>
    </row>
    <row r="3793">
      <c r="G3793" s="145"/>
    </row>
    <row r="3794">
      <c r="G3794" s="145"/>
    </row>
    <row r="3795">
      <c r="G3795" s="145"/>
    </row>
    <row r="3796">
      <c r="G3796" s="145"/>
    </row>
    <row r="3797">
      <c r="G3797" s="145"/>
    </row>
    <row r="3798">
      <c r="G3798" s="145"/>
    </row>
    <row r="3799">
      <c r="G3799" s="145"/>
    </row>
    <row r="3800">
      <c r="G3800" s="145"/>
    </row>
    <row r="3801">
      <c r="G3801" s="145"/>
    </row>
    <row r="3802">
      <c r="G3802" s="145"/>
    </row>
    <row r="3803">
      <c r="G3803" s="145"/>
    </row>
    <row r="3804">
      <c r="G3804" s="145"/>
    </row>
    <row r="3805">
      <c r="G3805" s="145"/>
    </row>
    <row r="3806">
      <c r="G3806" s="145"/>
    </row>
    <row r="3807">
      <c r="G3807" s="145"/>
    </row>
    <row r="3808">
      <c r="G3808" s="145"/>
    </row>
    <row r="3809">
      <c r="G3809" s="145"/>
    </row>
    <row r="3810">
      <c r="G3810" s="145"/>
    </row>
    <row r="3811">
      <c r="G3811" s="145"/>
    </row>
    <row r="3812">
      <c r="G3812" s="145"/>
    </row>
    <row r="3813">
      <c r="G3813" s="145"/>
    </row>
    <row r="3814">
      <c r="G3814" s="145"/>
    </row>
    <row r="3815">
      <c r="G3815" s="145"/>
    </row>
    <row r="3816">
      <c r="G3816" s="145"/>
    </row>
    <row r="3817">
      <c r="G3817" s="145"/>
    </row>
    <row r="3818">
      <c r="G3818" s="145"/>
    </row>
    <row r="3819">
      <c r="G3819" s="145"/>
    </row>
    <row r="3820">
      <c r="G3820" s="145"/>
    </row>
    <row r="3821">
      <c r="G3821" s="145"/>
    </row>
    <row r="3822">
      <c r="G3822" s="145"/>
    </row>
    <row r="3823">
      <c r="G3823" s="145"/>
    </row>
    <row r="3824">
      <c r="G3824" s="145"/>
    </row>
    <row r="3825">
      <c r="G3825" s="145"/>
    </row>
    <row r="3826">
      <c r="G3826" s="145"/>
    </row>
    <row r="3827">
      <c r="G3827" s="145"/>
    </row>
    <row r="3828">
      <c r="G3828" s="145"/>
    </row>
    <row r="3829">
      <c r="G3829" s="145"/>
    </row>
    <row r="3830">
      <c r="G3830" s="145"/>
    </row>
    <row r="3831">
      <c r="G3831" s="145"/>
    </row>
    <row r="3832">
      <c r="G3832" s="145"/>
    </row>
    <row r="3833">
      <c r="G3833" s="145"/>
    </row>
    <row r="3834">
      <c r="G3834" s="145"/>
    </row>
    <row r="3835">
      <c r="G3835" s="145"/>
    </row>
    <row r="3836">
      <c r="G3836" s="145"/>
    </row>
    <row r="3837">
      <c r="G3837" s="145"/>
    </row>
    <row r="3838">
      <c r="G3838" s="145"/>
    </row>
    <row r="3839">
      <c r="G3839" s="145"/>
    </row>
    <row r="3840">
      <c r="G3840" s="145"/>
    </row>
    <row r="3841">
      <c r="G3841" s="145"/>
    </row>
    <row r="3842">
      <c r="G3842" s="145"/>
    </row>
    <row r="3843">
      <c r="G3843" s="145"/>
    </row>
    <row r="3844">
      <c r="G3844" s="145"/>
    </row>
    <row r="3845">
      <c r="G3845" s="145"/>
    </row>
    <row r="3846">
      <c r="G3846" s="145"/>
    </row>
    <row r="3847">
      <c r="G3847" s="145"/>
    </row>
    <row r="3848">
      <c r="G3848" s="145"/>
    </row>
    <row r="3849">
      <c r="G3849" s="145"/>
    </row>
    <row r="3850">
      <c r="G3850" s="145"/>
    </row>
    <row r="3851">
      <c r="G3851" s="145"/>
    </row>
    <row r="3852">
      <c r="G3852" s="145"/>
    </row>
    <row r="3853">
      <c r="G3853" s="145"/>
    </row>
    <row r="3854">
      <c r="G3854" s="145"/>
    </row>
    <row r="3855">
      <c r="G3855" s="145"/>
    </row>
    <row r="3856">
      <c r="G3856" s="145"/>
    </row>
    <row r="3857">
      <c r="G3857" s="145"/>
    </row>
    <row r="3858">
      <c r="G3858" s="145"/>
    </row>
    <row r="3859">
      <c r="G3859" s="145"/>
    </row>
    <row r="3860">
      <c r="G3860" s="145"/>
    </row>
    <row r="3861">
      <c r="G3861" s="145"/>
    </row>
    <row r="3862">
      <c r="G3862" s="145"/>
    </row>
    <row r="3863">
      <c r="G3863" s="145"/>
    </row>
    <row r="3864">
      <c r="G3864" s="145"/>
    </row>
    <row r="3865">
      <c r="G3865" s="145"/>
    </row>
    <row r="3866">
      <c r="G3866" s="145"/>
    </row>
    <row r="3867">
      <c r="G3867" s="145"/>
    </row>
    <row r="3868">
      <c r="G3868" s="145"/>
    </row>
    <row r="3869">
      <c r="G3869" s="145"/>
    </row>
    <row r="3870">
      <c r="G3870" s="145"/>
    </row>
    <row r="3871">
      <c r="G3871" s="145"/>
    </row>
    <row r="3872">
      <c r="G3872" s="145"/>
    </row>
    <row r="3873">
      <c r="G3873" s="145"/>
    </row>
    <row r="3874">
      <c r="G3874" s="145"/>
    </row>
    <row r="3875">
      <c r="G3875" s="145"/>
    </row>
    <row r="3876">
      <c r="G3876" s="145"/>
    </row>
    <row r="3877">
      <c r="G3877" s="145"/>
    </row>
    <row r="3878">
      <c r="G3878" s="145"/>
    </row>
    <row r="3879">
      <c r="G3879" s="145"/>
    </row>
    <row r="3880">
      <c r="G3880" s="145"/>
    </row>
    <row r="3881">
      <c r="G3881" s="145"/>
    </row>
    <row r="3882">
      <c r="G3882" s="145"/>
    </row>
    <row r="3883">
      <c r="G3883" s="145"/>
    </row>
    <row r="3884">
      <c r="G3884" s="145"/>
    </row>
    <row r="3885">
      <c r="G3885" s="145"/>
    </row>
    <row r="3886">
      <c r="G3886" s="145"/>
    </row>
    <row r="3887">
      <c r="G3887" s="145"/>
    </row>
    <row r="3888">
      <c r="G3888" s="145"/>
    </row>
    <row r="3889">
      <c r="G3889" s="145"/>
    </row>
    <row r="3890">
      <c r="G3890" s="145"/>
    </row>
    <row r="3891">
      <c r="G3891" s="145"/>
    </row>
    <row r="3892">
      <c r="G3892" s="145"/>
    </row>
    <row r="3893">
      <c r="G3893" s="145"/>
    </row>
    <row r="3894">
      <c r="G3894" s="145"/>
    </row>
    <row r="3895">
      <c r="G3895" s="145"/>
    </row>
    <row r="3896">
      <c r="G3896" s="145"/>
    </row>
    <row r="3897">
      <c r="G3897" s="145"/>
    </row>
    <row r="3898">
      <c r="G3898" s="145"/>
    </row>
    <row r="3899">
      <c r="G3899" s="145"/>
    </row>
    <row r="3900">
      <c r="G3900" s="145"/>
    </row>
    <row r="3901">
      <c r="G3901" s="145"/>
    </row>
    <row r="3902">
      <c r="G3902" s="145"/>
    </row>
    <row r="3903">
      <c r="G3903" s="145"/>
    </row>
    <row r="3904">
      <c r="G3904" s="145"/>
    </row>
    <row r="3905">
      <c r="G3905" s="145"/>
    </row>
    <row r="3906">
      <c r="G3906" s="145"/>
    </row>
    <row r="3907">
      <c r="G3907" s="145"/>
    </row>
    <row r="3908">
      <c r="G3908" s="145"/>
    </row>
    <row r="3909">
      <c r="G3909" s="145"/>
    </row>
    <row r="3910">
      <c r="G3910" s="145"/>
    </row>
    <row r="3911">
      <c r="G3911" s="145"/>
    </row>
    <row r="3912">
      <c r="G3912" s="145"/>
    </row>
    <row r="3913">
      <c r="G3913" s="145"/>
    </row>
    <row r="3914">
      <c r="G3914" s="145"/>
    </row>
    <row r="3915">
      <c r="G3915" s="145"/>
    </row>
    <row r="3916">
      <c r="G3916" s="145"/>
    </row>
    <row r="3917">
      <c r="G3917" s="145"/>
    </row>
    <row r="3918">
      <c r="G3918" s="145"/>
    </row>
    <row r="3919">
      <c r="G3919" s="145"/>
    </row>
    <row r="3920">
      <c r="G3920" s="145"/>
    </row>
    <row r="3921">
      <c r="G3921" s="145"/>
    </row>
    <row r="3922">
      <c r="G3922" s="145"/>
    </row>
    <row r="3923">
      <c r="G3923" s="145"/>
    </row>
    <row r="3924">
      <c r="G3924" s="145"/>
    </row>
    <row r="3925">
      <c r="G3925" s="145"/>
    </row>
    <row r="3926">
      <c r="G3926" s="145"/>
    </row>
    <row r="3927">
      <c r="G3927" s="145"/>
    </row>
    <row r="3928">
      <c r="G3928" s="145"/>
    </row>
    <row r="3929">
      <c r="G3929" s="145"/>
    </row>
    <row r="3930">
      <c r="G3930" s="145"/>
    </row>
    <row r="3931">
      <c r="G3931" s="145"/>
    </row>
    <row r="3932">
      <c r="G3932" s="145"/>
    </row>
    <row r="3933">
      <c r="G3933" s="145"/>
    </row>
    <row r="3934">
      <c r="G3934" s="145"/>
    </row>
    <row r="3935">
      <c r="G3935" s="145"/>
    </row>
    <row r="3936">
      <c r="G3936" s="145"/>
    </row>
    <row r="3937">
      <c r="G3937" s="145"/>
    </row>
    <row r="3938">
      <c r="G3938" s="145"/>
    </row>
    <row r="3939">
      <c r="G3939" s="145"/>
    </row>
    <row r="3940">
      <c r="G3940" s="145"/>
    </row>
    <row r="3941">
      <c r="G3941" s="145"/>
    </row>
    <row r="3942">
      <c r="G3942" s="145"/>
    </row>
    <row r="3943">
      <c r="G3943" s="145"/>
    </row>
    <row r="3944">
      <c r="G3944" s="145"/>
    </row>
    <row r="3945">
      <c r="G3945" s="145"/>
    </row>
    <row r="3946">
      <c r="G3946" s="145"/>
    </row>
    <row r="3947">
      <c r="G3947" s="145"/>
    </row>
    <row r="3948">
      <c r="G3948" s="145"/>
    </row>
    <row r="3949">
      <c r="G3949" s="145"/>
    </row>
    <row r="3950">
      <c r="G3950" s="145"/>
    </row>
    <row r="3951">
      <c r="G3951" s="145"/>
    </row>
    <row r="3952">
      <c r="G3952" s="145"/>
    </row>
    <row r="3953">
      <c r="G3953" s="145"/>
    </row>
    <row r="3954">
      <c r="G3954" s="145"/>
    </row>
    <row r="3955">
      <c r="G3955" s="145"/>
    </row>
    <row r="3956">
      <c r="G3956" s="145"/>
    </row>
    <row r="3957">
      <c r="G3957" s="145"/>
    </row>
    <row r="3958">
      <c r="G3958" s="145"/>
    </row>
    <row r="3959">
      <c r="G3959" s="145"/>
    </row>
    <row r="3960">
      <c r="G3960" s="145"/>
    </row>
    <row r="3961">
      <c r="G3961" s="145"/>
    </row>
    <row r="3962">
      <c r="G3962" s="145"/>
    </row>
    <row r="3963">
      <c r="G3963" s="145"/>
    </row>
    <row r="3964">
      <c r="G3964" s="145"/>
    </row>
    <row r="3965">
      <c r="G3965" s="145"/>
    </row>
    <row r="3966">
      <c r="G3966" s="145"/>
    </row>
    <row r="3967">
      <c r="G3967" s="145"/>
    </row>
    <row r="3968">
      <c r="G3968" s="145"/>
    </row>
    <row r="3969">
      <c r="G3969" s="145"/>
    </row>
    <row r="3970">
      <c r="G3970" s="145"/>
    </row>
    <row r="3971">
      <c r="G3971" s="145"/>
    </row>
    <row r="3972">
      <c r="G3972" s="145"/>
    </row>
    <row r="3973">
      <c r="G3973" s="145"/>
    </row>
    <row r="3974">
      <c r="G3974" s="145"/>
    </row>
    <row r="3975">
      <c r="G3975" s="145"/>
    </row>
    <row r="3976">
      <c r="G3976" s="145"/>
    </row>
    <row r="3977">
      <c r="G3977" s="145"/>
    </row>
    <row r="3978">
      <c r="G3978" s="145"/>
    </row>
    <row r="3979">
      <c r="G3979" s="145"/>
    </row>
    <row r="3980">
      <c r="G3980" s="145"/>
    </row>
    <row r="3981">
      <c r="G3981" s="145"/>
    </row>
    <row r="3982">
      <c r="G3982" s="145"/>
    </row>
    <row r="3983">
      <c r="G3983" s="145"/>
    </row>
    <row r="3984">
      <c r="G3984" s="145"/>
    </row>
    <row r="3985">
      <c r="G3985" s="145"/>
    </row>
    <row r="3986">
      <c r="G3986" s="145"/>
    </row>
    <row r="3987">
      <c r="G3987" s="145"/>
    </row>
    <row r="3988">
      <c r="G3988" s="145"/>
    </row>
    <row r="3989">
      <c r="G3989" s="145"/>
    </row>
    <row r="3990">
      <c r="G3990" s="145"/>
    </row>
    <row r="3991">
      <c r="G3991" s="145"/>
    </row>
    <row r="3992">
      <c r="G3992" s="145"/>
    </row>
    <row r="3993">
      <c r="G3993" s="145"/>
    </row>
    <row r="3994">
      <c r="G3994" s="145"/>
    </row>
    <row r="3995">
      <c r="G3995" s="145"/>
    </row>
    <row r="3996">
      <c r="G3996" s="145"/>
    </row>
    <row r="3997">
      <c r="G3997" s="145"/>
    </row>
    <row r="3998">
      <c r="G3998" s="145"/>
    </row>
    <row r="3999">
      <c r="G3999" s="145"/>
    </row>
    <row r="4000">
      <c r="G4000" s="145"/>
    </row>
    <row r="4001">
      <c r="G4001" s="145"/>
    </row>
    <row r="4002">
      <c r="G4002" s="145"/>
    </row>
    <row r="4003">
      <c r="G4003" s="145"/>
    </row>
    <row r="4004">
      <c r="G4004" s="145"/>
    </row>
    <row r="4005">
      <c r="G4005" s="145"/>
    </row>
    <row r="4006">
      <c r="G4006" s="145"/>
    </row>
    <row r="4007">
      <c r="G4007" s="145"/>
    </row>
    <row r="4008">
      <c r="G4008" s="145"/>
    </row>
    <row r="4009">
      <c r="G4009" s="145"/>
    </row>
    <row r="4010">
      <c r="G4010" s="145"/>
    </row>
    <row r="4011">
      <c r="G4011" s="145"/>
    </row>
    <row r="4012">
      <c r="G4012" s="145"/>
    </row>
    <row r="4013">
      <c r="G4013" s="145"/>
    </row>
    <row r="4014">
      <c r="G4014" s="145"/>
    </row>
    <row r="4015">
      <c r="G4015" s="145"/>
    </row>
    <row r="4016">
      <c r="G4016" s="145"/>
    </row>
    <row r="4017">
      <c r="G4017" s="145"/>
    </row>
    <row r="4018">
      <c r="G4018" s="145"/>
    </row>
    <row r="4019">
      <c r="G4019" s="145"/>
    </row>
    <row r="4020">
      <c r="G4020" s="145"/>
    </row>
    <row r="4021">
      <c r="G4021" s="145"/>
    </row>
    <row r="4022">
      <c r="G4022" s="145"/>
    </row>
    <row r="4023">
      <c r="G4023" s="145"/>
    </row>
    <row r="4024">
      <c r="G4024" s="145"/>
    </row>
    <row r="4025">
      <c r="G4025" s="145"/>
    </row>
    <row r="4026">
      <c r="G4026" s="145"/>
    </row>
    <row r="4027">
      <c r="G4027" s="145"/>
    </row>
    <row r="4028">
      <c r="G4028" s="145"/>
    </row>
    <row r="4029">
      <c r="G4029" s="145"/>
    </row>
    <row r="4030">
      <c r="G4030" s="145"/>
    </row>
    <row r="4031">
      <c r="G4031" s="145"/>
    </row>
    <row r="4032">
      <c r="G4032" s="145"/>
    </row>
    <row r="4033">
      <c r="G4033" s="145"/>
    </row>
    <row r="4034">
      <c r="G4034" s="145"/>
    </row>
    <row r="4035">
      <c r="G4035" s="145"/>
    </row>
    <row r="4036">
      <c r="G4036" s="145"/>
    </row>
    <row r="4037">
      <c r="G4037" s="145"/>
    </row>
    <row r="4038">
      <c r="G4038" s="145"/>
    </row>
    <row r="4039">
      <c r="G4039" s="145"/>
    </row>
    <row r="4040">
      <c r="G4040" s="145"/>
    </row>
    <row r="4041">
      <c r="G4041" s="145"/>
    </row>
    <row r="4042">
      <c r="G4042" s="145"/>
    </row>
    <row r="4043">
      <c r="G4043" s="145"/>
    </row>
    <row r="4044">
      <c r="G4044" s="145"/>
    </row>
    <row r="4045">
      <c r="G4045" s="145"/>
    </row>
    <row r="4046">
      <c r="G4046" s="145"/>
    </row>
    <row r="4047">
      <c r="G4047" s="145"/>
    </row>
    <row r="4048">
      <c r="G4048" s="145"/>
    </row>
    <row r="4049">
      <c r="G4049" s="145"/>
    </row>
    <row r="4050">
      <c r="G4050" s="145"/>
    </row>
    <row r="4051">
      <c r="G4051" s="145"/>
    </row>
    <row r="4052">
      <c r="G4052" s="145"/>
    </row>
    <row r="4053">
      <c r="G4053" s="145"/>
    </row>
    <row r="4054">
      <c r="G4054" s="145"/>
    </row>
    <row r="4055">
      <c r="G4055" s="145"/>
    </row>
    <row r="4056">
      <c r="G4056" s="145"/>
    </row>
    <row r="4057">
      <c r="G4057" s="145"/>
    </row>
    <row r="4058">
      <c r="G4058" s="145"/>
    </row>
    <row r="4059">
      <c r="G4059" s="145"/>
    </row>
    <row r="4060">
      <c r="G4060" s="145"/>
    </row>
    <row r="4061">
      <c r="G4061" s="145"/>
    </row>
    <row r="4062">
      <c r="G4062" s="145"/>
    </row>
    <row r="4063">
      <c r="G4063" s="145"/>
    </row>
    <row r="4064">
      <c r="G4064" s="145"/>
    </row>
    <row r="4065">
      <c r="G4065" s="145"/>
    </row>
    <row r="4066">
      <c r="G4066" s="145"/>
    </row>
    <row r="4067">
      <c r="G4067" s="145"/>
    </row>
    <row r="4068">
      <c r="G4068" s="145"/>
    </row>
    <row r="4069">
      <c r="G4069" s="145"/>
    </row>
    <row r="4070">
      <c r="G4070" s="145"/>
    </row>
    <row r="4071">
      <c r="G4071" s="145"/>
    </row>
    <row r="4072">
      <c r="G4072" s="145"/>
    </row>
    <row r="4073">
      <c r="G4073" s="145"/>
    </row>
    <row r="4074">
      <c r="G4074" s="145"/>
    </row>
    <row r="4075">
      <c r="G4075" s="145"/>
    </row>
    <row r="4076">
      <c r="G4076" s="145"/>
    </row>
    <row r="4077">
      <c r="G4077" s="145"/>
    </row>
    <row r="4078">
      <c r="G4078" s="145"/>
    </row>
    <row r="4079">
      <c r="G4079" s="145"/>
    </row>
    <row r="4080">
      <c r="G4080" s="145"/>
    </row>
    <row r="4081">
      <c r="G4081" s="145"/>
    </row>
    <row r="4082">
      <c r="G4082" s="145"/>
    </row>
    <row r="4083">
      <c r="G4083" s="145"/>
    </row>
    <row r="4084">
      <c r="G4084" s="145"/>
    </row>
    <row r="4085">
      <c r="G4085" s="145"/>
    </row>
    <row r="4086">
      <c r="G4086" s="145"/>
    </row>
    <row r="4087">
      <c r="G4087" s="145"/>
    </row>
    <row r="4088">
      <c r="G4088" s="145"/>
    </row>
    <row r="4089">
      <c r="G4089" s="145"/>
    </row>
    <row r="4090">
      <c r="G4090" s="145"/>
    </row>
    <row r="4091">
      <c r="G4091" s="145"/>
    </row>
    <row r="4092">
      <c r="G4092" s="145"/>
    </row>
    <row r="4093">
      <c r="G4093" s="145"/>
    </row>
    <row r="4094">
      <c r="G4094" s="145"/>
    </row>
    <row r="4095">
      <c r="G4095" s="145"/>
    </row>
    <row r="4096">
      <c r="G4096" s="145"/>
    </row>
    <row r="4097">
      <c r="G4097" s="145"/>
    </row>
    <row r="4098">
      <c r="G4098" s="145"/>
    </row>
    <row r="4099">
      <c r="G4099" s="145"/>
    </row>
    <row r="4100">
      <c r="G4100" s="145"/>
    </row>
    <row r="4101">
      <c r="G4101" s="145"/>
    </row>
    <row r="4102">
      <c r="G4102" s="145"/>
    </row>
    <row r="4103">
      <c r="G4103" s="145"/>
    </row>
    <row r="4104">
      <c r="G4104" s="145"/>
    </row>
    <row r="4105">
      <c r="G4105" s="145"/>
    </row>
    <row r="4106">
      <c r="G4106" s="145"/>
    </row>
    <row r="4107">
      <c r="G4107" s="145"/>
    </row>
    <row r="4108">
      <c r="G4108" s="145"/>
    </row>
    <row r="4109">
      <c r="G4109" s="145"/>
    </row>
    <row r="4110">
      <c r="G4110" s="145"/>
    </row>
    <row r="4111">
      <c r="G4111" s="145"/>
    </row>
    <row r="4112">
      <c r="G4112" s="145"/>
    </row>
    <row r="4113">
      <c r="G4113" s="145"/>
    </row>
    <row r="4114">
      <c r="G4114" s="145"/>
    </row>
    <row r="4115">
      <c r="G4115" s="145"/>
    </row>
    <row r="4116">
      <c r="G4116" s="145"/>
    </row>
    <row r="4117">
      <c r="G4117" s="145"/>
    </row>
    <row r="4118">
      <c r="G4118" s="145"/>
    </row>
    <row r="4119">
      <c r="G4119" s="145"/>
    </row>
    <row r="4120">
      <c r="G4120" s="145"/>
    </row>
    <row r="4121">
      <c r="G4121" s="145"/>
    </row>
    <row r="4122">
      <c r="G4122" s="145"/>
    </row>
    <row r="4123">
      <c r="G4123" s="145"/>
    </row>
    <row r="4124">
      <c r="G4124" s="145"/>
    </row>
    <row r="4125">
      <c r="G4125" s="145"/>
    </row>
    <row r="4126">
      <c r="G4126" s="145"/>
    </row>
    <row r="4127">
      <c r="G4127" s="145"/>
    </row>
    <row r="4128">
      <c r="G4128" s="145"/>
    </row>
    <row r="4129">
      <c r="G4129" s="145"/>
    </row>
    <row r="4130">
      <c r="G4130" s="145"/>
    </row>
    <row r="4131">
      <c r="G4131" s="145"/>
    </row>
    <row r="4132">
      <c r="G4132" s="145"/>
    </row>
    <row r="4133">
      <c r="G4133" s="145"/>
    </row>
    <row r="4134">
      <c r="G4134" s="145"/>
    </row>
    <row r="4135">
      <c r="G4135" s="145"/>
    </row>
    <row r="4136">
      <c r="G4136" s="145"/>
    </row>
    <row r="4137">
      <c r="G4137" s="145"/>
    </row>
    <row r="4138">
      <c r="G4138" s="145"/>
    </row>
    <row r="4139">
      <c r="G4139" s="145"/>
    </row>
    <row r="4140">
      <c r="G4140" s="145"/>
    </row>
    <row r="4141">
      <c r="G4141" s="145"/>
    </row>
    <row r="4142">
      <c r="G4142" s="145"/>
    </row>
    <row r="4143">
      <c r="G4143" s="145"/>
    </row>
    <row r="4144">
      <c r="G4144" s="145"/>
    </row>
    <row r="4145">
      <c r="G4145" s="145"/>
    </row>
    <row r="4146">
      <c r="G4146" s="145"/>
    </row>
    <row r="4147">
      <c r="G4147" s="145"/>
    </row>
    <row r="4148">
      <c r="G4148" s="145"/>
    </row>
    <row r="4149">
      <c r="G4149" s="145"/>
    </row>
    <row r="4150">
      <c r="G4150" s="145"/>
    </row>
    <row r="4151">
      <c r="G4151" s="145"/>
    </row>
    <row r="4152">
      <c r="G4152" s="145"/>
    </row>
    <row r="4153">
      <c r="G4153" s="145"/>
    </row>
    <row r="4154">
      <c r="G4154" s="145"/>
    </row>
    <row r="4155">
      <c r="G4155" s="145"/>
    </row>
    <row r="4156">
      <c r="G4156" s="145"/>
    </row>
    <row r="4157">
      <c r="G4157" s="145"/>
    </row>
    <row r="4158">
      <c r="G4158" s="145"/>
    </row>
    <row r="4159">
      <c r="G4159" s="145"/>
    </row>
    <row r="4160">
      <c r="G4160" s="145"/>
    </row>
    <row r="4161">
      <c r="G4161" s="145"/>
    </row>
    <row r="4162">
      <c r="G4162" s="145"/>
    </row>
    <row r="4163">
      <c r="G4163" s="145"/>
    </row>
    <row r="4164">
      <c r="G4164" s="145"/>
    </row>
    <row r="4165">
      <c r="G4165" s="145"/>
    </row>
    <row r="4166">
      <c r="G4166" s="145"/>
    </row>
    <row r="4167">
      <c r="G4167" s="145"/>
    </row>
    <row r="4168">
      <c r="G4168" s="145"/>
    </row>
    <row r="4169">
      <c r="G4169" s="145"/>
    </row>
    <row r="4170">
      <c r="G4170" s="145"/>
    </row>
    <row r="4171">
      <c r="G4171" s="145"/>
    </row>
    <row r="4172">
      <c r="G4172" s="145"/>
    </row>
    <row r="4173">
      <c r="G4173" s="145"/>
    </row>
    <row r="4174">
      <c r="G4174" s="145"/>
    </row>
    <row r="4175">
      <c r="G4175" s="145"/>
    </row>
    <row r="4176">
      <c r="G4176" s="145"/>
    </row>
    <row r="4177">
      <c r="G4177" s="145"/>
    </row>
    <row r="4178">
      <c r="G4178" s="145"/>
    </row>
    <row r="4179">
      <c r="G4179" s="145"/>
    </row>
    <row r="4180">
      <c r="G4180" s="145"/>
    </row>
    <row r="4181">
      <c r="G4181" s="145"/>
    </row>
    <row r="4182">
      <c r="G4182" s="145"/>
    </row>
    <row r="4183">
      <c r="G4183" s="145"/>
    </row>
    <row r="4184">
      <c r="G4184" s="145"/>
    </row>
    <row r="4185">
      <c r="G4185" s="145"/>
    </row>
    <row r="4186">
      <c r="G4186" s="145"/>
    </row>
    <row r="4187">
      <c r="G4187" s="145"/>
    </row>
    <row r="4188">
      <c r="G4188" s="145"/>
    </row>
    <row r="4189">
      <c r="G4189" s="145"/>
    </row>
    <row r="4190">
      <c r="G4190" s="145"/>
    </row>
    <row r="4191">
      <c r="G4191" s="145"/>
    </row>
    <row r="4192">
      <c r="G4192" s="145"/>
    </row>
    <row r="4193">
      <c r="G4193" s="145"/>
    </row>
    <row r="4194">
      <c r="G4194" s="145"/>
    </row>
    <row r="4195">
      <c r="G4195" s="145"/>
    </row>
    <row r="4196">
      <c r="G4196" s="145"/>
    </row>
    <row r="4197">
      <c r="G4197" s="145"/>
    </row>
    <row r="4198">
      <c r="G4198" s="145"/>
    </row>
    <row r="4199">
      <c r="G4199" s="145"/>
    </row>
    <row r="4200">
      <c r="G4200" s="145"/>
    </row>
    <row r="4201">
      <c r="G4201" s="145"/>
    </row>
    <row r="4202">
      <c r="G4202" s="145"/>
    </row>
    <row r="4203">
      <c r="G4203" s="145"/>
    </row>
    <row r="4204">
      <c r="G4204" s="145"/>
    </row>
    <row r="4205">
      <c r="G4205" s="145"/>
    </row>
    <row r="4206">
      <c r="G4206" s="145"/>
    </row>
    <row r="4207">
      <c r="G4207" s="145"/>
    </row>
    <row r="4208">
      <c r="G4208" s="145"/>
    </row>
    <row r="4209">
      <c r="G4209" s="145"/>
    </row>
    <row r="4210">
      <c r="G4210" s="145"/>
    </row>
    <row r="4211">
      <c r="G4211" s="145"/>
    </row>
    <row r="4212">
      <c r="G4212" s="145"/>
    </row>
    <row r="4213">
      <c r="G4213" s="145"/>
    </row>
    <row r="4214">
      <c r="G4214" s="145"/>
    </row>
    <row r="4215">
      <c r="G4215" s="145"/>
    </row>
    <row r="4216">
      <c r="G4216" s="145"/>
    </row>
    <row r="4217">
      <c r="G4217" s="145"/>
    </row>
    <row r="4218">
      <c r="G4218" s="145"/>
    </row>
    <row r="4219">
      <c r="G4219" s="145"/>
    </row>
    <row r="4220">
      <c r="G4220" s="145"/>
    </row>
    <row r="4221">
      <c r="G4221" s="145"/>
    </row>
    <row r="4222">
      <c r="G4222" s="145"/>
    </row>
    <row r="4223">
      <c r="G4223" s="145"/>
    </row>
    <row r="4224">
      <c r="G4224" s="145"/>
    </row>
    <row r="4225">
      <c r="G4225" s="145"/>
    </row>
    <row r="4226">
      <c r="G4226" s="145"/>
    </row>
    <row r="4227">
      <c r="G4227" s="145"/>
    </row>
    <row r="4228">
      <c r="G4228" s="145"/>
    </row>
    <row r="4229">
      <c r="G4229" s="145"/>
    </row>
    <row r="4230">
      <c r="G4230" s="145"/>
    </row>
    <row r="4231">
      <c r="G4231" s="145"/>
    </row>
    <row r="4232">
      <c r="G4232" s="145"/>
    </row>
    <row r="4233">
      <c r="G4233" s="145"/>
    </row>
    <row r="4234">
      <c r="G4234" s="145"/>
    </row>
    <row r="4235">
      <c r="G4235" s="145"/>
    </row>
    <row r="4236">
      <c r="G4236" s="145"/>
    </row>
    <row r="4237">
      <c r="G4237" s="145"/>
    </row>
    <row r="4238">
      <c r="G4238" s="145"/>
    </row>
    <row r="4239">
      <c r="G4239" s="145"/>
    </row>
    <row r="4240">
      <c r="G4240" s="145"/>
    </row>
    <row r="4241">
      <c r="G4241" s="145"/>
    </row>
    <row r="4242">
      <c r="G4242" s="145"/>
    </row>
    <row r="4243">
      <c r="G4243" s="145"/>
    </row>
    <row r="4244">
      <c r="G4244" s="145"/>
    </row>
    <row r="4245">
      <c r="G4245" s="145"/>
    </row>
    <row r="4246">
      <c r="G4246" s="145"/>
    </row>
    <row r="4247">
      <c r="G4247" s="145"/>
    </row>
    <row r="4248">
      <c r="G4248" s="145"/>
    </row>
    <row r="4249">
      <c r="G4249" s="145"/>
    </row>
    <row r="4250">
      <c r="G4250" s="145"/>
    </row>
    <row r="4251">
      <c r="G4251" s="145"/>
    </row>
    <row r="4252">
      <c r="G4252" s="145"/>
    </row>
    <row r="4253">
      <c r="G4253" s="145"/>
    </row>
    <row r="4254">
      <c r="G4254" s="145"/>
    </row>
    <row r="4255">
      <c r="G4255" s="145"/>
    </row>
    <row r="4256">
      <c r="G4256" s="145"/>
    </row>
    <row r="4257">
      <c r="G4257" s="145"/>
    </row>
    <row r="4258">
      <c r="G4258" s="145"/>
    </row>
    <row r="4259">
      <c r="G4259" s="145"/>
    </row>
    <row r="4260">
      <c r="G4260" s="145"/>
    </row>
    <row r="4261">
      <c r="G4261" s="145"/>
    </row>
    <row r="4262">
      <c r="G4262" s="145"/>
    </row>
    <row r="4263">
      <c r="G4263" s="145"/>
    </row>
    <row r="4264">
      <c r="G4264" s="145"/>
    </row>
    <row r="4265">
      <c r="G4265" s="145"/>
    </row>
    <row r="4266">
      <c r="G4266" s="145"/>
    </row>
    <row r="4267">
      <c r="G4267" s="145"/>
    </row>
    <row r="4268">
      <c r="G4268" s="145"/>
    </row>
    <row r="4269">
      <c r="G4269" s="145"/>
    </row>
    <row r="4270">
      <c r="G4270" s="145"/>
    </row>
    <row r="4271">
      <c r="G4271" s="145"/>
    </row>
    <row r="4272">
      <c r="G4272" s="145"/>
    </row>
    <row r="4273">
      <c r="G4273" s="145"/>
    </row>
    <row r="4274">
      <c r="G4274" s="145"/>
    </row>
    <row r="4275">
      <c r="G4275" s="145"/>
    </row>
    <row r="4276">
      <c r="G4276" s="145"/>
    </row>
    <row r="4277">
      <c r="G4277" s="145"/>
    </row>
    <row r="4278">
      <c r="G4278" s="145"/>
    </row>
    <row r="4279">
      <c r="G4279" s="145"/>
    </row>
    <row r="4280">
      <c r="G4280" s="145"/>
    </row>
    <row r="4281">
      <c r="G4281" s="145"/>
    </row>
    <row r="4282">
      <c r="G4282" s="145"/>
    </row>
    <row r="4283">
      <c r="G4283" s="145"/>
    </row>
    <row r="4284">
      <c r="G4284" s="145"/>
    </row>
    <row r="4285">
      <c r="G4285" s="145"/>
    </row>
    <row r="4286">
      <c r="G4286" s="145"/>
    </row>
    <row r="4287">
      <c r="G4287" s="145"/>
    </row>
    <row r="4288">
      <c r="G4288" s="145"/>
    </row>
    <row r="4289">
      <c r="G4289" s="145"/>
    </row>
    <row r="4290">
      <c r="G4290" s="145"/>
    </row>
    <row r="4291">
      <c r="G4291" s="145"/>
    </row>
    <row r="4292">
      <c r="G4292" s="145"/>
    </row>
    <row r="4293">
      <c r="G4293" s="145"/>
    </row>
    <row r="4294">
      <c r="G4294" s="145"/>
    </row>
    <row r="4295">
      <c r="G4295" s="145"/>
    </row>
    <row r="4296">
      <c r="G4296" s="145"/>
    </row>
    <row r="4297">
      <c r="G4297" s="145"/>
    </row>
    <row r="4298">
      <c r="G4298" s="145"/>
    </row>
    <row r="4299">
      <c r="G4299" s="145"/>
    </row>
    <row r="4300">
      <c r="G4300" s="145"/>
    </row>
    <row r="4301">
      <c r="G4301" s="145"/>
    </row>
    <row r="4302">
      <c r="G4302" s="145"/>
    </row>
    <row r="4303">
      <c r="G4303" s="145"/>
    </row>
    <row r="4304">
      <c r="G4304" s="145"/>
    </row>
    <row r="4305">
      <c r="G4305" s="145"/>
    </row>
    <row r="4306">
      <c r="G4306" s="145"/>
    </row>
    <row r="4307">
      <c r="G4307" s="145"/>
    </row>
    <row r="4308">
      <c r="G4308" s="145"/>
    </row>
    <row r="4309">
      <c r="G4309" s="145"/>
    </row>
    <row r="4310">
      <c r="G4310" s="145"/>
    </row>
    <row r="4311">
      <c r="G4311" s="145"/>
    </row>
    <row r="4312">
      <c r="G4312" s="145"/>
    </row>
    <row r="4313">
      <c r="G4313" s="145"/>
    </row>
    <row r="4314">
      <c r="G4314" s="145"/>
    </row>
    <row r="4315">
      <c r="G4315" s="145"/>
    </row>
    <row r="4316">
      <c r="G4316" s="145"/>
    </row>
    <row r="4317">
      <c r="G4317" s="145"/>
    </row>
    <row r="4318">
      <c r="G4318" s="145"/>
    </row>
    <row r="4319">
      <c r="G4319" s="145"/>
    </row>
    <row r="4320">
      <c r="G4320" s="145"/>
    </row>
    <row r="4321">
      <c r="G4321" s="145"/>
    </row>
    <row r="4322">
      <c r="G4322" s="145"/>
    </row>
    <row r="4323">
      <c r="G4323" s="145"/>
    </row>
    <row r="4324">
      <c r="G4324" s="145"/>
    </row>
    <row r="4325">
      <c r="G4325" s="145"/>
    </row>
    <row r="4326">
      <c r="G4326" s="145"/>
    </row>
    <row r="4327">
      <c r="G4327" s="145"/>
    </row>
    <row r="4328">
      <c r="G4328" s="145"/>
    </row>
    <row r="4329">
      <c r="G4329" s="145"/>
    </row>
    <row r="4330">
      <c r="G4330" s="145"/>
    </row>
    <row r="4331">
      <c r="G4331" s="145"/>
    </row>
    <row r="4332">
      <c r="G4332" s="145"/>
    </row>
    <row r="4333">
      <c r="G4333" s="145"/>
    </row>
    <row r="4334">
      <c r="G4334" s="145"/>
    </row>
    <row r="4335">
      <c r="G4335" s="145"/>
    </row>
    <row r="4336">
      <c r="G4336" s="145"/>
    </row>
    <row r="4337">
      <c r="G4337" s="145"/>
    </row>
    <row r="4338">
      <c r="G4338" s="145"/>
    </row>
    <row r="4339">
      <c r="G4339" s="145"/>
    </row>
    <row r="4340">
      <c r="G4340" s="145"/>
    </row>
    <row r="4341">
      <c r="G4341" s="145"/>
    </row>
    <row r="4342">
      <c r="G4342" s="145"/>
    </row>
    <row r="4343">
      <c r="G4343" s="145"/>
    </row>
    <row r="4344">
      <c r="G4344" s="145"/>
    </row>
    <row r="4345">
      <c r="G4345" s="145"/>
    </row>
    <row r="4346">
      <c r="G4346" s="145"/>
    </row>
    <row r="4347">
      <c r="G4347" s="145"/>
    </row>
    <row r="4348">
      <c r="G4348" s="145"/>
    </row>
    <row r="4349">
      <c r="G4349" s="145"/>
    </row>
    <row r="4350">
      <c r="G4350" s="145"/>
    </row>
    <row r="4351">
      <c r="G4351" s="145"/>
    </row>
    <row r="4352">
      <c r="G4352" s="145"/>
    </row>
    <row r="4353">
      <c r="G4353" s="145"/>
    </row>
    <row r="4354">
      <c r="G4354" s="145"/>
    </row>
    <row r="4355">
      <c r="G4355" s="145"/>
    </row>
    <row r="4356">
      <c r="G4356" s="145"/>
    </row>
    <row r="4357">
      <c r="G4357" s="145"/>
    </row>
    <row r="4358">
      <c r="G4358" s="145"/>
    </row>
    <row r="4359">
      <c r="G4359" s="145"/>
    </row>
    <row r="4360">
      <c r="G4360" s="145"/>
    </row>
    <row r="4361">
      <c r="G4361" s="145"/>
    </row>
    <row r="4362">
      <c r="G4362" s="145"/>
    </row>
    <row r="4363">
      <c r="G4363" s="145"/>
    </row>
    <row r="4364">
      <c r="G4364" s="145"/>
    </row>
    <row r="4365">
      <c r="G4365" s="145"/>
    </row>
    <row r="4366">
      <c r="G4366" s="145"/>
    </row>
    <row r="4367">
      <c r="G4367" s="145"/>
    </row>
    <row r="4368">
      <c r="G4368" s="145"/>
    </row>
    <row r="4369">
      <c r="G4369" s="145"/>
    </row>
    <row r="4370">
      <c r="G4370" s="145"/>
    </row>
    <row r="4371">
      <c r="G4371" s="145"/>
    </row>
    <row r="4372">
      <c r="G4372" s="145"/>
    </row>
    <row r="4373">
      <c r="G4373" s="145"/>
    </row>
    <row r="4374">
      <c r="G4374" s="145"/>
    </row>
    <row r="4375">
      <c r="G4375" s="145"/>
    </row>
    <row r="4376">
      <c r="G4376" s="145"/>
    </row>
    <row r="4377">
      <c r="G4377" s="145"/>
    </row>
    <row r="4378">
      <c r="G4378" s="145"/>
    </row>
    <row r="4379">
      <c r="G4379" s="145"/>
    </row>
    <row r="4380">
      <c r="G4380" s="145"/>
    </row>
    <row r="4381">
      <c r="G4381" s="145"/>
    </row>
    <row r="4382">
      <c r="G4382" s="145"/>
    </row>
    <row r="4383">
      <c r="G4383" s="145"/>
    </row>
    <row r="4384">
      <c r="G4384" s="145"/>
    </row>
    <row r="4385">
      <c r="G4385" s="145"/>
    </row>
    <row r="4386">
      <c r="G4386" s="145"/>
    </row>
    <row r="4387">
      <c r="G4387" s="145"/>
    </row>
    <row r="4388">
      <c r="G4388" s="145"/>
    </row>
    <row r="4389">
      <c r="G4389" s="145"/>
    </row>
    <row r="4390">
      <c r="G4390" s="145"/>
    </row>
    <row r="4391">
      <c r="G4391" s="145"/>
    </row>
    <row r="4392">
      <c r="G4392" s="145"/>
    </row>
    <row r="4393">
      <c r="G4393" s="145"/>
    </row>
    <row r="4394">
      <c r="G4394" s="145"/>
    </row>
    <row r="4395">
      <c r="G4395" s="145"/>
    </row>
    <row r="4396">
      <c r="G4396" s="145"/>
    </row>
    <row r="4397">
      <c r="G4397" s="145"/>
    </row>
    <row r="4398">
      <c r="G4398" s="145"/>
    </row>
    <row r="4399">
      <c r="G4399" s="145"/>
    </row>
    <row r="4400">
      <c r="G4400" s="145"/>
    </row>
    <row r="4401">
      <c r="G4401" s="145"/>
    </row>
    <row r="4402">
      <c r="G4402" s="145"/>
    </row>
    <row r="4403">
      <c r="G4403" s="145"/>
    </row>
    <row r="4404">
      <c r="G4404" s="145"/>
    </row>
    <row r="4405">
      <c r="G4405" s="145"/>
    </row>
    <row r="4406">
      <c r="G4406" s="145"/>
    </row>
    <row r="4407">
      <c r="G4407" s="145"/>
    </row>
    <row r="4408">
      <c r="G4408" s="145"/>
    </row>
    <row r="4409">
      <c r="G4409" s="145"/>
    </row>
    <row r="4410">
      <c r="G4410" s="145"/>
    </row>
    <row r="4411">
      <c r="G4411" s="145"/>
    </row>
    <row r="4412">
      <c r="G4412" s="145"/>
    </row>
    <row r="4413">
      <c r="G4413" s="145"/>
    </row>
    <row r="4414">
      <c r="G4414" s="145"/>
    </row>
    <row r="4415">
      <c r="G4415" s="145"/>
    </row>
    <row r="4416">
      <c r="G4416" s="145"/>
    </row>
    <row r="4417">
      <c r="G4417" s="145"/>
    </row>
    <row r="4418">
      <c r="G4418" s="145"/>
    </row>
    <row r="4419">
      <c r="G4419" s="145"/>
    </row>
    <row r="4420">
      <c r="G4420" s="145"/>
    </row>
    <row r="4421">
      <c r="G4421" s="145"/>
    </row>
    <row r="4422">
      <c r="G4422" s="145"/>
    </row>
    <row r="4423">
      <c r="G4423" s="145"/>
    </row>
    <row r="4424">
      <c r="G4424" s="145"/>
    </row>
    <row r="4425">
      <c r="G4425" s="145"/>
    </row>
    <row r="4426">
      <c r="G4426" s="145"/>
    </row>
    <row r="4427">
      <c r="G4427" s="145"/>
    </row>
    <row r="4428">
      <c r="G4428" s="145"/>
    </row>
    <row r="4429">
      <c r="G4429" s="145"/>
    </row>
    <row r="4430">
      <c r="G4430" s="145"/>
    </row>
    <row r="4431">
      <c r="G4431" s="145"/>
    </row>
    <row r="4432">
      <c r="G4432" s="145"/>
    </row>
    <row r="4433">
      <c r="G4433" s="145"/>
    </row>
    <row r="4434">
      <c r="G4434" s="145"/>
    </row>
    <row r="4435">
      <c r="G4435" s="145"/>
    </row>
    <row r="4436">
      <c r="G4436" s="145"/>
    </row>
    <row r="4437">
      <c r="G4437" s="145"/>
    </row>
    <row r="4438">
      <c r="G4438" s="145"/>
    </row>
    <row r="4439">
      <c r="G4439" s="145"/>
    </row>
    <row r="4440">
      <c r="G4440" s="145"/>
    </row>
    <row r="4441">
      <c r="G4441" s="145"/>
    </row>
    <row r="4442">
      <c r="G4442" s="145"/>
    </row>
    <row r="4443">
      <c r="G4443" s="145"/>
    </row>
    <row r="4444">
      <c r="G4444" s="145"/>
    </row>
    <row r="4445">
      <c r="G4445" s="145"/>
    </row>
    <row r="4446">
      <c r="G4446" s="145"/>
    </row>
    <row r="4447">
      <c r="G4447" s="145"/>
    </row>
    <row r="4448">
      <c r="G4448" s="145"/>
    </row>
    <row r="4449">
      <c r="G4449" s="145"/>
    </row>
    <row r="4450">
      <c r="G4450" s="145"/>
    </row>
    <row r="4451">
      <c r="G4451" s="145"/>
    </row>
    <row r="4452">
      <c r="G4452" s="145"/>
    </row>
    <row r="4453">
      <c r="G4453" s="145"/>
    </row>
    <row r="4454">
      <c r="G4454" s="145"/>
    </row>
    <row r="4455">
      <c r="G4455" s="145"/>
    </row>
    <row r="4456">
      <c r="G4456" s="145"/>
    </row>
    <row r="4457">
      <c r="G4457" s="145"/>
    </row>
    <row r="4458">
      <c r="G4458" s="145"/>
    </row>
    <row r="4459">
      <c r="G4459" s="145"/>
    </row>
    <row r="4460">
      <c r="G4460" s="145"/>
    </row>
    <row r="4461">
      <c r="G4461" s="145"/>
    </row>
    <row r="4462">
      <c r="G4462" s="145"/>
    </row>
    <row r="4463">
      <c r="G4463" s="145"/>
    </row>
    <row r="4464">
      <c r="G4464" s="145"/>
    </row>
    <row r="4465">
      <c r="G4465" s="145"/>
    </row>
    <row r="4466">
      <c r="G4466" s="145"/>
    </row>
    <row r="4467">
      <c r="G4467" s="145"/>
    </row>
    <row r="4468">
      <c r="G4468" s="145"/>
    </row>
    <row r="4469">
      <c r="G4469" s="145"/>
    </row>
    <row r="4470">
      <c r="G4470" s="145"/>
    </row>
    <row r="4471">
      <c r="G4471" s="145"/>
    </row>
    <row r="4472">
      <c r="G4472" s="145"/>
    </row>
    <row r="4473">
      <c r="G4473" s="145"/>
    </row>
    <row r="4474">
      <c r="G4474" s="145"/>
    </row>
    <row r="4475">
      <c r="G4475" s="145"/>
    </row>
    <row r="4476">
      <c r="G4476" s="145"/>
    </row>
    <row r="4477">
      <c r="G4477" s="145"/>
    </row>
    <row r="4478">
      <c r="G4478" s="145"/>
    </row>
    <row r="4479">
      <c r="G4479" s="145"/>
    </row>
    <row r="4480">
      <c r="G4480" s="145"/>
    </row>
    <row r="4481">
      <c r="G4481" s="145"/>
    </row>
    <row r="4482">
      <c r="G4482" s="145"/>
    </row>
    <row r="4483">
      <c r="G4483" s="145"/>
    </row>
    <row r="4484">
      <c r="G4484" s="145"/>
    </row>
    <row r="4485">
      <c r="G4485" s="145"/>
    </row>
    <row r="4486">
      <c r="G4486" s="145"/>
    </row>
    <row r="4487">
      <c r="G4487" s="145"/>
    </row>
    <row r="4488">
      <c r="G4488" s="145"/>
    </row>
    <row r="4489">
      <c r="G4489" s="145"/>
    </row>
    <row r="4490">
      <c r="G4490" s="145"/>
    </row>
    <row r="4491">
      <c r="G4491" s="145"/>
    </row>
    <row r="4492">
      <c r="G4492" s="145"/>
    </row>
    <row r="4493">
      <c r="G4493" s="145"/>
    </row>
    <row r="4494">
      <c r="G4494" s="145"/>
    </row>
    <row r="4495">
      <c r="G4495" s="145"/>
    </row>
    <row r="4496">
      <c r="G4496" s="145"/>
    </row>
    <row r="4497">
      <c r="G4497" s="145"/>
    </row>
    <row r="4498">
      <c r="G4498" s="145"/>
    </row>
    <row r="4499">
      <c r="G4499" s="145"/>
    </row>
    <row r="4500">
      <c r="G4500" s="145"/>
    </row>
    <row r="4501">
      <c r="G4501" s="145"/>
    </row>
    <row r="4502">
      <c r="G4502" s="145"/>
    </row>
    <row r="4503">
      <c r="G4503" s="145"/>
    </row>
    <row r="4504">
      <c r="G4504" s="145"/>
    </row>
    <row r="4505">
      <c r="G4505" s="145"/>
    </row>
    <row r="4506">
      <c r="G4506" s="145"/>
    </row>
    <row r="4507">
      <c r="G4507" s="145"/>
    </row>
    <row r="4508">
      <c r="G4508" s="145"/>
    </row>
    <row r="4509">
      <c r="G4509" s="145"/>
    </row>
    <row r="4510">
      <c r="G4510" s="145"/>
    </row>
    <row r="4511">
      <c r="G4511" s="145"/>
    </row>
    <row r="4512">
      <c r="G4512" s="145"/>
    </row>
    <row r="4513">
      <c r="G4513" s="145"/>
    </row>
    <row r="4514">
      <c r="G4514" s="145"/>
    </row>
    <row r="4515">
      <c r="G4515" s="145"/>
    </row>
    <row r="4516">
      <c r="G4516" s="145"/>
    </row>
    <row r="4517">
      <c r="G4517" s="145"/>
    </row>
    <row r="4518">
      <c r="G4518" s="145"/>
    </row>
    <row r="4519">
      <c r="G4519" s="145"/>
    </row>
    <row r="4520">
      <c r="G4520" s="145"/>
    </row>
    <row r="4521">
      <c r="G4521" s="145"/>
    </row>
    <row r="4522">
      <c r="G4522" s="145"/>
    </row>
    <row r="4523">
      <c r="G4523" s="145"/>
    </row>
    <row r="4524">
      <c r="G4524" s="145"/>
    </row>
    <row r="4525">
      <c r="G4525" s="145"/>
    </row>
    <row r="4526">
      <c r="G4526" s="145"/>
    </row>
    <row r="4527">
      <c r="G4527" s="145"/>
    </row>
    <row r="4528">
      <c r="G4528" s="145"/>
    </row>
    <row r="4529">
      <c r="G4529" s="145"/>
    </row>
    <row r="4530">
      <c r="G4530" s="145"/>
    </row>
    <row r="4531">
      <c r="G4531" s="145"/>
    </row>
    <row r="4532">
      <c r="G4532" s="145"/>
    </row>
    <row r="4533">
      <c r="G4533" s="145"/>
    </row>
    <row r="4534">
      <c r="G4534" s="145"/>
    </row>
    <row r="4535">
      <c r="G4535" s="145"/>
    </row>
    <row r="4536">
      <c r="G4536" s="145"/>
    </row>
    <row r="4537">
      <c r="G4537" s="145"/>
    </row>
    <row r="4538">
      <c r="G4538" s="145"/>
    </row>
    <row r="4539">
      <c r="G4539" s="145"/>
    </row>
    <row r="4540">
      <c r="G4540" s="145"/>
    </row>
    <row r="4541">
      <c r="G4541" s="145"/>
    </row>
    <row r="4542">
      <c r="G4542" s="145"/>
    </row>
    <row r="4543">
      <c r="G4543" s="145"/>
    </row>
    <row r="4544">
      <c r="G4544" s="145"/>
    </row>
    <row r="4545">
      <c r="G4545" s="145"/>
    </row>
    <row r="4546">
      <c r="G4546" s="145"/>
    </row>
    <row r="4547">
      <c r="G4547" s="145"/>
    </row>
    <row r="4548">
      <c r="G4548" s="145"/>
    </row>
    <row r="4549">
      <c r="G4549" s="145"/>
    </row>
    <row r="4550">
      <c r="G4550" s="145"/>
    </row>
    <row r="4551">
      <c r="G4551" s="145"/>
    </row>
    <row r="4552">
      <c r="G4552" s="145"/>
    </row>
    <row r="4553">
      <c r="G4553" s="145"/>
    </row>
    <row r="4554">
      <c r="G4554" s="145"/>
    </row>
    <row r="4555">
      <c r="G4555" s="145"/>
    </row>
    <row r="4556">
      <c r="G4556" s="145"/>
    </row>
    <row r="4557">
      <c r="G4557" s="145"/>
    </row>
    <row r="4558">
      <c r="G4558" s="145"/>
    </row>
    <row r="4559">
      <c r="G4559" s="145"/>
    </row>
    <row r="4560">
      <c r="G4560" s="145"/>
    </row>
    <row r="4561">
      <c r="G4561" s="145"/>
    </row>
    <row r="4562">
      <c r="G4562" s="145"/>
    </row>
    <row r="4563">
      <c r="G4563" s="145"/>
    </row>
    <row r="4564">
      <c r="G4564" s="145"/>
    </row>
    <row r="4565">
      <c r="G4565" s="145"/>
    </row>
    <row r="4566">
      <c r="G4566" s="145"/>
    </row>
    <row r="4567">
      <c r="G4567" s="145"/>
    </row>
    <row r="4568">
      <c r="G4568" s="145"/>
    </row>
    <row r="4569">
      <c r="G4569" s="145"/>
    </row>
    <row r="4570">
      <c r="G4570" s="145"/>
    </row>
    <row r="4571">
      <c r="G4571" s="145"/>
    </row>
    <row r="4572">
      <c r="G4572" s="145"/>
    </row>
    <row r="4573">
      <c r="G4573" s="145"/>
    </row>
    <row r="4574">
      <c r="G4574" s="145"/>
    </row>
    <row r="4575">
      <c r="G4575" s="145"/>
    </row>
    <row r="4576">
      <c r="G4576" s="145"/>
    </row>
    <row r="4577">
      <c r="G4577" s="145"/>
    </row>
    <row r="4578">
      <c r="G4578" s="145"/>
    </row>
    <row r="4579">
      <c r="G4579" s="145"/>
    </row>
    <row r="4580">
      <c r="G4580" s="145"/>
    </row>
    <row r="4581">
      <c r="G4581" s="145"/>
    </row>
    <row r="4582">
      <c r="G4582" s="145"/>
    </row>
    <row r="4583">
      <c r="G4583" s="145"/>
    </row>
    <row r="4584">
      <c r="G4584" s="145"/>
    </row>
    <row r="4585">
      <c r="G4585" s="145"/>
    </row>
    <row r="4586">
      <c r="G4586" s="145"/>
    </row>
    <row r="4587">
      <c r="G4587" s="145"/>
    </row>
    <row r="4588">
      <c r="G4588" s="145"/>
    </row>
    <row r="4589">
      <c r="G4589" s="145"/>
    </row>
    <row r="4590">
      <c r="G4590" s="145"/>
    </row>
    <row r="4591">
      <c r="G4591" s="145"/>
    </row>
    <row r="4592">
      <c r="G4592" s="145"/>
    </row>
    <row r="4593">
      <c r="G4593" s="145"/>
    </row>
    <row r="4594">
      <c r="G4594" s="145"/>
    </row>
    <row r="4595">
      <c r="G4595" s="145"/>
    </row>
    <row r="4596">
      <c r="G4596" s="145"/>
    </row>
    <row r="4597">
      <c r="G4597" s="145"/>
    </row>
    <row r="4598">
      <c r="G4598" s="145"/>
    </row>
    <row r="4599">
      <c r="G4599" s="145"/>
    </row>
    <row r="4600">
      <c r="G4600" s="145"/>
    </row>
    <row r="4601">
      <c r="G4601" s="145"/>
    </row>
    <row r="4602">
      <c r="G4602" s="145"/>
    </row>
    <row r="4603">
      <c r="G4603" s="145"/>
    </row>
    <row r="4604">
      <c r="G4604" s="145"/>
    </row>
    <row r="4605">
      <c r="G4605" s="145"/>
    </row>
    <row r="4606">
      <c r="G4606" s="145"/>
    </row>
    <row r="4607">
      <c r="G4607" s="145"/>
    </row>
    <row r="4608">
      <c r="G4608" s="145"/>
    </row>
    <row r="4609">
      <c r="G4609" s="145"/>
    </row>
    <row r="4610">
      <c r="G4610" s="145"/>
    </row>
    <row r="4611">
      <c r="G4611" s="145"/>
    </row>
    <row r="4612">
      <c r="G4612" s="145"/>
    </row>
    <row r="4613">
      <c r="G4613" s="145"/>
    </row>
    <row r="4614">
      <c r="G4614" s="145"/>
    </row>
    <row r="4615">
      <c r="G4615" s="145"/>
    </row>
    <row r="4616">
      <c r="G4616" s="145"/>
    </row>
    <row r="4617">
      <c r="G4617" s="145"/>
    </row>
    <row r="4618">
      <c r="G4618" s="145"/>
    </row>
    <row r="4619">
      <c r="G4619" s="145"/>
    </row>
    <row r="4620">
      <c r="G4620" s="145"/>
    </row>
    <row r="4621">
      <c r="G4621" s="145"/>
    </row>
    <row r="4622">
      <c r="G4622" s="145"/>
    </row>
    <row r="4623">
      <c r="G4623" s="145"/>
    </row>
    <row r="4624">
      <c r="G4624" s="145"/>
    </row>
    <row r="4625">
      <c r="G4625" s="145"/>
    </row>
    <row r="4626">
      <c r="G4626" s="145"/>
    </row>
    <row r="4627">
      <c r="G4627" s="145"/>
    </row>
    <row r="4628">
      <c r="G4628" s="145"/>
    </row>
    <row r="4629">
      <c r="G4629" s="145"/>
    </row>
    <row r="4630">
      <c r="G4630" s="145"/>
    </row>
    <row r="4631">
      <c r="G4631" s="145"/>
    </row>
    <row r="4632">
      <c r="G4632" s="145"/>
    </row>
    <row r="4633">
      <c r="G4633" s="145"/>
    </row>
    <row r="4634">
      <c r="G4634" s="145"/>
    </row>
    <row r="4635">
      <c r="G4635" s="145"/>
    </row>
    <row r="4636">
      <c r="G4636" s="145"/>
    </row>
    <row r="4637">
      <c r="G4637" s="145"/>
    </row>
    <row r="4638">
      <c r="G4638" s="145"/>
    </row>
    <row r="4639">
      <c r="G4639" s="145"/>
    </row>
    <row r="4640">
      <c r="G4640" s="145"/>
    </row>
    <row r="4641">
      <c r="G4641" s="145"/>
    </row>
    <row r="4642">
      <c r="G4642" s="145"/>
    </row>
    <row r="4643">
      <c r="G4643" s="145"/>
    </row>
    <row r="4644">
      <c r="G4644" s="145"/>
    </row>
    <row r="4645">
      <c r="G4645" s="145"/>
    </row>
    <row r="4646">
      <c r="G4646" s="145"/>
    </row>
    <row r="4647">
      <c r="G4647" s="145"/>
    </row>
    <row r="4648">
      <c r="G4648" s="145"/>
    </row>
    <row r="4649">
      <c r="G4649" s="145"/>
    </row>
    <row r="4650">
      <c r="G4650" s="145"/>
    </row>
    <row r="4651">
      <c r="G4651" s="145"/>
    </row>
    <row r="4652">
      <c r="G4652" s="145"/>
    </row>
    <row r="4653">
      <c r="G4653" s="145"/>
    </row>
    <row r="4654">
      <c r="G4654" s="145"/>
    </row>
    <row r="4655">
      <c r="G4655" s="145"/>
    </row>
    <row r="4656">
      <c r="G4656" s="145"/>
    </row>
    <row r="4657">
      <c r="G4657" s="145"/>
    </row>
    <row r="4658">
      <c r="G4658" s="145"/>
    </row>
    <row r="4659">
      <c r="G4659" s="145"/>
    </row>
    <row r="4660">
      <c r="G4660" s="145"/>
    </row>
    <row r="4661">
      <c r="G4661" s="145"/>
    </row>
    <row r="4662">
      <c r="G4662" s="145"/>
    </row>
    <row r="4663">
      <c r="G4663" s="145"/>
    </row>
    <row r="4664">
      <c r="G4664" s="145"/>
    </row>
    <row r="4665">
      <c r="G4665" s="145"/>
    </row>
    <row r="4666">
      <c r="G4666" s="145"/>
    </row>
    <row r="4667">
      <c r="G4667" s="145"/>
    </row>
    <row r="4668">
      <c r="G4668" s="145"/>
    </row>
    <row r="4669">
      <c r="G4669" s="145"/>
    </row>
    <row r="4670">
      <c r="G4670" s="145"/>
    </row>
    <row r="4671">
      <c r="G4671" s="145"/>
    </row>
    <row r="4672">
      <c r="G4672" s="145"/>
    </row>
    <row r="4673">
      <c r="G4673" s="145"/>
    </row>
    <row r="4674">
      <c r="G4674" s="145"/>
    </row>
    <row r="4675">
      <c r="G4675" s="145"/>
    </row>
    <row r="4676">
      <c r="G4676" s="145"/>
    </row>
    <row r="4677">
      <c r="G4677" s="145"/>
    </row>
    <row r="4678">
      <c r="G4678" s="145"/>
    </row>
    <row r="4679">
      <c r="G4679" s="145"/>
    </row>
    <row r="4680">
      <c r="G4680" s="145"/>
    </row>
    <row r="4681">
      <c r="G4681" s="145"/>
    </row>
    <row r="4682">
      <c r="G4682" s="145"/>
    </row>
    <row r="4683">
      <c r="G4683" s="145"/>
    </row>
    <row r="4684">
      <c r="G4684" s="145"/>
    </row>
    <row r="4685">
      <c r="G4685" s="145"/>
    </row>
    <row r="4686">
      <c r="G4686" s="145"/>
    </row>
    <row r="4687">
      <c r="G4687" s="145"/>
    </row>
    <row r="4688">
      <c r="G4688" s="145"/>
    </row>
    <row r="4689">
      <c r="G4689" s="145"/>
    </row>
    <row r="4690">
      <c r="G4690" s="145"/>
    </row>
    <row r="4691">
      <c r="G4691" s="145"/>
    </row>
    <row r="4692">
      <c r="G4692" s="145"/>
    </row>
    <row r="4693">
      <c r="G4693" s="145"/>
    </row>
    <row r="4694">
      <c r="G4694" s="145"/>
    </row>
    <row r="4695">
      <c r="G4695" s="145"/>
    </row>
    <row r="4696">
      <c r="G4696" s="145"/>
    </row>
    <row r="4697">
      <c r="G4697" s="145"/>
    </row>
    <row r="4698">
      <c r="G4698" s="145"/>
    </row>
    <row r="4699">
      <c r="G4699" s="145"/>
    </row>
    <row r="4700">
      <c r="G4700" s="145"/>
    </row>
    <row r="4701">
      <c r="G4701" s="145"/>
    </row>
    <row r="4702">
      <c r="G4702" s="145"/>
    </row>
    <row r="4703">
      <c r="G4703" s="145"/>
    </row>
    <row r="4704">
      <c r="G4704" s="145"/>
    </row>
    <row r="4705">
      <c r="G4705" s="145"/>
    </row>
    <row r="4706">
      <c r="G4706" s="145"/>
    </row>
    <row r="4707">
      <c r="G4707" s="145"/>
    </row>
    <row r="4708">
      <c r="G4708" s="145"/>
    </row>
    <row r="4709">
      <c r="G4709" s="145"/>
    </row>
    <row r="4710">
      <c r="G4710" s="145"/>
    </row>
    <row r="4711">
      <c r="G4711" s="145"/>
    </row>
    <row r="4712">
      <c r="G4712" s="145"/>
    </row>
    <row r="4713">
      <c r="G4713" s="145"/>
    </row>
    <row r="4714">
      <c r="G4714" s="145"/>
    </row>
    <row r="4715">
      <c r="G4715" s="145"/>
    </row>
    <row r="4716">
      <c r="G4716" s="145"/>
    </row>
    <row r="4717">
      <c r="G4717" s="145"/>
    </row>
    <row r="4718">
      <c r="G4718" s="145"/>
    </row>
    <row r="4719">
      <c r="G4719" s="145"/>
    </row>
    <row r="4720">
      <c r="G4720" s="145"/>
    </row>
    <row r="4721">
      <c r="G4721" s="145"/>
    </row>
    <row r="4722">
      <c r="G4722" s="145"/>
    </row>
    <row r="4723">
      <c r="G4723" s="145"/>
    </row>
    <row r="4724">
      <c r="G4724" s="145"/>
    </row>
    <row r="4725">
      <c r="G4725" s="145"/>
    </row>
    <row r="4726">
      <c r="G4726" s="145"/>
    </row>
    <row r="4727">
      <c r="G4727" s="145"/>
    </row>
    <row r="4728">
      <c r="G4728" s="145"/>
    </row>
    <row r="4729">
      <c r="G4729" s="145"/>
    </row>
    <row r="4730">
      <c r="G4730" s="145"/>
    </row>
    <row r="4731">
      <c r="G4731" s="145"/>
    </row>
    <row r="4732">
      <c r="G4732" s="145"/>
    </row>
    <row r="4733">
      <c r="G4733" s="145"/>
    </row>
    <row r="4734">
      <c r="G4734" s="145"/>
    </row>
    <row r="4735">
      <c r="G4735" s="145"/>
    </row>
    <row r="4736">
      <c r="G4736" s="145"/>
    </row>
    <row r="4737">
      <c r="G4737" s="145"/>
    </row>
    <row r="4738">
      <c r="G4738" s="145"/>
    </row>
    <row r="4739">
      <c r="G4739" s="145"/>
    </row>
    <row r="4740">
      <c r="G4740" s="145"/>
    </row>
    <row r="4741">
      <c r="G4741" s="145"/>
    </row>
    <row r="4742">
      <c r="G4742" s="145"/>
    </row>
    <row r="4743">
      <c r="G4743" s="145"/>
    </row>
    <row r="4744">
      <c r="G4744" s="145"/>
    </row>
    <row r="4745">
      <c r="G4745" s="145"/>
    </row>
    <row r="4746">
      <c r="G4746" s="145"/>
    </row>
    <row r="4747">
      <c r="G4747" s="145"/>
    </row>
    <row r="4748">
      <c r="G4748" s="145"/>
    </row>
    <row r="4749">
      <c r="G4749" s="145"/>
    </row>
    <row r="4750">
      <c r="G4750" s="145"/>
    </row>
    <row r="4751">
      <c r="G4751" s="145"/>
    </row>
    <row r="4752">
      <c r="G4752" s="145"/>
    </row>
    <row r="4753">
      <c r="G4753" s="145"/>
    </row>
    <row r="4754">
      <c r="G4754" s="145"/>
    </row>
    <row r="4755">
      <c r="G4755" s="145"/>
    </row>
    <row r="4756">
      <c r="G4756" s="145"/>
    </row>
    <row r="4757">
      <c r="G4757" s="145"/>
    </row>
    <row r="4758">
      <c r="G4758" s="145"/>
    </row>
    <row r="4759">
      <c r="G4759" s="145"/>
    </row>
    <row r="4760">
      <c r="G4760" s="145"/>
    </row>
    <row r="4761">
      <c r="G4761" s="145"/>
    </row>
    <row r="4762">
      <c r="G4762" s="145"/>
    </row>
    <row r="4763">
      <c r="G4763" s="145"/>
    </row>
    <row r="4764">
      <c r="G4764" s="145"/>
    </row>
    <row r="4765">
      <c r="G4765" s="145"/>
    </row>
    <row r="4766">
      <c r="G4766" s="145"/>
    </row>
    <row r="4767">
      <c r="G4767" s="145"/>
    </row>
    <row r="4768">
      <c r="G4768" s="145"/>
    </row>
    <row r="4769">
      <c r="G4769" s="145"/>
    </row>
    <row r="4770">
      <c r="G4770" s="145"/>
    </row>
    <row r="4771">
      <c r="G4771" s="145"/>
    </row>
    <row r="4772">
      <c r="G4772" s="145"/>
    </row>
    <row r="4773">
      <c r="G4773" s="145"/>
    </row>
    <row r="4774">
      <c r="G4774" s="145"/>
    </row>
    <row r="4775">
      <c r="G4775" s="145"/>
    </row>
    <row r="4776">
      <c r="G4776" s="145"/>
    </row>
    <row r="4777">
      <c r="G4777" s="145"/>
    </row>
    <row r="4778">
      <c r="G4778" s="145"/>
    </row>
    <row r="4779">
      <c r="G4779" s="145"/>
    </row>
    <row r="4780">
      <c r="G4780" s="145"/>
    </row>
    <row r="4781">
      <c r="G4781" s="145"/>
    </row>
    <row r="4782">
      <c r="G4782" s="145"/>
    </row>
    <row r="4783">
      <c r="G4783" s="145"/>
    </row>
    <row r="4784">
      <c r="G4784" s="145"/>
    </row>
    <row r="4785">
      <c r="G4785" s="145"/>
    </row>
    <row r="4786">
      <c r="G4786" s="145"/>
    </row>
    <row r="4787">
      <c r="G4787" s="145"/>
    </row>
    <row r="4788">
      <c r="G4788" s="145"/>
    </row>
    <row r="4789">
      <c r="G4789" s="145"/>
    </row>
    <row r="4790">
      <c r="G4790" s="145"/>
    </row>
    <row r="4791">
      <c r="G4791" s="145"/>
    </row>
    <row r="4792">
      <c r="G4792" s="145"/>
    </row>
    <row r="4793">
      <c r="G4793" s="145"/>
    </row>
    <row r="4794">
      <c r="G4794" s="145"/>
    </row>
    <row r="4795">
      <c r="G4795" s="145"/>
    </row>
    <row r="4796">
      <c r="G4796" s="145"/>
    </row>
    <row r="4797">
      <c r="G4797" s="145"/>
    </row>
    <row r="4798">
      <c r="G4798" s="145"/>
    </row>
    <row r="4799">
      <c r="G4799" s="145"/>
    </row>
    <row r="4800">
      <c r="G4800" s="145"/>
    </row>
    <row r="4801">
      <c r="G4801" s="145"/>
    </row>
    <row r="4802">
      <c r="G4802" s="145"/>
    </row>
    <row r="4803">
      <c r="G4803" s="145"/>
    </row>
    <row r="4804">
      <c r="G4804" s="145"/>
    </row>
    <row r="4805">
      <c r="G4805" s="145"/>
    </row>
    <row r="4806">
      <c r="G4806" s="145"/>
    </row>
    <row r="4807">
      <c r="G4807" s="145"/>
    </row>
    <row r="4808">
      <c r="G4808" s="145"/>
    </row>
    <row r="4809">
      <c r="G4809" s="145"/>
    </row>
    <row r="4810">
      <c r="G4810" s="145"/>
    </row>
    <row r="4811">
      <c r="G4811" s="145"/>
    </row>
    <row r="4812">
      <c r="G4812" s="145"/>
    </row>
    <row r="4813">
      <c r="G4813" s="145"/>
    </row>
    <row r="4814">
      <c r="G4814" s="145"/>
    </row>
    <row r="4815">
      <c r="G4815" s="145"/>
    </row>
    <row r="4816">
      <c r="G4816" s="145"/>
    </row>
    <row r="4817">
      <c r="G4817" s="145"/>
    </row>
    <row r="4818">
      <c r="G4818" s="145"/>
    </row>
    <row r="4819">
      <c r="G4819" s="145"/>
    </row>
    <row r="4820">
      <c r="G4820" s="145"/>
    </row>
    <row r="4821">
      <c r="G4821" s="145"/>
    </row>
    <row r="4822">
      <c r="G4822" s="145"/>
    </row>
    <row r="4823">
      <c r="G4823" s="145"/>
    </row>
    <row r="4824">
      <c r="G4824" s="145"/>
    </row>
    <row r="4825">
      <c r="G4825" s="145"/>
    </row>
    <row r="4826">
      <c r="G4826" s="145"/>
    </row>
    <row r="4827">
      <c r="G4827" s="145"/>
    </row>
    <row r="4828">
      <c r="G4828" s="145"/>
    </row>
    <row r="4829">
      <c r="G4829" s="145"/>
    </row>
    <row r="4830">
      <c r="G4830" s="145"/>
    </row>
    <row r="4831">
      <c r="G4831" s="145"/>
    </row>
    <row r="4832">
      <c r="G4832" s="145"/>
    </row>
    <row r="4833">
      <c r="G4833" s="145"/>
    </row>
    <row r="4834">
      <c r="G4834" s="145"/>
    </row>
    <row r="4835">
      <c r="G4835" s="145"/>
    </row>
    <row r="4836">
      <c r="G4836" s="145"/>
    </row>
    <row r="4837">
      <c r="G4837" s="145"/>
    </row>
    <row r="4838">
      <c r="G4838" s="145"/>
    </row>
    <row r="4839">
      <c r="G4839" s="145"/>
    </row>
    <row r="4840">
      <c r="G4840" s="145"/>
    </row>
    <row r="4841">
      <c r="G4841" s="145"/>
    </row>
    <row r="4842">
      <c r="G4842" s="145"/>
    </row>
    <row r="4843">
      <c r="G4843" s="145"/>
    </row>
    <row r="4844">
      <c r="G4844" s="145"/>
    </row>
    <row r="4845">
      <c r="G4845" s="145"/>
    </row>
    <row r="4846">
      <c r="G4846" s="145"/>
    </row>
    <row r="4847">
      <c r="G4847" s="145"/>
    </row>
    <row r="4848">
      <c r="G4848" s="145"/>
    </row>
    <row r="4849">
      <c r="G4849" s="145"/>
    </row>
    <row r="4850">
      <c r="G4850" s="145"/>
    </row>
    <row r="4851">
      <c r="G4851" s="145"/>
    </row>
    <row r="4852">
      <c r="G4852" s="145"/>
    </row>
    <row r="4853">
      <c r="G4853" s="145"/>
    </row>
    <row r="4854">
      <c r="G4854" s="145"/>
    </row>
    <row r="4855">
      <c r="G4855" s="145"/>
    </row>
    <row r="4856">
      <c r="G4856" s="145"/>
    </row>
    <row r="4857">
      <c r="G4857" s="145"/>
    </row>
    <row r="4858">
      <c r="G4858" s="145"/>
    </row>
    <row r="4859">
      <c r="G4859" s="145"/>
    </row>
    <row r="4860">
      <c r="G4860" s="145"/>
    </row>
    <row r="4861">
      <c r="G4861" s="145"/>
    </row>
    <row r="4862">
      <c r="G4862" s="145"/>
    </row>
    <row r="4863">
      <c r="G4863" s="145"/>
    </row>
    <row r="4864">
      <c r="G4864" s="145"/>
    </row>
    <row r="4865">
      <c r="G4865" s="145"/>
    </row>
    <row r="4866">
      <c r="G4866" s="145"/>
    </row>
    <row r="4867">
      <c r="G4867" s="145"/>
    </row>
    <row r="4868">
      <c r="G4868" s="145"/>
    </row>
    <row r="4869">
      <c r="G4869" s="145"/>
    </row>
    <row r="4870">
      <c r="G4870" s="145"/>
    </row>
    <row r="4871">
      <c r="G4871" s="145"/>
    </row>
    <row r="4872">
      <c r="G4872" s="145"/>
    </row>
    <row r="4873">
      <c r="G4873" s="145"/>
    </row>
    <row r="4874">
      <c r="G4874" s="145"/>
    </row>
    <row r="4875">
      <c r="G4875" s="145"/>
    </row>
    <row r="4876">
      <c r="G4876" s="145"/>
    </row>
    <row r="4877">
      <c r="G4877" s="145"/>
    </row>
    <row r="4878">
      <c r="G4878" s="145"/>
    </row>
    <row r="4879">
      <c r="G4879" s="145"/>
    </row>
    <row r="4880">
      <c r="G4880" s="145"/>
    </row>
    <row r="4881">
      <c r="G4881" s="145"/>
    </row>
    <row r="4882">
      <c r="G4882" s="145"/>
    </row>
    <row r="4883">
      <c r="G4883" s="145"/>
    </row>
    <row r="4884">
      <c r="G4884" s="145"/>
    </row>
    <row r="4885">
      <c r="G4885" s="145"/>
    </row>
    <row r="4886">
      <c r="G4886" s="145"/>
    </row>
    <row r="4887">
      <c r="G4887" s="145"/>
    </row>
    <row r="4888">
      <c r="G4888" s="145"/>
    </row>
    <row r="4889">
      <c r="G4889" s="145"/>
    </row>
    <row r="4890">
      <c r="G4890" s="145"/>
    </row>
    <row r="4891">
      <c r="G4891" s="145"/>
    </row>
    <row r="4892">
      <c r="G4892" s="145"/>
    </row>
    <row r="4893">
      <c r="G4893" s="145"/>
    </row>
    <row r="4894">
      <c r="G4894" s="145"/>
    </row>
    <row r="4895">
      <c r="G4895" s="145"/>
    </row>
    <row r="4896">
      <c r="G4896" s="145"/>
    </row>
    <row r="4897">
      <c r="G4897" s="145"/>
    </row>
    <row r="4898">
      <c r="G4898" s="145"/>
    </row>
    <row r="4899">
      <c r="G4899" s="145"/>
    </row>
    <row r="4900">
      <c r="G4900" s="145"/>
    </row>
    <row r="4901">
      <c r="G4901" s="145"/>
    </row>
    <row r="4902">
      <c r="G4902" s="145"/>
    </row>
    <row r="4903">
      <c r="G4903" s="145"/>
    </row>
    <row r="4904">
      <c r="G4904" s="145"/>
    </row>
    <row r="4905">
      <c r="G4905" s="145"/>
    </row>
    <row r="4906">
      <c r="G4906" s="145"/>
    </row>
    <row r="4907">
      <c r="G4907" s="145"/>
    </row>
    <row r="4908">
      <c r="G4908" s="145"/>
    </row>
    <row r="4909">
      <c r="G4909" s="145"/>
    </row>
    <row r="4910">
      <c r="G4910" s="145"/>
    </row>
    <row r="4911">
      <c r="G4911" s="145"/>
    </row>
    <row r="4912">
      <c r="G4912" s="145"/>
    </row>
    <row r="4913">
      <c r="G4913" s="145"/>
    </row>
    <row r="4914">
      <c r="G4914" s="145"/>
    </row>
    <row r="4915">
      <c r="G4915" s="145"/>
    </row>
    <row r="4916">
      <c r="G4916" s="145"/>
    </row>
    <row r="4917">
      <c r="G4917" s="145"/>
    </row>
    <row r="4918">
      <c r="G4918" s="145"/>
    </row>
    <row r="4919">
      <c r="G4919" s="145"/>
    </row>
    <row r="4920">
      <c r="G4920" s="145"/>
    </row>
    <row r="4921">
      <c r="G4921" s="145"/>
    </row>
    <row r="4922">
      <c r="G4922" s="145"/>
    </row>
    <row r="4923">
      <c r="G4923" s="145"/>
    </row>
    <row r="4924">
      <c r="G4924" s="145"/>
    </row>
    <row r="4925">
      <c r="G4925" s="145"/>
    </row>
    <row r="4926">
      <c r="G4926" s="145"/>
    </row>
    <row r="4927">
      <c r="G4927" s="145"/>
    </row>
    <row r="4928">
      <c r="G4928" s="145"/>
    </row>
    <row r="4929">
      <c r="G4929" s="145"/>
    </row>
    <row r="4930">
      <c r="G4930" s="145"/>
    </row>
    <row r="4931">
      <c r="G4931" s="145"/>
    </row>
    <row r="4932">
      <c r="G4932" s="145"/>
    </row>
    <row r="4933">
      <c r="G4933" s="145"/>
    </row>
    <row r="4934">
      <c r="G4934" s="145"/>
    </row>
    <row r="4935">
      <c r="G4935" s="145"/>
    </row>
    <row r="4936">
      <c r="G4936" s="145"/>
    </row>
    <row r="4937">
      <c r="G4937" s="145"/>
    </row>
    <row r="4938">
      <c r="G4938" s="145"/>
    </row>
    <row r="4939">
      <c r="G4939" s="145"/>
    </row>
    <row r="4940">
      <c r="G4940" s="145"/>
    </row>
    <row r="4941">
      <c r="G4941" s="145"/>
    </row>
    <row r="4942">
      <c r="G4942" s="145"/>
    </row>
    <row r="4943">
      <c r="G4943" s="145"/>
    </row>
    <row r="4944">
      <c r="G4944" s="145"/>
    </row>
    <row r="4945">
      <c r="G4945" s="145"/>
    </row>
    <row r="4946">
      <c r="G4946" s="145"/>
    </row>
    <row r="4947">
      <c r="G4947" s="145"/>
    </row>
    <row r="4948">
      <c r="G4948" s="145"/>
    </row>
    <row r="4949">
      <c r="G4949" s="145"/>
    </row>
    <row r="4950">
      <c r="G4950" s="145"/>
    </row>
    <row r="4951">
      <c r="G4951" s="145"/>
    </row>
    <row r="4952">
      <c r="G4952" s="145"/>
    </row>
    <row r="4953">
      <c r="G4953" s="145"/>
    </row>
    <row r="4954">
      <c r="G4954" s="145"/>
    </row>
    <row r="4955">
      <c r="G4955" s="145"/>
    </row>
    <row r="4956">
      <c r="G4956" s="145"/>
    </row>
    <row r="4957">
      <c r="G4957" s="145"/>
    </row>
    <row r="4958">
      <c r="G4958" s="145"/>
    </row>
    <row r="4959">
      <c r="G4959" s="145"/>
    </row>
    <row r="4960">
      <c r="G4960" s="145"/>
    </row>
    <row r="4961">
      <c r="G4961" s="145"/>
    </row>
    <row r="4962">
      <c r="G4962" s="145"/>
    </row>
    <row r="4963">
      <c r="G4963" s="145"/>
    </row>
    <row r="4964">
      <c r="G4964" s="145"/>
    </row>
    <row r="4965">
      <c r="G4965" s="145"/>
    </row>
    <row r="4966">
      <c r="G4966" s="145"/>
    </row>
    <row r="4967">
      <c r="G4967" s="145"/>
    </row>
    <row r="4968">
      <c r="G4968" s="145"/>
    </row>
    <row r="4969">
      <c r="G4969" s="145"/>
    </row>
    <row r="4970">
      <c r="G4970" s="145"/>
    </row>
    <row r="4971">
      <c r="G4971" s="145"/>
    </row>
    <row r="4972">
      <c r="G4972" s="145"/>
    </row>
    <row r="4973">
      <c r="G4973" s="145"/>
    </row>
    <row r="4974">
      <c r="G4974" s="145"/>
    </row>
    <row r="4975">
      <c r="G4975" s="145"/>
    </row>
    <row r="4976">
      <c r="G4976" s="145"/>
    </row>
    <row r="4977">
      <c r="G4977" s="145"/>
    </row>
    <row r="4978">
      <c r="G4978" s="145"/>
    </row>
    <row r="4979">
      <c r="G4979" s="145"/>
    </row>
    <row r="4980">
      <c r="G4980" s="145"/>
    </row>
    <row r="4981">
      <c r="G4981" s="145"/>
    </row>
    <row r="4982">
      <c r="G4982" s="145"/>
    </row>
    <row r="4983">
      <c r="G4983" s="145"/>
    </row>
    <row r="4984">
      <c r="G4984" s="145"/>
    </row>
    <row r="4985">
      <c r="G4985" s="145"/>
    </row>
    <row r="4986">
      <c r="G4986" s="145"/>
    </row>
    <row r="4987">
      <c r="G4987" s="145"/>
    </row>
    <row r="4988">
      <c r="G4988" s="145"/>
    </row>
    <row r="4989">
      <c r="G4989" s="145"/>
    </row>
    <row r="4990">
      <c r="G4990" s="145"/>
    </row>
    <row r="4991">
      <c r="G4991" s="145"/>
    </row>
    <row r="4992">
      <c r="G4992" s="145"/>
    </row>
    <row r="4993">
      <c r="G4993" s="145"/>
    </row>
    <row r="4994">
      <c r="G4994" s="145"/>
    </row>
    <row r="4995">
      <c r="G4995" s="145"/>
    </row>
    <row r="4996">
      <c r="G4996" s="145"/>
    </row>
    <row r="4997">
      <c r="G4997" s="145"/>
    </row>
    <row r="4998">
      <c r="G4998" s="145"/>
    </row>
    <row r="4999">
      <c r="G4999" s="145"/>
    </row>
    <row r="5000">
      <c r="G5000" s="145"/>
    </row>
    <row r="5001">
      <c r="G5001" s="145"/>
    </row>
    <row r="5002">
      <c r="G5002" s="145"/>
    </row>
    <row r="5003">
      <c r="G5003" s="145"/>
    </row>
    <row r="5004">
      <c r="G5004" s="145"/>
    </row>
    <row r="5005">
      <c r="G5005" s="145"/>
    </row>
    <row r="5006">
      <c r="G5006" s="145"/>
    </row>
    <row r="5007">
      <c r="G5007" s="145"/>
    </row>
    <row r="5008">
      <c r="G5008" s="145"/>
    </row>
    <row r="5009">
      <c r="G5009" s="145"/>
    </row>
    <row r="5010">
      <c r="G5010" s="145"/>
    </row>
    <row r="5011">
      <c r="G5011" s="145"/>
    </row>
    <row r="5012">
      <c r="G5012" s="145"/>
    </row>
    <row r="5013">
      <c r="G5013" s="145"/>
    </row>
    <row r="5014">
      <c r="G5014" s="145"/>
    </row>
    <row r="5015">
      <c r="G5015" s="145"/>
    </row>
    <row r="5016">
      <c r="G5016" s="145"/>
    </row>
    <row r="5017">
      <c r="G5017" s="145"/>
    </row>
    <row r="5018">
      <c r="G5018" s="145"/>
    </row>
    <row r="5019">
      <c r="G5019" s="145"/>
    </row>
    <row r="5020">
      <c r="G5020" s="145"/>
    </row>
    <row r="5021">
      <c r="G5021" s="145"/>
    </row>
    <row r="5022">
      <c r="G5022" s="145"/>
    </row>
    <row r="5023">
      <c r="G5023" s="145"/>
    </row>
    <row r="5024">
      <c r="G5024" s="145"/>
    </row>
    <row r="5025">
      <c r="G5025" s="145"/>
    </row>
    <row r="5026">
      <c r="G5026" s="145"/>
    </row>
    <row r="5027">
      <c r="G5027" s="145"/>
    </row>
    <row r="5028">
      <c r="G5028" s="145"/>
    </row>
    <row r="5029">
      <c r="G5029" s="145"/>
    </row>
    <row r="5030">
      <c r="G5030" s="145"/>
    </row>
    <row r="5031">
      <c r="G5031" s="145"/>
    </row>
    <row r="5032">
      <c r="G5032" s="145"/>
    </row>
    <row r="5033">
      <c r="G5033" s="145"/>
    </row>
    <row r="5034">
      <c r="G5034" s="145"/>
    </row>
    <row r="5035">
      <c r="G5035" s="145"/>
    </row>
    <row r="5036">
      <c r="G5036" s="145"/>
    </row>
    <row r="5037">
      <c r="G5037" s="145"/>
    </row>
    <row r="5038">
      <c r="G5038" s="145"/>
    </row>
    <row r="5039">
      <c r="G5039" s="145"/>
    </row>
    <row r="5040">
      <c r="G5040" s="145"/>
    </row>
    <row r="5041">
      <c r="G5041" s="145"/>
    </row>
    <row r="5042">
      <c r="G5042" s="145"/>
    </row>
    <row r="5043">
      <c r="G5043" s="145"/>
    </row>
    <row r="5044">
      <c r="G5044" s="145"/>
    </row>
    <row r="5045">
      <c r="G5045" s="145"/>
    </row>
    <row r="5046">
      <c r="G5046" s="145"/>
    </row>
    <row r="5047">
      <c r="G5047" s="145"/>
    </row>
    <row r="5048">
      <c r="G5048" s="145"/>
    </row>
    <row r="5049">
      <c r="G5049" s="145"/>
    </row>
    <row r="5050">
      <c r="G5050" s="145"/>
    </row>
    <row r="5051">
      <c r="G5051" s="145"/>
    </row>
    <row r="5052">
      <c r="G5052" s="145"/>
    </row>
    <row r="5053">
      <c r="G5053" s="145"/>
    </row>
    <row r="5054">
      <c r="G5054" s="145"/>
    </row>
    <row r="5055">
      <c r="G5055" s="145"/>
    </row>
    <row r="5056">
      <c r="G5056" s="145"/>
    </row>
    <row r="5057">
      <c r="G5057" s="145"/>
    </row>
    <row r="5058">
      <c r="G5058" s="145"/>
    </row>
    <row r="5059">
      <c r="G5059" s="145"/>
    </row>
    <row r="5060">
      <c r="G5060" s="145"/>
    </row>
    <row r="5061">
      <c r="G5061" s="145"/>
    </row>
    <row r="5062">
      <c r="G5062" s="145"/>
    </row>
    <row r="5063">
      <c r="G5063" s="145"/>
    </row>
    <row r="5064">
      <c r="G5064" s="145"/>
    </row>
    <row r="5065">
      <c r="G5065" s="145"/>
    </row>
    <row r="5066">
      <c r="G5066" s="145"/>
    </row>
    <row r="5067">
      <c r="G5067" s="145"/>
    </row>
    <row r="5068">
      <c r="G5068" s="145"/>
    </row>
    <row r="5069">
      <c r="G5069" s="145"/>
    </row>
    <row r="5070">
      <c r="G5070" s="145"/>
    </row>
    <row r="5071">
      <c r="G5071" s="145"/>
    </row>
    <row r="5072">
      <c r="G5072" s="145"/>
    </row>
    <row r="5073">
      <c r="G5073" s="145"/>
    </row>
    <row r="5074">
      <c r="G5074" s="145"/>
    </row>
    <row r="5075">
      <c r="G5075" s="145"/>
    </row>
    <row r="5076">
      <c r="G5076" s="145"/>
    </row>
    <row r="5077">
      <c r="G5077" s="145"/>
    </row>
    <row r="5078">
      <c r="G5078" s="145"/>
    </row>
    <row r="5079">
      <c r="G5079" s="145"/>
    </row>
    <row r="5080">
      <c r="G5080" s="145"/>
    </row>
    <row r="5081">
      <c r="G5081" s="145"/>
    </row>
    <row r="5082">
      <c r="G5082" s="145"/>
    </row>
    <row r="5083">
      <c r="G5083" s="145"/>
    </row>
    <row r="5084">
      <c r="G5084" s="145"/>
    </row>
    <row r="5085">
      <c r="G5085" s="145"/>
    </row>
    <row r="5086">
      <c r="G5086" s="145"/>
    </row>
    <row r="5087">
      <c r="G5087" s="145"/>
    </row>
    <row r="5088">
      <c r="G5088" s="145"/>
    </row>
    <row r="5089">
      <c r="G5089" s="145"/>
    </row>
    <row r="5090">
      <c r="G5090" s="145"/>
    </row>
    <row r="5091">
      <c r="G5091" s="145"/>
    </row>
    <row r="5092">
      <c r="G5092" s="145"/>
    </row>
    <row r="5093">
      <c r="G5093" s="145"/>
    </row>
    <row r="5094">
      <c r="G5094" s="145"/>
    </row>
    <row r="5095">
      <c r="G5095" s="145"/>
    </row>
    <row r="5096">
      <c r="G5096" s="145"/>
    </row>
    <row r="5097">
      <c r="G5097" s="145"/>
    </row>
    <row r="5098">
      <c r="G5098" s="145"/>
    </row>
    <row r="5099">
      <c r="G5099" s="145"/>
    </row>
    <row r="5100">
      <c r="G5100" s="145"/>
    </row>
    <row r="5101">
      <c r="G5101" s="145"/>
    </row>
    <row r="5102">
      <c r="G5102" s="145"/>
    </row>
    <row r="5103">
      <c r="G5103" s="145"/>
    </row>
    <row r="5104">
      <c r="G5104" s="145"/>
    </row>
    <row r="5105">
      <c r="G5105" s="145"/>
    </row>
    <row r="5106">
      <c r="G5106" s="145"/>
    </row>
    <row r="5107">
      <c r="G5107" s="145"/>
    </row>
    <row r="5108">
      <c r="G5108" s="145"/>
    </row>
    <row r="5109">
      <c r="G5109" s="145"/>
    </row>
    <row r="5110">
      <c r="G5110" s="145"/>
    </row>
    <row r="5111">
      <c r="G5111" s="145"/>
    </row>
    <row r="5112">
      <c r="G5112" s="145"/>
    </row>
    <row r="5113">
      <c r="G5113" s="145"/>
    </row>
    <row r="5114">
      <c r="G5114" s="145"/>
    </row>
    <row r="5115">
      <c r="G5115" s="145"/>
    </row>
    <row r="5116">
      <c r="G5116" s="145"/>
    </row>
    <row r="5117">
      <c r="G5117" s="145"/>
    </row>
    <row r="5118">
      <c r="G5118" s="145"/>
    </row>
    <row r="5119">
      <c r="G5119" s="145"/>
    </row>
    <row r="5120">
      <c r="G5120" s="145"/>
    </row>
    <row r="5121">
      <c r="G5121" s="145"/>
    </row>
    <row r="5122">
      <c r="G5122" s="145"/>
    </row>
    <row r="5123">
      <c r="G5123" s="145"/>
    </row>
    <row r="5124">
      <c r="G5124" s="145"/>
    </row>
    <row r="5125">
      <c r="G5125" s="145"/>
    </row>
    <row r="5126">
      <c r="G5126" s="145"/>
    </row>
    <row r="5127">
      <c r="G5127" s="145"/>
    </row>
    <row r="5128">
      <c r="G5128" s="145"/>
    </row>
    <row r="5129">
      <c r="G5129" s="145"/>
    </row>
    <row r="5130">
      <c r="G5130" s="145"/>
    </row>
    <row r="5131">
      <c r="G5131" s="145"/>
    </row>
    <row r="5132">
      <c r="G5132" s="145"/>
    </row>
    <row r="5133">
      <c r="G5133" s="145"/>
    </row>
    <row r="5134">
      <c r="G5134" s="145"/>
    </row>
    <row r="5135">
      <c r="G5135" s="145"/>
    </row>
    <row r="5136">
      <c r="G5136" s="145"/>
    </row>
    <row r="5137">
      <c r="G5137" s="145"/>
    </row>
    <row r="5138">
      <c r="G5138" s="145"/>
    </row>
    <row r="5139">
      <c r="G5139" s="145"/>
    </row>
    <row r="5140">
      <c r="G5140" s="145"/>
    </row>
    <row r="5141">
      <c r="G5141" s="145"/>
    </row>
    <row r="5142">
      <c r="G5142" s="145"/>
    </row>
    <row r="5143">
      <c r="G5143" s="145"/>
    </row>
    <row r="5144">
      <c r="G5144" s="145"/>
    </row>
    <row r="5145">
      <c r="G5145" s="145"/>
    </row>
    <row r="5146">
      <c r="G5146" s="145"/>
    </row>
    <row r="5147">
      <c r="G5147" s="145"/>
    </row>
    <row r="5148">
      <c r="G5148" s="145"/>
    </row>
    <row r="5149">
      <c r="G5149" s="145"/>
    </row>
    <row r="5150">
      <c r="G5150" s="145"/>
    </row>
    <row r="5151">
      <c r="G5151" s="145"/>
    </row>
    <row r="5152">
      <c r="G5152" s="145"/>
    </row>
    <row r="5153">
      <c r="G5153" s="145"/>
    </row>
    <row r="5154">
      <c r="G5154" s="145"/>
    </row>
    <row r="5155">
      <c r="G5155" s="145"/>
    </row>
    <row r="5156">
      <c r="G5156" s="145"/>
    </row>
    <row r="5157">
      <c r="G5157" s="145"/>
    </row>
    <row r="5158">
      <c r="G5158" s="145"/>
    </row>
    <row r="5159">
      <c r="G5159" s="145"/>
    </row>
    <row r="5160">
      <c r="G5160" s="145"/>
    </row>
    <row r="5161">
      <c r="G5161" s="145"/>
    </row>
    <row r="5162">
      <c r="G5162" s="145"/>
    </row>
    <row r="5163">
      <c r="G5163" s="145"/>
    </row>
    <row r="5164">
      <c r="G5164" s="145"/>
    </row>
    <row r="5165">
      <c r="G5165" s="145"/>
    </row>
    <row r="5166">
      <c r="G5166" s="145"/>
    </row>
    <row r="5167">
      <c r="G5167" s="145"/>
    </row>
    <row r="5168">
      <c r="G5168" s="145"/>
    </row>
    <row r="5169">
      <c r="G5169" s="145"/>
    </row>
    <row r="5170">
      <c r="G5170" s="145"/>
    </row>
    <row r="5171">
      <c r="G5171" s="145"/>
    </row>
    <row r="5172">
      <c r="G5172" s="145"/>
    </row>
    <row r="5173">
      <c r="G5173" s="145"/>
    </row>
    <row r="5174">
      <c r="G5174" s="145"/>
    </row>
    <row r="5175">
      <c r="G5175" s="145"/>
    </row>
    <row r="5176">
      <c r="G5176" s="145"/>
    </row>
    <row r="5177">
      <c r="G5177" s="145"/>
    </row>
    <row r="5178">
      <c r="G5178" s="145"/>
    </row>
    <row r="5179">
      <c r="G5179" s="145"/>
    </row>
    <row r="5180">
      <c r="G5180" s="145"/>
    </row>
    <row r="5181">
      <c r="G5181" s="145"/>
    </row>
    <row r="5182">
      <c r="G5182" s="145"/>
    </row>
    <row r="5183">
      <c r="G5183" s="145"/>
    </row>
    <row r="5184">
      <c r="G5184" s="145"/>
    </row>
    <row r="5185">
      <c r="G5185" s="145"/>
    </row>
    <row r="5186">
      <c r="G5186" s="145"/>
    </row>
    <row r="5187">
      <c r="G5187" s="145"/>
    </row>
    <row r="5188">
      <c r="G5188" s="145"/>
    </row>
    <row r="5189">
      <c r="G5189" s="145"/>
    </row>
    <row r="5190">
      <c r="G5190" s="145"/>
    </row>
    <row r="5191">
      <c r="G5191" s="145"/>
    </row>
    <row r="5192">
      <c r="G5192" s="145"/>
    </row>
    <row r="5193">
      <c r="G5193" s="145"/>
    </row>
    <row r="5194">
      <c r="G5194" s="145"/>
    </row>
    <row r="5195">
      <c r="G5195" s="145"/>
    </row>
    <row r="5196">
      <c r="G5196" s="145"/>
    </row>
    <row r="5197">
      <c r="G5197" s="145"/>
    </row>
    <row r="5198">
      <c r="G5198" s="145"/>
    </row>
    <row r="5199">
      <c r="G5199" s="145"/>
    </row>
    <row r="5200">
      <c r="G5200" s="145"/>
    </row>
    <row r="5201">
      <c r="G5201" s="145"/>
    </row>
    <row r="5202">
      <c r="G5202" s="145"/>
    </row>
    <row r="5203">
      <c r="G5203" s="145"/>
    </row>
    <row r="5204">
      <c r="G5204" s="145"/>
    </row>
    <row r="5205">
      <c r="G5205" s="145"/>
    </row>
    <row r="5206">
      <c r="G5206" s="145"/>
    </row>
    <row r="5207">
      <c r="G5207" s="145"/>
    </row>
    <row r="5208">
      <c r="G5208" s="145"/>
    </row>
    <row r="5209">
      <c r="G5209" s="145"/>
    </row>
    <row r="5210">
      <c r="G5210" s="145"/>
    </row>
    <row r="5211">
      <c r="G5211" s="145"/>
    </row>
    <row r="5212">
      <c r="G5212" s="145"/>
    </row>
    <row r="5213">
      <c r="G5213" s="145"/>
    </row>
    <row r="5214">
      <c r="G5214" s="145"/>
    </row>
    <row r="5215">
      <c r="G5215" s="145"/>
    </row>
    <row r="5216">
      <c r="G5216" s="145"/>
    </row>
    <row r="5217">
      <c r="G5217" s="145"/>
    </row>
    <row r="5218">
      <c r="G5218" s="145"/>
    </row>
    <row r="5219">
      <c r="G5219" s="145"/>
    </row>
    <row r="5220">
      <c r="G5220" s="145"/>
    </row>
    <row r="5221">
      <c r="G5221" s="145"/>
    </row>
    <row r="5222">
      <c r="G5222" s="145"/>
    </row>
    <row r="5223">
      <c r="G5223" s="145"/>
    </row>
    <row r="5224">
      <c r="G5224" s="145"/>
    </row>
    <row r="5225">
      <c r="G5225" s="145"/>
    </row>
    <row r="5226">
      <c r="G5226" s="145"/>
    </row>
    <row r="5227">
      <c r="G5227" s="145"/>
    </row>
    <row r="5228">
      <c r="G5228" s="145"/>
    </row>
    <row r="5229">
      <c r="G5229" s="145"/>
    </row>
    <row r="5230">
      <c r="G5230" s="145"/>
    </row>
    <row r="5231">
      <c r="G5231" s="145"/>
    </row>
    <row r="5232">
      <c r="G5232" s="145"/>
    </row>
    <row r="5233">
      <c r="G5233" s="145"/>
    </row>
    <row r="5234">
      <c r="G5234" s="145"/>
    </row>
    <row r="5235">
      <c r="G5235" s="145"/>
    </row>
    <row r="5236">
      <c r="G5236" s="145"/>
    </row>
    <row r="5237">
      <c r="G5237" s="145"/>
    </row>
    <row r="5238">
      <c r="G5238" s="145"/>
    </row>
    <row r="5239">
      <c r="G5239" s="145"/>
    </row>
    <row r="5240">
      <c r="G5240" s="145"/>
    </row>
    <row r="5241">
      <c r="G5241" s="145"/>
    </row>
    <row r="5242">
      <c r="G5242" s="145"/>
    </row>
    <row r="5243">
      <c r="G5243" s="145"/>
    </row>
    <row r="5244">
      <c r="G5244" s="145"/>
    </row>
    <row r="5245">
      <c r="G5245" s="145"/>
    </row>
    <row r="5246">
      <c r="G5246" s="145"/>
    </row>
    <row r="5247">
      <c r="G5247" s="145"/>
    </row>
    <row r="5248">
      <c r="G5248" s="145"/>
    </row>
    <row r="5249">
      <c r="G5249" s="145"/>
    </row>
    <row r="5250">
      <c r="G5250" s="145"/>
    </row>
    <row r="5251">
      <c r="G5251" s="145"/>
    </row>
    <row r="5252">
      <c r="G5252" s="145"/>
    </row>
    <row r="5253">
      <c r="G5253" s="145"/>
    </row>
    <row r="5254">
      <c r="G5254" s="145"/>
    </row>
    <row r="5255">
      <c r="G5255" s="145"/>
    </row>
    <row r="5256">
      <c r="G5256" s="145"/>
    </row>
    <row r="5257">
      <c r="G5257" s="145"/>
    </row>
    <row r="5258">
      <c r="G5258" s="145"/>
    </row>
    <row r="5259">
      <c r="G5259" s="145"/>
    </row>
    <row r="5260">
      <c r="G5260" s="145"/>
    </row>
    <row r="5261">
      <c r="G5261" s="145"/>
    </row>
    <row r="5262">
      <c r="G5262" s="145"/>
    </row>
    <row r="5263">
      <c r="G5263" s="145"/>
    </row>
    <row r="5264">
      <c r="G5264" s="145"/>
    </row>
    <row r="5265">
      <c r="G5265" s="145"/>
    </row>
    <row r="5266">
      <c r="G5266" s="145"/>
    </row>
    <row r="5267">
      <c r="G5267" s="145"/>
    </row>
    <row r="5268">
      <c r="G5268" s="145"/>
    </row>
    <row r="5269">
      <c r="G5269" s="145"/>
    </row>
    <row r="5270">
      <c r="G5270" s="145"/>
    </row>
    <row r="5271">
      <c r="G5271" s="145"/>
    </row>
    <row r="5272">
      <c r="G5272" s="145"/>
    </row>
    <row r="5273">
      <c r="G5273" s="145"/>
    </row>
    <row r="5274">
      <c r="G5274" s="145"/>
    </row>
    <row r="5275">
      <c r="G5275" s="145"/>
    </row>
    <row r="5276">
      <c r="G5276" s="145"/>
    </row>
    <row r="5277">
      <c r="G5277" s="145"/>
    </row>
    <row r="5278">
      <c r="G5278" s="145"/>
    </row>
    <row r="5279">
      <c r="G5279" s="145"/>
    </row>
    <row r="5280">
      <c r="G5280" s="145"/>
    </row>
    <row r="5281">
      <c r="G5281" s="145"/>
    </row>
    <row r="5282">
      <c r="G5282" s="145"/>
    </row>
    <row r="5283">
      <c r="G5283" s="145"/>
    </row>
    <row r="5284">
      <c r="G5284" s="145"/>
    </row>
    <row r="5285">
      <c r="G5285" s="145"/>
    </row>
    <row r="5286">
      <c r="G5286" s="145"/>
    </row>
    <row r="5287">
      <c r="G5287" s="145"/>
    </row>
    <row r="5288">
      <c r="G5288" s="145"/>
    </row>
    <row r="5289">
      <c r="G5289" s="145"/>
    </row>
    <row r="5290">
      <c r="G5290" s="145"/>
    </row>
    <row r="5291">
      <c r="G5291" s="145"/>
    </row>
    <row r="5292">
      <c r="G5292" s="145"/>
    </row>
    <row r="5293">
      <c r="G5293" s="145"/>
    </row>
    <row r="5294">
      <c r="G5294" s="145"/>
    </row>
    <row r="5295">
      <c r="G5295" s="145"/>
    </row>
    <row r="5296">
      <c r="G5296" s="145"/>
    </row>
    <row r="5297">
      <c r="G5297" s="145"/>
    </row>
    <row r="5298">
      <c r="G5298" s="145"/>
    </row>
    <row r="5299">
      <c r="G5299" s="145"/>
    </row>
    <row r="5300">
      <c r="G5300" s="145"/>
    </row>
    <row r="5301">
      <c r="G5301" s="145"/>
    </row>
    <row r="5302">
      <c r="G5302" s="145"/>
    </row>
    <row r="5303">
      <c r="G5303" s="145"/>
    </row>
    <row r="5304">
      <c r="G5304" s="145"/>
    </row>
    <row r="5305">
      <c r="G5305" s="145"/>
    </row>
    <row r="5306">
      <c r="G5306" s="145"/>
    </row>
    <row r="5307">
      <c r="G5307" s="145"/>
    </row>
    <row r="5308">
      <c r="G5308" s="145"/>
    </row>
    <row r="5309">
      <c r="G5309" s="145"/>
    </row>
    <row r="5310">
      <c r="G5310" s="145"/>
    </row>
    <row r="5311">
      <c r="G5311" s="145"/>
    </row>
    <row r="5312">
      <c r="G5312" s="145"/>
    </row>
    <row r="5313">
      <c r="G5313" s="145"/>
    </row>
    <row r="5314">
      <c r="G5314" s="145"/>
    </row>
    <row r="5315">
      <c r="G5315" s="145"/>
    </row>
    <row r="5316">
      <c r="G5316" s="145"/>
    </row>
    <row r="5317">
      <c r="G5317" s="145"/>
    </row>
    <row r="5318">
      <c r="G5318" s="145"/>
    </row>
    <row r="5319">
      <c r="G5319" s="145"/>
    </row>
    <row r="5320">
      <c r="G5320" s="145"/>
    </row>
    <row r="5321">
      <c r="G5321" s="145"/>
    </row>
    <row r="5322">
      <c r="G5322" s="145"/>
    </row>
    <row r="5323">
      <c r="G5323" s="145"/>
    </row>
    <row r="5324">
      <c r="G5324" s="145"/>
    </row>
    <row r="5325">
      <c r="G5325" s="145"/>
    </row>
    <row r="5326">
      <c r="G5326" s="145"/>
    </row>
    <row r="5327">
      <c r="G5327" s="145"/>
    </row>
    <row r="5328">
      <c r="G5328" s="145"/>
    </row>
    <row r="5329">
      <c r="G5329" s="145"/>
    </row>
    <row r="5330">
      <c r="G5330" s="145"/>
    </row>
    <row r="5331">
      <c r="G5331" s="145"/>
    </row>
    <row r="5332">
      <c r="G5332" s="145"/>
    </row>
    <row r="5333">
      <c r="G5333" s="145"/>
    </row>
    <row r="5334">
      <c r="G5334" s="145"/>
    </row>
    <row r="5335">
      <c r="G5335" s="145"/>
    </row>
    <row r="5336">
      <c r="G5336" s="145"/>
    </row>
    <row r="5337">
      <c r="G5337" s="145"/>
    </row>
    <row r="5338">
      <c r="G5338" s="145"/>
    </row>
    <row r="5339">
      <c r="G5339" s="145"/>
    </row>
    <row r="5340">
      <c r="G5340" s="145"/>
    </row>
    <row r="5341">
      <c r="G5341" s="145"/>
    </row>
    <row r="5342">
      <c r="G5342" s="145"/>
    </row>
    <row r="5343">
      <c r="G5343" s="145"/>
    </row>
    <row r="5344">
      <c r="G5344" s="145"/>
    </row>
    <row r="5345">
      <c r="G5345" s="145"/>
    </row>
    <row r="5346">
      <c r="G5346" s="145"/>
    </row>
    <row r="5347">
      <c r="G5347" s="145"/>
    </row>
    <row r="5348">
      <c r="G5348" s="145"/>
    </row>
    <row r="5349">
      <c r="G5349" s="145"/>
    </row>
    <row r="5350">
      <c r="G5350" s="145"/>
    </row>
    <row r="5351">
      <c r="G5351" s="145"/>
    </row>
    <row r="5352">
      <c r="G5352" s="145"/>
    </row>
    <row r="5353">
      <c r="G5353" s="145"/>
    </row>
    <row r="5354">
      <c r="G5354" s="145"/>
    </row>
    <row r="5355">
      <c r="G5355" s="145"/>
    </row>
    <row r="5356">
      <c r="G5356" s="145"/>
    </row>
    <row r="5357">
      <c r="G5357" s="145"/>
    </row>
    <row r="5358">
      <c r="G5358" s="145"/>
    </row>
    <row r="5359">
      <c r="G5359" s="145"/>
    </row>
    <row r="5360">
      <c r="G5360" s="145"/>
    </row>
    <row r="5361">
      <c r="G5361" s="145"/>
    </row>
    <row r="5362">
      <c r="G5362" s="145"/>
    </row>
    <row r="5363">
      <c r="G5363" s="145"/>
    </row>
    <row r="5364">
      <c r="G5364" s="145"/>
    </row>
    <row r="5365">
      <c r="G5365" s="145"/>
    </row>
    <row r="5366">
      <c r="G5366" s="145"/>
    </row>
    <row r="5367">
      <c r="G5367" s="145"/>
    </row>
    <row r="5368">
      <c r="G5368" s="145"/>
    </row>
    <row r="5369">
      <c r="G5369" s="145"/>
    </row>
    <row r="5370">
      <c r="G5370" s="145"/>
    </row>
    <row r="5371">
      <c r="G5371" s="145"/>
    </row>
    <row r="5372">
      <c r="G5372" s="145"/>
    </row>
    <row r="5373">
      <c r="G5373" s="145"/>
    </row>
    <row r="5374">
      <c r="G5374" s="145"/>
    </row>
    <row r="5375">
      <c r="G5375" s="145"/>
    </row>
    <row r="5376">
      <c r="G5376" s="145"/>
    </row>
    <row r="5377">
      <c r="G5377" s="145"/>
    </row>
    <row r="5378">
      <c r="G5378" s="145"/>
    </row>
    <row r="5379">
      <c r="G5379" s="145"/>
    </row>
    <row r="5380">
      <c r="G5380" s="145"/>
    </row>
    <row r="5381">
      <c r="G5381" s="145"/>
    </row>
    <row r="5382">
      <c r="G5382" s="145"/>
    </row>
    <row r="5383">
      <c r="G5383" s="145"/>
    </row>
    <row r="5384">
      <c r="G5384" s="145"/>
    </row>
    <row r="5385">
      <c r="G5385" s="145"/>
    </row>
    <row r="5386">
      <c r="G5386" s="145"/>
    </row>
    <row r="5387">
      <c r="G5387" s="145"/>
    </row>
    <row r="5388">
      <c r="G5388" s="145"/>
    </row>
    <row r="5389">
      <c r="G5389" s="145"/>
    </row>
    <row r="5390">
      <c r="G5390" s="145"/>
    </row>
    <row r="5391">
      <c r="G5391" s="145"/>
    </row>
    <row r="5392">
      <c r="G5392" s="145"/>
    </row>
    <row r="5393">
      <c r="G5393" s="145"/>
    </row>
    <row r="5394">
      <c r="G5394" s="145"/>
    </row>
    <row r="5395">
      <c r="G5395" s="145"/>
    </row>
    <row r="5396">
      <c r="G5396" s="145"/>
    </row>
    <row r="5397">
      <c r="G5397" s="145"/>
    </row>
    <row r="5398">
      <c r="G5398" s="145"/>
    </row>
    <row r="5399">
      <c r="G5399" s="145"/>
    </row>
    <row r="5400">
      <c r="G5400" s="145"/>
    </row>
    <row r="5401">
      <c r="G5401" s="145"/>
    </row>
    <row r="5402">
      <c r="G5402" s="145"/>
    </row>
    <row r="5403">
      <c r="G5403" s="145"/>
    </row>
    <row r="5404">
      <c r="G5404" s="145"/>
    </row>
    <row r="5405">
      <c r="G5405" s="145"/>
    </row>
    <row r="5406">
      <c r="G5406" s="145"/>
    </row>
    <row r="5407">
      <c r="G5407" s="145"/>
    </row>
    <row r="5408">
      <c r="G5408" s="145"/>
    </row>
    <row r="5409">
      <c r="G5409" s="145"/>
    </row>
    <row r="5410">
      <c r="G5410" s="145"/>
    </row>
    <row r="5411">
      <c r="G5411" s="145"/>
    </row>
    <row r="5412">
      <c r="G5412" s="145"/>
    </row>
    <row r="5413">
      <c r="G5413" s="145"/>
    </row>
    <row r="5414">
      <c r="G5414" s="145"/>
    </row>
    <row r="5415">
      <c r="G5415" s="145"/>
    </row>
    <row r="5416">
      <c r="G5416" s="145"/>
    </row>
    <row r="5417">
      <c r="G5417" s="145"/>
    </row>
    <row r="5418">
      <c r="G5418" s="145"/>
    </row>
    <row r="5419">
      <c r="G5419" s="145"/>
    </row>
    <row r="5420">
      <c r="G5420" s="145"/>
    </row>
    <row r="5421">
      <c r="G5421" s="145"/>
    </row>
    <row r="5422">
      <c r="G5422" s="145"/>
    </row>
    <row r="5423">
      <c r="G5423" s="145"/>
    </row>
    <row r="5424">
      <c r="G5424" s="145"/>
    </row>
    <row r="5425">
      <c r="G5425" s="145"/>
    </row>
    <row r="5426">
      <c r="G5426" s="145"/>
    </row>
    <row r="5427">
      <c r="G5427" s="145"/>
    </row>
    <row r="5428">
      <c r="G5428" s="145"/>
    </row>
    <row r="5429">
      <c r="G5429" s="145"/>
    </row>
    <row r="5430">
      <c r="G5430" s="145"/>
    </row>
    <row r="5431">
      <c r="G5431" s="145"/>
    </row>
    <row r="5432">
      <c r="G5432" s="145"/>
    </row>
    <row r="5433">
      <c r="G5433" s="145"/>
    </row>
    <row r="5434">
      <c r="G5434" s="145"/>
    </row>
    <row r="5435">
      <c r="G5435" s="145"/>
    </row>
    <row r="5436">
      <c r="G5436" s="145"/>
    </row>
    <row r="5437">
      <c r="G5437" s="145"/>
    </row>
    <row r="5438">
      <c r="G5438" s="145"/>
    </row>
    <row r="5439">
      <c r="G5439" s="145"/>
    </row>
    <row r="5440">
      <c r="G5440" s="145"/>
    </row>
    <row r="5441">
      <c r="G5441" s="145"/>
    </row>
    <row r="5442">
      <c r="G5442" s="145"/>
    </row>
    <row r="5443">
      <c r="G5443" s="145"/>
    </row>
    <row r="5444">
      <c r="G5444" s="145"/>
    </row>
    <row r="5445">
      <c r="G5445" s="145"/>
    </row>
    <row r="5446">
      <c r="G5446" s="145"/>
    </row>
    <row r="5447">
      <c r="G5447" s="145"/>
    </row>
    <row r="5448">
      <c r="G5448" s="145"/>
    </row>
    <row r="5449">
      <c r="G5449" s="145"/>
    </row>
    <row r="5450">
      <c r="G5450" s="145"/>
    </row>
    <row r="5451">
      <c r="G5451" s="145"/>
    </row>
    <row r="5452">
      <c r="G5452" s="145"/>
    </row>
    <row r="5453">
      <c r="G5453" s="145"/>
    </row>
    <row r="5454">
      <c r="G5454" s="145"/>
    </row>
    <row r="5455">
      <c r="G5455" s="145"/>
    </row>
    <row r="5456">
      <c r="G5456" s="145"/>
    </row>
    <row r="5457">
      <c r="G5457" s="145"/>
    </row>
    <row r="5458">
      <c r="G5458" s="145"/>
    </row>
    <row r="5459">
      <c r="G5459" s="145"/>
    </row>
    <row r="5460">
      <c r="G5460" s="145"/>
    </row>
    <row r="5461">
      <c r="G5461" s="145"/>
    </row>
    <row r="5462">
      <c r="G5462" s="145"/>
    </row>
    <row r="5463">
      <c r="G5463" s="145"/>
    </row>
    <row r="5464">
      <c r="G5464" s="145"/>
    </row>
    <row r="5465">
      <c r="G5465" s="145"/>
    </row>
    <row r="5466">
      <c r="G5466" s="145"/>
    </row>
    <row r="5467">
      <c r="G5467" s="145"/>
    </row>
    <row r="5468">
      <c r="G5468" s="145"/>
    </row>
    <row r="5469">
      <c r="G5469" s="145"/>
    </row>
    <row r="5470">
      <c r="G5470" s="145"/>
    </row>
    <row r="5471">
      <c r="G5471" s="145"/>
    </row>
    <row r="5472">
      <c r="G5472" s="145"/>
    </row>
    <row r="5473">
      <c r="G5473" s="145"/>
    </row>
    <row r="5474">
      <c r="G5474" s="145"/>
    </row>
    <row r="5475">
      <c r="G5475" s="145"/>
    </row>
    <row r="5476">
      <c r="G5476" s="145"/>
    </row>
    <row r="5477">
      <c r="G5477" s="145"/>
    </row>
    <row r="5478">
      <c r="G5478" s="145"/>
    </row>
    <row r="5479">
      <c r="G5479" s="145"/>
    </row>
    <row r="5480">
      <c r="G5480" s="145"/>
    </row>
    <row r="5481">
      <c r="G5481" s="145"/>
    </row>
    <row r="5482">
      <c r="G5482" s="145"/>
    </row>
    <row r="5483">
      <c r="G5483" s="145"/>
    </row>
    <row r="5484">
      <c r="G5484" s="145"/>
    </row>
    <row r="5485">
      <c r="G5485" s="145"/>
    </row>
    <row r="5486">
      <c r="G5486" s="145"/>
    </row>
    <row r="5487">
      <c r="G5487" s="145"/>
    </row>
    <row r="5488">
      <c r="G5488" s="145"/>
    </row>
    <row r="5489">
      <c r="G5489" s="145"/>
    </row>
    <row r="5490">
      <c r="G5490" s="145"/>
    </row>
    <row r="5491">
      <c r="G5491" s="145"/>
    </row>
    <row r="5492">
      <c r="G5492" s="145"/>
    </row>
    <row r="5493">
      <c r="G5493" s="145"/>
    </row>
    <row r="5494">
      <c r="G5494" s="145"/>
    </row>
    <row r="5495">
      <c r="G5495" s="145"/>
    </row>
    <row r="5496">
      <c r="G5496" s="145"/>
    </row>
    <row r="5497">
      <c r="G5497" s="145"/>
    </row>
    <row r="5498">
      <c r="G5498" s="145"/>
    </row>
    <row r="5499">
      <c r="G5499" s="145"/>
    </row>
    <row r="5500">
      <c r="G5500" s="145"/>
    </row>
    <row r="5501">
      <c r="G5501" s="145"/>
    </row>
    <row r="5502">
      <c r="G5502" s="145"/>
    </row>
    <row r="5503">
      <c r="G5503" s="145"/>
    </row>
    <row r="5504">
      <c r="G5504" s="145"/>
    </row>
    <row r="5505">
      <c r="G5505" s="145"/>
    </row>
    <row r="5506">
      <c r="G5506" s="145"/>
    </row>
    <row r="5507">
      <c r="G5507" s="145"/>
    </row>
    <row r="5508">
      <c r="G5508" s="145"/>
    </row>
    <row r="5509">
      <c r="G5509" s="145"/>
    </row>
    <row r="5510">
      <c r="G5510" s="145"/>
    </row>
    <row r="5511">
      <c r="G5511" s="145"/>
    </row>
    <row r="5512">
      <c r="G5512" s="145"/>
    </row>
    <row r="5513">
      <c r="G5513" s="145"/>
    </row>
    <row r="5514">
      <c r="G5514" s="145"/>
    </row>
    <row r="5515">
      <c r="G5515" s="145"/>
    </row>
    <row r="5516">
      <c r="G5516" s="145"/>
    </row>
    <row r="5517">
      <c r="G5517" s="145"/>
    </row>
    <row r="5518">
      <c r="G5518" s="145"/>
    </row>
    <row r="5519">
      <c r="G5519" s="145"/>
    </row>
    <row r="5520">
      <c r="G5520" s="145"/>
    </row>
    <row r="5521">
      <c r="G5521" s="145"/>
    </row>
    <row r="5522">
      <c r="G5522" s="145"/>
    </row>
    <row r="5523">
      <c r="G5523" s="145"/>
    </row>
    <row r="5524">
      <c r="G5524" s="145"/>
    </row>
    <row r="5525">
      <c r="G5525" s="145"/>
    </row>
    <row r="5526">
      <c r="G5526" s="145"/>
    </row>
    <row r="5527">
      <c r="G5527" s="145"/>
    </row>
    <row r="5528">
      <c r="G5528" s="145"/>
    </row>
    <row r="5529">
      <c r="G5529" s="145"/>
    </row>
    <row r="5530">
      <c r="G5530" s="145"/>
    </row>
    <row r="5531">
      <c r="G5531" s="145"/>
    </row>
    <row r="5532">
      <c r="G5532" s="145"/>
    </row>
    <row r="5533">
      <c r="G5533" s="145"/>
    </row>
    <row r="5534">
      <c r="G5534" s="145"/>
    </row>
    <row r="5535">
      <c r="G5535" s="145"/>
    </row>
    <row r="5536">
      <c r="G5536" s="145"/>
    </row>
    <row r="5537">
      <c r="G5537" s="145"/>
    </row>
    <row r="5538">
      <c r="G5538" s="145"/>
    </row>
    <row r="5539">
      <c r="G5539" s="145"/>
    </row>
    <row r="5540">
      <c r="G5540" s="145"/>
    </row>
    <row r="5541">
      <c r="G5541" s="145"/>
    </row>
    <row r="5542">
      <c r="G5542" s="145"/>
    </row>
    <row r="5543">
      <c r="G5543" s="145"/>
    </row>
    <row r="5544">
      <c r="G5544" s="145"/>
    </row>
    <row r="5545">
      <c r="G5545" s="145"/>
    </row>
    <row r="5546">
      <c r="G5546" s="145"/>
    </row>
    <row r="5547">
      <c r="G5547" s="145"/>
    </row>
    <row r="5548">
      <c r="G5548" s="145"/>
    </row>
    <row r="5549">
      <c r="G5549" s="145"/>
    </row>
    <row r="5550">
      <c r="G5550" s="145"/>
    </row>
    <row r="5551">
      <c r="G5551" s="145"/>
    </row>
    <row r="5552">
      <c r="G5552" s="145"/>
    </row>
    <row r="5553">
      <c r="G5553" s="145"/>
    </row>
    <row r="5554">
      <c r="G5554" s="145"/>
    </row>
    <row r="5555">
      <c r="G5555" s="145"/>
    </row>
    <row r="5556">
      <c r="G5556" s="145"/>
    </row>
    <row r="5557">
      <c r="G5557" s="145"/>
    </row>
    <row r="5558">
      <c r="G5558" s="145"/>
    </row>
    <row r="5559">
      <c r="G5559" s="145"/>
    </row>
    <row r="5560">
      <c r="G5560" s="145"/>
    </row>
    <row r="5561">
      <c r="G5561" s="145"/>
    </row>
    <row r="5562">
      <c r="G5562" s="145"/>
    </row>
    <row r="5563">
      <c r="G5563" s="145"/>
    </row>
    <row r="5564">
      <c r="G5564" s="145"/>
    </row>
    <row r="5565">
      <c r="G5565" s="145"/>
    </row>
    <row r="5566">
      <c r="G5566" s="145"/>
    </row>
    <row r="5567">
      <c r="G5567" s="145"/>
    </row>
    <row r="5568">
      <c r="G5568" s="145"/>
    </row>
    <row r="5569">
      <c r="G5569" s="145"/>
    </row>
    <row r="5570">
      <c r="G5570" s="145"/>
    </row>
    <row r="5571">
      <c r="G5571" s="145"/>
    </row>
    <row r="5572">
      <c r="G5572" s="145"/>
    </row>
    <row r="5573">
      <c r="G5573" s="145"/>
    </row>
    <row r="5574">
      <c r="G5574" s="145"/>
    </row>
    <row r="5575">
      <c r="G5575" s="145"/>
    </row>
    <row r="5576">
      <c r="G5576" s="145"/>
    </row>
    <row r="5577">
      <c r="G5577" s="145"/>
    </row>
    <row r="5578">
      <c r="G5578" s="145"/>
    </row>
    <row r="5579">
      <c r="G5579" s="145"/>
    </row>
    <row r="5580">
      <c r="G5580" s="145"/>
    </row>
    <row r="5581">
      <c r="G5581" s="145"/>
    </row>
    <row r="5582">
      <c r="G5582" s="145"/>
    </row>
    <row r="5583">
      <c r="G5583" s="145"/>
    </row>
    <row r="5584">
      <c r="G5584" s="145"/>
    </row>
    <row r="5585">
      <c r="G5585" s="145"/>
    </row>
    <row r="5586">
      <c r="G5586" s="145"/>
    </row>
    <row r="5587">
      <c r="G5587" s="145"/>
    </row>
    <row r="5588">
      <c r="G5588" s="145"/>
    </row>
    <row r="5589">
      <c r="G5589" s="145"/>
    </row>
    <row r="5590">
      <c r="G5590" s="145"/>
    </row>
    <row r="5591">
      <c r="G5591" s="145"/>
    </row>
    <row r="5592">
      <c r="G5592" s="145"/>
    </row>
    <row r="5593">
      <c r="G5593" s="145"/>
    </row>
    <row r="5594">
      <c r="G5594" s="145"/>
    </row>
    <row r="5595">
      <c r="G5595" s="145"/>
    </row>
    <row r="5596">
      <c r="G5596" s="145"/>
    </row>
    <row r="5597">
      <c r="G5597" s="145"/>
    </row>
    <row r="5598">
      <c r="G5598" s="145"/>
    </row>
    <row r="5599">
      <c r="G5599" s="145"/>
    </row>
    <row r="5600">
      <c r="G5600" s="145"/>
    </row>
    <row r="5601">
      <c r="G5601" s="145"/>
    </row>
    <row r="5602">
      <c r="G5602" s="145"/>
    </row>
    <row r="5603">
      <c r="G5603" s="145"/>
    </row>
    <row r="5604">
      <c r="G5604" s="145"/>
    </row>
    <row r="5605">
      <c r="G5605" s="145"/>
    </row>
    <row r="5606">
      <c r="G5606" s="145"/>
    </row>
    <row r="5607">
      <c r="G5607" s="145"/>
    </row>
    <row r="5608">
      <c r="G5608" s="145"/>
    </row>
    <row r="5609">
      <c r="G5609" s="145"/>
    </row>
    <row r="5610">
      <c r="G5610" s="145"/>
    </row>
    <row r="5611">
      <c r="G5611" s="145"/>
    </row>
    <row r="5612">
      <c r="G5612" s="145"/>
    </row>
    <row r="5613">
      <c r="G5613" s="145"/>
    </row>
    <row r="5614">
      <c r="G5614" s="145"/>
    </row>
    <row r="5615">
      <c r="G5615" s="145"/>
    </row>
    <row r="5616">
      <c r="G5616" s="145"/>
    </row>
    <row r="5617">
      <c r="G5617" s="145"/>
    </row>
    <row r="5618">
      <c r="G5618" s="145"/>
    </row>
    <row r="5619">
      <c r="G5619" s="145"/>
    </row>
    <row r="5620">
      <c r="G5620" s="145"/>
    </row>
    <row r="5621">
      <c r="G5621" s="145"/>
    </row>
    <row r="5622">
      <c r="G5622" s="145"/>
    </row>
    <row r="5623">
      <c r="G5623" s="145"/>
    </row>
    <row r="5624">
      <c r="G5624" s="145"/>
    </row>
    <row r="5625">
      <c r="G5625" s="145"/>
    </row>
    <row r="5626">
      <c r="G5626" s="145"/>
    </row>
    <row r="5627">
      <c r="G5627" s="145"/>
    </row>
    <row r="5628">
      <c r="G5628" s="145"/>
    </row>
    <row r="5629">
      <c r="G5629" s="145"/>
    </row>
    <row r="5630">
      <c r="G5630" s="145"/>
    </row>
    <row r="5631">
      <c r="G5631" s="145"/>
    </row>
    <row r="5632">
      <c r="G5632" s="145"/>
    </row>
    <row r="5633">
      <c r="G5633" s="145"/>
    </row>
    <row r="5634">
      <c r="G5634" s="145"/>
    </row>
    <row r="5635">
      <c r="G5635" s="145"/>
    </row>
    <row r="5636">
      <c r="G5636" s="145"/>
    </row>
    <row r="5637">
      <c r="G5637" s="145"/>
    </row>
    <row r="5638">
      <c r="G5638" s="145"/>
    </row>
    <row r="5639">
      <c r="G5639" s="145"/>
    </row>
    <row r="5640">
      <c r="G5640" s="145"/>
    </row>
    <row r="5641">
      <c r="G5641" s="145"/>
    </row>
    <row r="5642">
      <c r="G5642" s="145"/>
    </row>
    <row r="5643">
      <c r="G5643" s="145"/>
    </row>
    <row r="5644">
      <c r="G5644" s="145"/>
    </row>
    <row r="5645">
      <c r="G5645" s="145"/>
    </row>
    <row r="5646">
      <c r="G5646" s="145"/>
    </row>
    <row r="5647">
      <c r="G5647" s="145"/>
    </row>
    <row r="5648">
      <c r="G5648" s="145"/>
    </row>
    <row r="5649">
      <c r="G5649" s="145"/>
    </row>
    <row r="5650">
      <c r="G5650" s="145"/>
    </row>
    <row r="5651">
      <c r="G5651" s="145"/>
    </row>
    <row r="5652">
      <c r="G5652" s="145"/>
    </row>
    <row r="5653">
      <c r="G5653" s="145"/>
    </row>
    <row r="5654">
      <c r="G5654" s="145"/>
    </row>
    <row r="5655">
      <c r="G5655" s="145"/>
    </row>
    <row r="5656">
      <c r="G5656" s="145"/>
    </row>
    <row r="5657">
      <c r="G5657" s="145"/>
    </row>
    <row r="5658">
      <c r="G5658" s="145"/>
    </row>
    <row r="5659">
      <c r="G5659" s="145"/>
    </row>
    <row r="5660">
      <c r="G5660" s="145"/>
    </row>
    <row r="5661">
      <c r="G5661" s="145"/>
    </row>
    <row r="5662">
      <c r="G5662" s="145"/>
    </row>
    <row r="5663">
      <c r="G5663" s="145"/>
    </row>
    <row r="5664">
      <c r="G5664" s="145"/>
    </row>
    <row r="5665">
      <c r="G5665" s="145"/>
    </row>
    <row r="5666">
      <c r="G5666" s="145"/>
    </row>
    <row r="5667">
      <c r="G5667" s="145"/>
    </row>
    <row r="5668">
      <c r="G5668" s="145"/>
    </row>
    <row r="5669">
      <c r="G5669" s="145"/>
    </row>
    <row r="5670">
      <c r="G5670" s="145"/>
    </row>
    <row r="5671">
      <c r="G5671" s="145"/>
    </row>
    <row r="5672">
      <c r="G5672" s="145"/>
    </row>
    <row r="5673">
      <c r="G5673" s="145"/>
    </row>
    <row r="5674">
      <c r="G5674" s="145"/>
    </row>
    <row r="5675">
      <c r="G5675" s="145"/>
    </row>
    <row r="5676">
      <c r="G5676" s="145"/>
    </row>
    <row r="5677">
      <c r="G5677" s="145"/>
    </row>
    <row r="5678">
      <c r="G5678" s="145"/>
    </row>
    <row r="5679">
      <c r="G5679" s="145"/>
    </row>
    <row r="5680">
      <c r="G5680" s="145"/>
    </row>
    <row r="5681">
      <c r="G5681" s="145"/>
    </row>
    <row r="5682">
      <c r="G5682" s="145"/>
    </row>
    <row r="5683">
      <c r="G5683" s="145"/>
    </row>
    <row r="5684">
      <c r="G5684" s="145"/>
    </row>
    <row r="5685">
      <c r="G5685" s="145"/>
    </row>
    <row r="5686">
      <c r="G5686" s="145"/>
    </row>
    <row r="5687">
      <c r="G5687" s="145"/>
    </row>
    <row r="5688">
      <c r="G5688" s="145"/>
    </row>
    <row r="5689">
      <c r="G5689" s="145"/>
    </row>
    <row r="5690">
      <c r="G5690" s="145"/>
    </row>
    <row r="5691">
      <c r="G5691" s="145"/>
    </row>
    <row r="5692">
      <c r="G5692" s="145"/>
    </row>
    <row r="5693">
      <c r="G5693" s="145"/>
    </row>
    <row r="5694">
      <c r="G5694" s="145"/>
    </row>
    <row r="5695">
      <c r="G5695" s="145"/>
    </row>
    <row r="5696">
      <c r="G5696" s="145"/>
    </row>
    <row r="5697">
      <c r="G5697" s="145"/>
    </row>
    <row r="5698">
      <c r="G5698" s="145"/>
    </row>
    <row r="5699">
      <c r="G5699" s="145"/>
    </row>
    <row r="5700">
      <c r="G5700" s="145"/>
    </row>
    <row r="5701">
      <c r="G5701" s="145"/>
    </row>
    <row r="5702">
      <c r="G5702" s="145"/>
    </row>
    <row r="5703">
      <c r="G5703" s="145"/>
    </row>
    <row r="5704">
      <c r="G5704" s="145"/>
    </row>
    <row r="5705">
      <c r="G5705" s="145"/>
    </row>
    <row r="5706">
      <c r="G5706" s="145"/>
    </row>
    <row r="5707">
      <c r="G5707" s="145"/>
    </row>
    <row r="5708">
      <c r="G5708" s="145"/>
    </row>
    <row r="5709">
      <c r="G5709" s="145"/>
    </row>
    <row r="5710">
      <c r="G5710" s="145"/>
    </row>
    <row r="5711">
      <c r="G5711" s="145"/>
    </row>
    <row r="5712">
      <c r="G5712" s="145"/>
    </row>
    <row r="5713">
      <c r="G5713" s="145"/>
    </row>
    <row r="5714">
      <c r="G5714" s="145"/>
    </row>
    <row r="5715">
      <c r="G5715" s="145"/>
    </row>
    <row r="5716">
      <c r="G5716" s="145"/>
    </row>
    <row r="5717">
      <c r="G5717" s="145"/>
    </row>
    <row r="5718">
      <c r="G5718" s="145"/>
    </row>
    <row r="5719">
      <c r="G5719" s="145"/>
    </row>
    <row r="5720">
      <c r="G5720" s="145"/>
    </row>
    <row r="5721">
      <c r="G5721" s="145"/>
    </row>
    <row r="5722">
      <c r="G5722" s="145"/>
    </row>
    <row r="5723">
      <c r="G5723" s="145"/>
    </row>
    <row r="5724">
      <c r="G5724" s="145"/>
    </row>
    <row r="5725">
      <c r="G5725" s="145"/>
    </row>
    <row r="5726">
      <c r="G5726" s="145"/>
    </row>
    <row r="5727">
      <c r="G5727" s="145"/>
    </row>
    <row r="5728">
      <c r="G5728" s="145"/>
    </row>
    <row r="5729">
      <c r="G5729" s="145"/>
    </row>
    <row r="5730">
      <c r="G5730" s="145"/>
    </row>
    <row r="5731">
      <c r="G5731" s="145"/>
    </row>
    <row r="5732">
      <c r="G5732" s="145"/>
    </row>
    <row r="5733">
      <c r="G5733" s="145"/>
    </row>
    <row r="5734">
      <c r="G5734" s="145"/>
    </row>
    <row r="5735">
      <c r="G5735" s="145"/>
    </row>
    <row r="5736">
      <c r="G5736" s="145"/>
    </row>
    <row r="5737">
      <c r="G5737" s="145"/>
    </row>
    <row r="5738">
      <c r="G5738" s="145"/>
    </row>
    <row r="5739">
      <c r="G5739" s="145"/>
    </row>
    <row r="5740">
      <c r="G5740" s="145"/>
    </row>
    <row r="5741">
      <c r="G5741" s="145"/>
    </row>
    <row r="5742">
      <c r="G5742" s="145"/>
    </row>
    <row r="5743">
      <c r="G5743" s="145"/>
    </row>
    <row r="5744">
      <c r="G5744" s="145"/>
    </row>
    <row r="5745">
      <c r="G5745" s="145"/>
    </row>
    <row r="5746">
      <c r="G5746" s="145"/>
    </row>
    <row r="5747">
      <c r="G5747" s="145"/>
    </row>
    <row r="5748">
      <c r="G5748" s="145"/>
    </row>
    <row r="5749">
      <c r="G5749" s="145"/>
    </row>
    <row r="5750">
      <c r="G5750" s="145"/>
    </row>
    <row r="5751">
      <c r="G5751" s="145"/>
    </row>
    <row r="5752">
      <c r="G5752" s="145"/>
    </row>
    <row r="5753">
      <c r="G5753" s="145"/>
    </row>
    <row r="5754">
      <c r="G5754" s="145"/>
    </row>
    <row r="5755">
      <c r="G5755" s="145"/>
    </row>
    <row r="5756">
      <c r="G5756" s="145"/>
    </row>
    <row r="5757">
      <c r="G5757" s="145"/>
    </row>
    <row r="5758">
      <c r="G5758" s="145"/>
    </row>
    <row r="5759">
      <c r="G5759" s="145"/>
    </row>
    <row r="5760">
      <c r="G5760" s="145"/>
    </row>
    <row r="5761">
      <c r="G5761" s="145"/>
    </row>
    <row r="5762">
      <c r="G5762" s="145"/>
    </row>
    <row r="5763">
      <c r="G5763" s="145"/>
    </row>
    <row r="5764">
      <c r="G5764" s="145"/>
    </row>
    <row r="5765">
      <c r="G5765" s="145"/>
    </row>
    <row r="5766">
      <c r="G5766" s="145"/>
    </row>
    <row r="5767">
      <c r="G5767" s="145"/>
    </row>
    <row r="5768">
      <c r="G5768" s="145"/>
    </row>
    <row r="5769">
      <c r="G5769" s="145"/>
    </row>
    <row r="5770">
      <c r="G5770" s="145"/>
    </row>
    <row r="5771">
      <c r="G5771" s="145"/>
    </row>
    <row r="5772">
      <c r="G5772" s="145"/>
    </row>
    <row r="5773">
      <c r="G5773" s="145"/>
    </row>
    <row r="5774">
      <c r="G5774" s="145"/>
    </row>
    <row r="5775">
      <c r="G5775" s="145"/>
    </row>
    <row r="5776">
      <c r="G5776" s="145"/>
    </row>
    <row r="5777">
      <c r="G5777" s="145"/>
    </row>
    <row r="5778">
      <c r="G5778" s="145"/>
    </row>
    <row r="5779">
      <c r="G5779" s="145"/>
    </row>
    <row r="5780">
      <c r="G5780" s="145"/>
    </row>
    <row r="5781">
      <c r="G5781" s="145"/>
    </row>
    <row r="5782">
      <c r="G5782" s="145"/>
    </row>
    <row r="5783">
      <c r="G5783" s="145"/>
    </row>
    <row r="5784">
      <c r="G5784" s="145"/>
    </row>
    <row r="5785">
      <c r="G5785" s="145"/>
    </row>
    <row r="5786">
      <c r="G5786" s="145"/>
    </row>
    <row r="5787">
      <c r="G5787" s="145"/>
    </row>
    <row r="5788">
      <c r="G5788" s="145"/>
    </row>
    <row r="5789">
      <c r="G5789" s="145"/>
    </row>
    <row r="5790">
      <c r="G5790" s="145"/>
    </row>
    <row r="5791">
      <c r="G5791" s="145"/>
    </row>
    <row r="5792">
      <c r="G5792" s="145"/>
    </row>
    <row r="5793">
      <c r="G5793" s="145"/>
    </row>
    <row r="5794">
      <c r="G5794" s="145"/>
    </row>
    <row r="5795">
      <c r="G5795" s="145"/>
    </row>
    <row r="5796">
      <c r="G5796" s="145"/>
    </row>
    <row r="5797">
      <c r="G5797" s="145"/>
    </row>
    <row r="5798">
      <c r="G5798" s="145"/>
    </row>
    <row r="5799">
      <c r="G5799" s="145"/>
    </row>
    <row r="5800">
      <c r="G5800" s="145"/>
    </row>
    <row r="5801">
      <c r="G5801" s="145"/>
    </row>
    <row r="5802">
      <c r="G5802" s="145"/>
    </row>
    <row r="5803">
      <c r="G5803" s="145"/>
    </row>
    <row r="5804">
      <c r="G5804" s="145"/>
    </row>
    <row r="5805">
      <c r="G5805" s="145"/>
    </row>
    <row r="5806">
      <c r="G5806" s="145"/>
    </row>
    <row r="5807">
      <c r="G5807" s="145"/>
    </row>
    <row r="5808">
      <c r="G5808" s="145"/>
    </row>
    <row r="5809">
      <c r="G5809" s="145"/>
    </row>
    <row r="5810">
      <c r="G5810" s="145"/>
    </row>
    <row r="5811">
      <c r="G5811" s="145"/>
    </row>
    <row r="5812">
      <c r="G5812" s="145"/>
    </row>
    <row r="5813">
      <c r="G5813" s="145"/>
    </row>
    <row r="5814">
      <c r="G5814" s="145"/>
    </row>
    <row r="5815">
      <c r="G5815" s="145"/>
    </row>
    <row r="5816">
      <c r="G5816" s="145"/>
    </row>
    <row r="5817">
      <c r="G5817" s="145"/>
    </row>
    <row r="5818">
      <c r="G5818" s="145"/>
    </row>
    <row r="5819">
      <c r="G5819" s="145"/>
    </row>
    <row r="5820">
      <c r="G5820" s="145"/>
    </row>
    <row r="5821">
      <c r="G5821" s="145"/>
    </row>
    <row r="5822">
      <c r="G5822" s="145"/>
    </row>
    <row r="5823">
      <c r="G5823" s="145"/>
    </row>
    <row r="5824">
      <c r="G5824" s="145"/>
    </row>
    <row r="5825">
      <c r="G5825" s="145"/>
    </row>
    <row r="5826">
      <c r="G5826" s="145"/>
    </row>
    <row r="5827">
      <c r="G5827" s="145"/>
    </row>
    <row r="5828">
      <c r="G5828" s="145"/>
    </row>
    <row r="5829">
      <c r="G5829" s="145"/>
    </row>
    <row r="5830">
      <c r="G5830" s="145"/>
    </row>
    <row r="5831">
      <c r="G5831" s="145"/>
    </row>
    <row r="5832">
      <c r="G5832" s="145"/>
    </row>
    <row r="5833">
      <c r="G5833" s="145"/>
    </row>
    <row r="5834">
      <c r="G5834" s="145"/>
    </row>
    <row r="5835">
      <c r="G5835" s="145"/>
    </row>
    <row r="5836">
      <c r="G5836" s="145"/>
    </row>
    <row r="5837">
      <c r="G5837" s="145"/>
    </row>
    <row r="5838">
      <c r="G5838" s="145"/>
    </row>
    <row r="5839">
      <c r="G5839" s="145"/>
    </row>
    <row r="5840">
      <c r="G5840" s="145"/>
    </row>
    <row r="5841">
      <c r="G5841" s="145"/>
    </row>
    <row r="5842">
      <c r="G5842" s="145"/>
    </row>
    <row r="5843">
      <c r="G5843" s="145"/>
    </row>
    <row r="5844">
      <c r="G5844" s="145"/>
    </row>
    <row r="5845">
      <c r="G5845" s="145"/>
    </row>
    <row r="5846">
      <c r="G5846" s="145"/>
    </row>
    <row r="5847">
      <c r="G5847" s="145"/>
    </row>
    <row r="5848">
      <c r="G5848" s="145"/>
    </row>
    <row r="5849">
      <c r="G5849" s="145"/>
    </row>
    <row r="5850">
      <c r="G5850" s="145"/>
    </row>
    <row r="5851">
      <c r="G5851" s="145"/>
    </row>
    <row r="5852">
      <c r="G5852" s="145"/>
    </row>
    <row r="5853">
      <c r="G5853" s="145"/>
    </row>
    <row r="5854">
      <c r="G5854" s="145"/>
    </row>
    <row r="5855">
      <c r="G5855" s="145"/>
    </row>
    <row r="5856">
      <c r="G5856" s="145"/>
    </row>
    <row r="5857">
      <c r="G5857" s="145"/>
    </row>
    <row r="5858">
      <c r="G5858" s="145"/>
    </row>
    <row r="5859">
      <c r="G5859" s="145"/>
    </row>
    <row r="5860">
      <c r="G5860" s="145"/>
    </row>
    <row r="5861">
      <c r="G5861" s="145"/>
    </row>
    <row r="5862">
      <c r="G5862" s="145"/>
    </row>
    <row r="5863">
      <c r="G5863" s="145"/>
    </row>
    <row r="5864">
      <c r="G5864" s="145"/>
    </row>
    <row r="5865">
      <c r="G5865" s="145"/>
    </row>
    <row r="5866">
      <c r="G5866" s="145"/>
    </row>
    <row r="5867">
      <c r="G5867" s="145"/>
    </row>
    <row r="5868">
      <c r="G5868" s="145"/>
    </row>
    <row r="5869">
      <c r="G5869" s="145"/>
    </row>
    <row r="5870">
      <c r="G5870" s="145"/>
    </row>
    <row r="5871">
      <c r="G5871" s="145"/>
    </row>
    <row r="5872">
      <c r="G5872" s="145"/>
    </row>
    <row r="5873">
      <c r="G5873" s="145"/>
    </row>
    <row r="5874">
      <c r="G5874" s="145"/>
    </row>
    <row r="5875">
      <c r="G5875" s="145"/>
    </row>
    <row r="5876">
      <c r="G5876" s="145"/>
    </row>
    <row r="5877">
      <c r="G5877" s="145"/>
    </row>
    <row r="5878">
      <c r="G5878" s="145"/>
    </row>
    <row r="5879">
      <c r="G5879" s="145"/>
    </row>
    <row r="5880">
      <c r="G5880" s="145"/>
    </row>
    <row r="5881">
      <c r="G5881" s="145"/>
    </row>
    <row r="5882">
      <c r="G5882" s="145"/>
    </row>
    <row r="5883">
      <c r="G5883" s="145"/>
    </row>
    <row r="5884">
      <c r="G5884" s="145"/>
    </row>
    <row r="5885">
      <c r="G5885" s="145"/>
    </row>
    <row r="5886">
      <c r="G5886" s="145"/>
    </row>
    <row r="5887">
      <c r="G5887" s="145"/>
    </row>
    <row r="5888">
      <c r="G5888" s="145"/>
    </row>
    <row r="5889">
      <c r="G5889" s="145"/>
    </row>
    <row r="5890">
      <c r="G5890" s="145"/>
    </row>
    <row r="5891">
      <c r="G5891" s="145"/>
    </row>
    <row r="5892">
      <c r="G5892" s="145"/>
    </row>
    <row r="5893">
      <c r="G5893" s="145"/>
    </row>
    <row r="5894">
      <c r="G5894" s="145"/>
    </row>
    <row r="5895">
      <c r="G5895" s="145"/>
    </row>
    <row r="5896">
      <c r="G5896" s="145"/>
    </row>
    <row r="5897">
      <c r="G5897" s="145"/>
    </row>
    <row r="5898">
      <c r="G5898" s="145"/>
    </row>
    <row r="5899">
      <c r="G5899" s="145"/>
    </row>
    <row r="5900">
      <c r="G5900" s="145"/>
    </row>
    <row r="5901">
      <c r="G5901" s="145"/>
    </row>
    <row r="5902">
      <c r="G5902" s="145"/>
    </row>
    <row r="5903">
      <c r="G5903" s="145"/>
    </row>
    <row r="5904">
      <c r="G5904" s="145"/>
    </row>
    <row r="5905">
      <c r="G5905" s="145"/>
    </row>
    <row r="5906">
      <c r="G5906" s="145"/>
    </row>
    <row r="5907">
      <c r="G5907" s="145"/>
    </row>
    <row r="5908">
      <c r="G5908" s="145"/>
    </row>
    <row r="5909">
      <c r="G5909" s="145"/>
    </row>
    <row r="5910">
      <c r="G5910" s="145"/>
    </row>
    <row r="5911">
      <c r="G5911" s="145"/>
    </row>
    <row r="5912">
      <c r="G5912" s="145"/>
    </row>
    <row r="5913">
      <c r="G5913" s="145"/>
    </row>
    <row r="5914">
      <c r="G5914" s="145"/>
    </row>
    <row r="5915">
      <c r="G5915" s="145"/>
    </row>
    <row r="5916">
      <c r="G5916" s="145"/>
    </row>
    <row r="5917">
      <c r="G5917" s="145"/>
    </row>
    <row r="5918">
      <c r="G5918" s="145"/>
    </row>
    <row r="5919">
      <c r="G5919" s="145"/>
    </row>
    <row r="5920">
      <c r="G5920" s="145"/>
    </row>
    <row r="5921">
      <c r="G5921" s="145"/>
    </row>
    <row r="5922">
      <c r="G5922" s="145"/>
    </row>
    <row r="5923">
      <c r="G5923" s="145"/>
    </row>
    <row r="5924">
      <c r="G5924" s="145"/>
    </row>
    <row r="5925">
      <c r="G5925" s="145"/>
    </row>
    <row r="5926">
      <c r="G5926" s="145"/>
    </row>
    <row r="5927">
      <c r="G5927" s="145"/>
    </row>
    <row r="5928">
      <c r="G5928" s="145"/>
    </row>
    <row r="5929">
      <c r="G5929" s="145"/>
    </row>
    <row r="5930">
      <c r="G5930" s="145"/>
    </row>
    <row r="5931">
      <c r="G5931" s="145"/>
    </row>
    <row r="5932">
      <c r="G5932" s="145"/>
    </row>
    <row r="5933">
      <c r="G5933" s="145"/>
    </row>
    <row r="5934">
      <c r="G5934" s="145"/>
    </row>
    <row r="5935">
      <c r="G5935" s="145"/>
    </row>
    <row r="5936">
      <c r="G5936" s="145"/>
    </row>
    <row r="5937">
      <c r="G5937" s="145"/>
    </row>
    <row r="5938">
      <c r="G5938" s="145"/>
    </row>
    <row r="5939">
      <c r="G5939" s="145"/>
    </row>
    <row r="5940">
      <c r="G5940" s="145"/>
    </row>
    <row r="5941">
      <c r="G5941" s="145"/>
    </row>
    <row r="5942">
      <c r="G5942" s="145"/>
    </row>
    <row r="5943">
      <c r="G5943" s="145"/>
    </row>
    <row r="5944">
      <c r="G5944" s="145"/>
    </row>
    <row r="5945">
      <c r="G5945" s="145"/>
    </row>
    <row r="5946">
      <c r="G5946" s="145"/>
    </row>
    <row r="5947">
      <c r="G5947" s="145"/>
    </row>
    <row r="5948">
      <c r="G5948" s="145"/>
    </row>
    <row r="5949">
      <c r="G5949" s="145"/>
    </row>
    <row r="5950">
      <c r="G5950" s="145"/>
    </row>
    <row r="5951">
      <c r="G5951" s="145"/>
    </row>
    <row r="5952">
      <c r="G5952" s="145"/>
    </row>
    <row r="5953">
      <c r="G5953" s="145"/>
    </row>
    <row r="5954">
      <c r="G5954" s="145"/>
    </row>
    <row r="5955">
      <c r="G5955" s="145"/>
    </row>
    <row r="5956">
      <c r="G5956" s="145"/>
    </row>
    <row r="5957">
      <c r="G5957" s="145"/>
    </row>
    <row r="5958">
      <c r="G5958" s="145"/>
    </row>
    <row r="5959">
      <c r="G5959" s="145"/>
    </row>
    <row r="5960">
      <c r="G5960" s="145"/>
    </row>
    <row r="5961">
      <c r="G5961" s="145"/>
    </row>
    <row r="5962">
      <c r="G5962" s="145"/>
    </row>
    <row r="5963">
      <c r="G5963" s="145"/>
    </row>
    <row r="5964">
      <c r="G5964" s="145"/>
    </row>
    <row r="5965">
      <c r="G5965" s="145"/>
    </row>
    <row r="5966">
      <c r="G5966" s="145"/>
    </row>
    <row r="5967">
      <c r="G5967" s="145"/>
    </row>
    <row r="5968">
      <c r="G5968" s="145"/>
    </row>
    <row r="5969">
      <c r="G5969" s="145"/>
    </row>
    <row r="5970">
      <c r="G5970" s="145"/>
    </row>
    <row r="5971">
      <c r="G5971" s="145"/>
    </row>
    <row r="5972">
      <c r="G5972" s="145"/>
    </row>
    <row r="5973">
      <c r="G5973" s="145"/>
    </row>
    <row r="5974">
      <c r="G5974" s="145"/>
    </row>
    <row r="5975">
      <c r="G5975" s="145"/>
    </row>
    <row r="5976">
      <c r="G5976" s="145"/>
    </row>
    <row r="5977">
      <c r="G5977" s="145"/>
    </row>
    <row r="5978">
      <c r="G5978" s="145"/>
    </row>
    <row r="5979">
      <c r="G5979" s="145"/>
    </row>
    <row r="5980">
      <c r="G5980" s="145"/>
    </row>
    <row r="5981">
      <c r="G5981" s="145"/>
    </row>
    <row r="5982">
      <c r="G5982" s="145"/>
    </row>
    <row r="5983">
      <c r="G5983" s="145"/>
    </row>
    <row r="5984">
      <c r="G5984" s="145"/>
    </row>
    <row r="5985">
      <c r="G5985" s="145"/>
    </row>
    <row r="5986">
      <c r="G5986" s="145"/>
    </row>
    <row r="5987">
      <c r="G5987" s="145"/>
    </row>
    <row r="5988">
      <c r="G5988" s="145"/>
    </row>
    <row r="5989">
      <c r="G5989" s="145"/>
    </row>
    <row r="5990">
      <c r="G5990" s="145"/>
    </row>
    <row r="5991">
      <c r="G5991" s="145"/>
    </row>
    <row r="5992">
      <c r="G5992" s="145"/>
    </row>
    <row r="5993">
      <c r="G5993" s="145"/>
    </row>
    <row r="5994">
      <c r="G5994" s="145"/>
    </row>
    <row r="5995">
      <c r="G5995" s="145"/>
    </row>
    <row r="5996">
      <c r="G5996" s="145"/>
    </row>
    <row r="5997">
      <c r="G5997" s="145"/>
    </row>
    <row r="5998">
      <c r="G5998" s="145"/>
    </row>
    <row r="5999">
      <c r="G5999" s="145"/>
    </row>
    <row r="6000">
      <c r="G6000" s="145"/>
    </row>
    <row r="6001">
      <c r="G6001" s="145"/>
    </row>
    <row r="6002">
      <c r="G6002" s="145"/>
    </row>
    <row r="6003">
      <c r="G6003" s="145"/>
    </row>
    <row r="6004">
      <c r="G6004" s="145"/>
    </row>
    <row r="6005">
      <c r="G6005" s="145"/>
    </row>
    <row r="6006">
      <c r="G6006" s="145"/>
    </row>
    <row r="6007">
      <c r="G6007" s="145"/>
    </row>
    <row r="6008">
      <c r="G6008" s="145"/>
    </row>
    <row r="6009">
      <c r="G6009" s="145"/>
    </row>
    <row r="6010">
      <c r="G6010" s="145"/>
    </row>
    <row r="6011">
      <c r="G6011" s="145"/>
    </row>
    <row r="6012">
      <c r="G6012" s="145"/>
    </row>
    <row r="6013">
      <c r="G6013" s="145"/>
    </row>
    <row r="6014">
      <c r="G6014" s="145"/>
    </row>
    <row r="6015">
      <c r="G6015" s="145"/>
    </row>
    <row r="6016">
      <c r="G6016" s="145"/>
    </row>
    <row r="6017">
      <c r="G6017" s="145"/>
    </row>
    <row r="6018">
      <c r="G6018" s="145"/>
    </row>
    <row r="6019">
      <c r="G6019" s="145"/>
    </row>
    <row r="6020">
      <c r="G6020" s="145"/>
    </row>
    <row r="6021">
      <c r="G6021" s="145"/>
    </row>
    <row r="6022">
      <c r="G6022" s="145"/>
    </row>
    <row r="6023">
      <c r="G6023" s="145"/>
    </row>
    <row r="6024">
      <c r="G6024" s="145"/>
    </row>
    <row r="6025">
      <c r="G6025" s="145"/>
    </row>
    <row r="6026">
      <c r="G6026" s="145"/>
    </row>
    <row r="6027">
      <c r="G6027" s="145"/>
    </row>
    <row r="6028">
      <c r="G6028" s="145"/>
    </row>
    <row r="6029">
      <c r="G6029" s="145"/>
    </row>
    <row r="6030">
      <c r="G6030" s="145"/>
    </row>
    <row r="6031">
      <c r="G6031" s="145"/>
    </row>
    <row r="6032">
      <c r="G6032" s="145"/>
    </row>
    <row r="6033">
      <c r="G6033" s="145"/>
    </row>
    <row r="6034">
      <c r="G6034" s="145"/>
    </row>
    <row r="6035">
      <c r="G6035" s="145"/>
    </row>
    <row r="6036">
      <c r="G6036" s="145"/>
    </row>
    <row r="6037">
      <c r="G6037" s="145"/>
    </row>
    <row r="6038">
      <c r="G6038" s="145"/>
    </row>
    <row r="6039">
      <c r="G6039" s="145"/>
    </row>
    <row r="6040">
      <c r="G6040" s="145"/>
    </row>
    <row r="6041">
      <c r="G6041" s="145"/>
    </row>
    <row r="6042">
      <c r="G6042" s="145"/>
    </row>
    <row r="6043">
      <c r="G6043" s="145"/>
    </row>
    <row r="6044">
      <c r="G6044" s="145"/>
    </row>
    <row r="6045">
      <c r="G6045" s="145"/>
    </row>
    <row r="6046">
      <c r="G6046" s="145"/>
    </row>
    <row r="6047">
      <c r="G6047" s="145"/>
    </row>
    <row r="6048">
      <c r="G6048" s="145"/>
    </row>
    <row r="6049">
      <c r="G6049" s="145"/>
    </row>
    <row r="6050">
      <c r="G6050" s="145"/>
    </row>
    <row r="6051">
      <c r="G6051" s="145"/>
    </row>
    <row r="6052">
      <c r="G6052" s="145"/>
    </row>
    <row r="6053">
      <c r="G6053" s="145"/>
    </row>
    <row r="6054">
      <c r="G6054" s="145"/>
    </row>
    <row r="6055">
      <c r="G6055" s="145"/>
    </row>
    <row r="6056">
      <c r="G6056" s="145"/>
    </row>
    <row r="6057">
      <c r="G6057" s="145"/>
    </row>
    <row r="6058">
      <c r="G6058" s="145"/>
    </row>
    <row r="6059">
      <c r="G6059" s="145"/>
    </row>
    <row r="6060">
      <c r="G6060" s="145"/>
    </row>
    <row r="6061">
      <c r="G6061" s="145"/>
    </row>
    <row r="6062">
      <c r="G6062" s="145"/>
    </row>
    <row r="6063">
      <c r="G6063" s="145"/>
    </row>
    <row r="6064">
      <c r="G6064" s="145"/>
    </row>
    <row r="6065">
      <c r="G6065" s="145"/>
    </row>
    <row r="6066">
      <c r="G6066" s="145"/>
    </row>
    <row r="6067">
      <c r="G6067" s="145"/>
    </row>
    <row r="6068">
      <c r="G6068" s="145"/>
    </row>
    <row r="6069">
      <c r="G6069" s="145"/>
    </row>
    <row r="6070">
      <c r="G6070" s="145"/>
    </row>
    <row r="6071">
      <c r="G6071" s="145"/>
    </row>
    <row r="6072">
      <c r="G6072" s="145"/>
    </row>
    <row r="6073">
      <c r="G6073" s="145"/>
    </row>
    <row r="6074">
      <c r="G6074" s="145"/>
    </row>
    <row r="6075">
      <c r="G6075" s="145"/>
    </row>
    <row r="6076">
      <c r="G6076" s="145"/>
    </row>
    <row r="6077">
      <c r="G6077" s="145"/>
    </row>
    <row r="6078">
      <c r="G6078" s="145"/>
    </row>
    <row r="6079">
      <c r="G6079" s="145"/>
    </row>
    <row r="6080">
      <c r="G6080" s="145"/>
    </row>
    <row r="6081">
      <c r="G6081" s="145"/>
    </row>
    <row r="6082">
      <c r="G6082" s="145"/>
    </row>
    <row r="6083">
      <c r="G6083" s="145"/>
    </row>
    <row r="6084">
      <c r="G6084" s="145"/>
    </row>
    <row r="6085">
      <c r="G6085" s="145"/>
    </row>
    <row r="6086">
      <c r="G6086" s="145"/>
    </row>
    <row r="6087">
      <c r="G6087" s="145"/>
    </row>
    <row r="6088">
      <c r="G6088" s="145"/>
    </row>
    <row r="6089">
      <c r="G6089" s="145"/>
    </row>
    <row r="6090">
      <c r="G6090" s="145"/>
    </row>
    <row r="6091">
      <c r="G6091" s="145"/>
    </row>
    <row r="6092">
      <c r="G6092" s="145"/>
    </row>
    <row r="6093">
      <c r="G6093" s="145"/>
    </row>
    <row r="6094">
      <c r="G6094" s="145"/>
    </row>
    <row r="6095">
      <c r="G6095" s="145"/>
    </row>
    <row r="6096">
      <c r="G6096" s="145"/>
    </row>
    <row r="6097">
      <c r="G6097" s="145"/>
    </row>
    <row r="6098">
      <c r="G6098" s="145"/>
    </row>
    <row r="6099">
      <c r="G6099" s="145"/>
    </row>
    <row r="6100">
      <c r="G6100" s="145"/>
    </row>
    <row r="6101">
      <c r="G6101" s="145"/>
    </row>
    <row r="6102">
      <c r="G6102" s="145"/>
    </row>
    <row r="6103">
      <c r="G6103" s="145"/>
    </row>
    <row r="6104">
      <c r="G6104" s="145"/>
    </row>
    <row r="6105">
      <c r="G6105" s="145"/>
    </row>
    <row r="6106">
      <c r="G6106" s="145"/>
    </row>
    <row r="6107">
      <c r="G6107" s="145"/>
    </row>
    <row r="6108">
      <c r="G6108" s="145"/>
    </row>
    <row r="6109">
      <c r="G6109" s="145"/>
    </row>
    <row r="6110">
      <c r="G6110" s="145"/>
    </row>
    <row r="6111">
      <c r="G6111" s="145"/>
    </row>
    <row r="6112">
      <c r="G6112" s="145"/>
    </row>
    <row r="6113">
      <c r="G6113" s="145"/>
    </row>
    <row r="6114">
      <c r="G6114" s="145"/>
    </row>
    <row r="6115">
      <c r="G6115" s="145"/>
    </row>
    <row r="6116">
      <c r="G6116" s="145"/>
    </row>
    <row r="6117">
      <c r="G6117" s="145"/>
    </row>
    <row r="6118">
      <c r="G6118" s="145"/>
    </row>
    <row r="6119">
      <c r="G6119" s="145"/>
    </row>
    <row r="6120">
      <c r="G6120" s="145"/>
    </row>
    <row r="6121">
      <c r="G6121" s="145"/>
    </row>
    <row r="6122">
      <c r="G6122" s="145"/>
    </row>
    <row r="6123">
      <c r="G6123" s="145"/>
    </row>
    <row r="6124">
      <c r="G6124" s="145"/>
    </row>
    <row r="6125">
      <c r="G6125" s="145"/>
    </row>
    <row r="6126">
      <c r="G6126" s="145"/>
    </row>
    <row r="6127">
      <c r="G6127" s="145"/>
    </row>
    <row r="6128">
      <c r="G6128" s="145"/>
    </row>
    <row r="6129">
      <c r="G6129" s="145"/>
    </row>
    <row r="6130">
      <c r="G6130" s="145"/>
    </row>
    <row r="6131">
      <c r="G6131" s="145"/>
    </row>
    <row r="6132">
      <c r="G6132" s="145"/>
    </row>
    <row r="6133">
      <c r="G6133" s="145"/>
    </row>
    <row r="6134">
      <c r="G6134" s="145"/>
    </row>
    <row r="6135">
      <c r="G6135" s="145"/>
    </row>
    <row r="6136">
      <c r="G6136" s="145"/>
    </row>
    <row r="6137">
      <c r="G6137" s="145"/>
    </row>
    <row r="6138">
      <c r="G6138" s="145"/>
    </row>
    <row r="6139">
      <c r="G6139" s="145"/>
    </row>
    <row r="6140">
      <c r="G6140" s="145"/>
    </row>
    <row r="6141">
      <c r="G6141" s="145"/>
    </row>
    <row r="6142">
      <c r="G6142" s="145"/>
    </row>
    <row r="6143">
      <c r="G6143" s="145"/>
    </row>
    <row r="6144">
      <c r="G6144" s="145"/>
    </row>
    <row r="6145">
      <c r="G6145" s="145"/>
    </row>
    <row r="6146">
      <c r="G6146" s="145"/>
    </row>
    <row r="6147">
      <c r="G6147" s="145"/>
    </row>
    <row r="6148">
      <c r="G6148" s="145"/>
    </row>
    <row r="6149">
      <c r="G6149" s="145"/>
    </row>
    <row r="6150">
      <c r="G6150" s="145"/>
    </row>
    <row r="6151">
      <c r="G6151" s="145"/>
    </row>
    <row r="6152">
      <c r="G6152" s="145"/>
    </row>
    <row r="6153">
      <c r="G6153" s="145"/>
    </row>
    <row r="6154">
      <c r="G6154" s="145"/>
    </row>
    <row r="6155">
      <c r="G6155" s="145"/>
    </row>
    <row r="6156">
      <c r="G6156" s="145"/>
    </row>
    <row r="6157">
      <c r="G6157" s="145"/>
    </row>
    <row r="6158">
      <c r="G6158" s="145"/>
    </row>
    <row r="6159">
      <c r="G6159" s="145"/>
    </row>
    <row r="6160">
      <c r="G6160" s="145"/>
    </row>
    <row r="6161">
      <c r="G6161" s="145"/>
    </row>
    <row r="6162">
      <c r="G6162" s="145"/>
    </row>
    <row r="6163">
      <c r="G6163" s="145"/>
    </row>
    <row r="6164">
      <c r="G6164" s="145"/>
    </row>
    <row r="6165">
      <c r="G6165" s="145"/>
    </row>
    <row r="6166">
      <c r="G6166" s="145"/>
    </row>
    <row r="6167">
      <c r="G6167" s="145"/>
    </row>
    <row r="6168">
      <c r="G6168" s="145"/>
    </row>
    <row r="6169">
      <c r="G6169" s="145"/>
    </row>
    <row r="6170">
      <c r="G6170" s="145"/>
    </row>
    <row r="6171">
      <c r="G6171" s="145"/>
    </row>
    <row r="6172">
      <c r="G6172" s="145"/>
    </row>
    <row r="6173">
      <c r="G6173" s="145"/>
    </row>
    <row r="6174">
      <c r="G6174" s="145"/>
    </row>
    <row r="6175">
      <c r="G6175" s="145"/>
    </row>
    <row r="6176">
      <c r="G6176" s="145"/>
    </row>
    <row r="6177">
      <c r="G6177" s="145"/>
    </row>
    <row r="6178">
      <c r="G6178" s="145"/>
    </row>
    <row r="6179">
      <c r="G6179" s="145"/>
    </row>
    <row r="6180">
      <c r="G6180" s="145"/>
    </row>
    <row r="6181">
      <c r="G6181" s="145"/>
    </row>
    <row r="6182">
      <c r="G6182" s="145"/>
    </row>
    <row r="6183">
      <c r="G6183" s="145"/>
    </row>
    <row r="6184">
      <c r="G6184" s="145"/>
    </row>
    <row r="6185">
      <c r="G6185" s="145"/>
    </row>
    <row r="6186">
      <c r="G6186" s="145"/>
    </row>
    <row r="6187">
      <c r="G6187" s="145"/>
    </row>
    <row r="6188">
      <c r="G6188" s="145"/>
    </row>
    <row r="6189">
      <c r="G6189" s="145"/>
    </row>
    <row r="6190">
      <c r="G6190" s="145"/>
    </row>
    <row r="6191">
      <c r="G6191" s="145"/>
    </row>
    <row r="6192">
      <c r="G6192" s="145"/>
    </row>
    <row r="6193">
      <c r="G6193" s="145"/>
    </row>
    <row r="6194">
      <c r="G6194" s="145"/>
    </row>
    <row r="6195">
      <c r="G6195" s="145"/>
    </row>
    <row r="6196">
      <c r="G6196" s="145"/>
    </row>
    <row r="6197">
      <c r="G6197" s="145"/>
    </row>
    <row r="6198">
      <c r="G6198" s="145"/>
    </row>
    <row r="6199">
      <c r="G6199" s="145"/>
    </row>
    <row r="6200">
      <c r="G6200" s="145"/>
    </row>
    <row r="6201">
      <c r="G6201" s="145"/>
    </row>
    <row r="6202">
      <c r="G6202" s="145"/>
    </row>
    <row r="6203">
      <c r="G6203" s="145"/>
    </row>
    <row r="6204">
      <c r="G6204" s="145"/>
    </row>
    <row r="6205">
      <c r="G6205" s="145"/>
    </row>
    <row r="6206">
      <c r="G6206" s="145"/>
    </row>
    <row r="6207">
      <c r="G6207" s="145"/>
    </row>
    <row r="6208">
      <c r="G6208" s="145"/>
    </row>
    <row r="6209">
      <c r="G6209" s="145"/>
    </row>
    <row r="6210">
      <c r="G6210" s="145"/>
    </row>
    <row r="6211">
      <c r="G6211" s="145"/>
    </row>
    <row r="6212">
      <c r="G6212" s="145"/>
    </row>
    <row r="6213">
      <c r="G6213" s="145"/>
    </row>
    <row r="6214">
      <c r="G6214" s="145"/>
    </row>
    <row r="6215">
      <c r="G6215" s="145"/>
    </row>
    <row r="6216">
      <c r="G6216" s="145"/>
    </row>
    <row r="6217">
      <c r="G6217" s="145"/>
    </row>
    <row r="6218">
      <c r="G6218" s="145"/>
    </row>
    <row r="6219">
      <c r="G6219" s="145"/>
    </row>
    <row r="6220">
      <c r="G6220" s="145"/>
    </row>
    <row r="6221">
      <c r="G6221" s="145"/>
    </row>
    <row r="6222">
      <c r="G6222" s="145"/>
    </row>
    <row r="6223">
      <c r="G6223" s="145"/>
    </row>
    <row r="6224">
      <c r="G6224" s="145"/>
    </row>
    <row r="6225">
      <c r="G6225" s="145"/>
    </row>
    <row r="6226">
      <c r="G6226" s="145"/>
    </row>
    <row r="6227">
      <c r="G6227" s="145"/>
    </row>
    <row r="6228">
      <c r="G6228" s="145"/>
    </row>
    <row r="6229">
      <c r="G6229" s="145"/>
    </row>
    <row r="6230">
      <c r="G6230" s="145"/>
    </row>
    <row r="6231">
      <c r="G6231" s="145"/>
    </row>
    <row r="6232">
      <c r="G6232" s="145"/>
    </row>
    <row r="6233">
      <c r="G6233" s="145"/>
    </row>
    <row r="6234">
      <c r="G6234" s="145"/>
    </row>
    <row r="6235">
      <c r="G6235" s="145"/>
    </row>
    <row r="6236">
      <c r="G6236" s="145"/>
    </row>
    <row r="6237">
      <c r="G6237" s="145"/>
    </row>
    <row r="6238">
      <c r="G6238" s="145"/>
    </row>
    <row r="6239">
      <c r="G6239" s="145"/>
    </row>
    <row r="6240">
      <c r="G6240" s="145"/>
    </row>
    <row r="6241">
      <c r="G6241" s="145"/>
    </row>
    <row r="6242">
      <c r="G6242" s="145"/>
    </row>
    <row r="6243">
      <c r="G6243" s="145"/>
    </row>
    <row r="6244">
      <c r="G6244" s="145"/>
    </row>
    <row r="6245">
      <c r="G6245" s="145"/>
    </row>
    <row r="6246">
      <c r="G6246" s="145"/>
    </row>
    <row r="6247">
      <c r="G6247" s="145"/>
    </row>
    <row r="6248">
      <c r="G6248" s="145"/>
    </row>
    <row r="6249">
      <c r="G6249" s="145"/>
    </row>
    <row r="6250">
      <c r="G6250" s="145"/>
    </row>
    <row r="6251">
      <c r="G6251" s="145"/>
    </row>
    <row r="6252">
      <c r="G6252" s="145"/>
    </row>
    <row r="6253">
      <c r="G6253" s="145"/>
    </row>
    <row r="6254">
      <c r="G6254" s="145"/>
    </row>
    <row r="6255">
      <c r="G6255" s="145"/>
    </row>
    <row r="6256">
      <c r="G6256" s="145"/>
    </row>
    <row r="6257">
      <c r="G6257" s="145"/>
    </row>
    <row r="6258">
      <c r="G6258" s="145"/>
    </row>
    <row r="6259">
      <c r="G6259" s="145"/>
    </row>
    <row r="6260">
      <c r="G6260" s="145"/>
    </row>
    <row r="6261">
      <c r="G6261" s="145"/>
    </row>
    <row r="6262">
      <c r="G6262" s="145"/>
    </row>
    <row r="6263">
      <c r="G6263" s="145"/>
    </row>
    <row r="6264">
      <c r="G6264" s="145"/>
    </row>
    <row r="6265">
      <c r="G6265" s="145"/>
    </row>
    <row r="6266">
      <c r="G6266" s="145"/>
    </row>
    <row r="6267">
      <c r="G6267" s="145"/>
    </row>
    <row r="6268">
      <c r="G6268" s="145"/>
    </row>
    <row r="6269">
      <c r="G6269" s="145"/>
    </row>
    <row r="6270">
      <c r="G6270" s="145"/>
    </row>
    <row r="6271">
      <c r="G6271" s="145"/>
    </row>
    <row r="6272">
      <c r="G6272" s="145"/>
    </row>
    <row r="6273">
      <c r="G6273" s="145"/>
    </row>
    <row r="6274">
      <c r="G6274" s="145"/>
    </row>
    <row r="6275">
      <c r="G6275" s="145"/>
    </row>
    <row r="6276">
      <c r="G6276" s="145"/>
    </row>
    <row r="6277">
      <c r="G6277" s="145"/>
    </row>
    <row r="6278">
      <c r="G6278" s="145"/>
    </row>
    <row r="6279">
      <c r="G6279" s="145"/>
    </row>
    <row r="6280">
      <c r="G6280" s="145"/>
    </row>
    <row r="6281">
      <c r="G6281" s="145"/>
    </row>
    <row r="6282">
      <c r="G6282" s="145"/>
    </row>
    <row r="6283">
      <c r="G6283" s="145"/>
    </row>
    <row r="6284">
      <c r="G6284" s="145"/>
    </row>
    <row r="6285">
      <c r="G6285" s="145"/>
    </row>
    <row r="6286">
      <c r="G6286" s="145"/>
    </row>
    <row r="6287">
      <c r="G6287" s="145"/>
    </row>
    <row r="6288">
      <c r="G6288" s="145"/>
    </row>
    <row r="6289">
      <c r="G6289" s="145"/>
    </row>
    <row r="6290">
      <c r="G6290" s="145"/>
    </row>
    <row r="6291">
      <c r="G6291" s="145"/>
    </row>
    <row r="6292">
      <c r="G6292" s="145"/>
    </row>
    <row r="6293">
      <c r="G6293" s="145"/>
    </row>
    <row r="6294">
      <c r="G6294" s="145"/>
    </row>
    <row r="6295">
      <c r="G6295" s="145"/>
    </row>
    <row r="6296">
      <c r="G6296" s="145"/>
    </row>
    <row r="6297">
      <c r="G6297" s="145"/>
    </row>
    <row r="6298">
      <c r="G6298" s="145"/>
    </row>
    <row r="6299">
      <c r="G6299" s="145"/>
    </row>
    <row r="6300">
      <c r="G6300" s="145"/>
    </row>
    <row r="6301">
      <c r="G6301" s="145"/>
    </row>
    <row r="6302">
      <c r="G6302" s="145"/>
    </row>
    <row r="6303">
      <c r="G6303" s="145"/>
    </row>
    <row r="6304">
      <c r="G6304" s="145"/>
    </row>
    <row r="6305">
      <c r="G6305" s="145"/>
    </row>
    <row r="6306">
      <c r="G6306" s="145"/>
    </row>
    <row r="6307">
      <c r="G6307" s="145"/>
    </row>
    <row r="6308">
      <c r="G6308" s="145"/>
    </row>
    <row r="6309">
      <c r="G6309" s="145"/>
    </row>
    <row r="6310">
      <c r="G6310" s="145"/>
    </row>
    <row r="6311">
      <c r="G6311" s="145"/>
    </row>
    <row r="6312">
      <c r="G6312" s="145"/>
    </row>
    <row r="6313">
      <c r="G6313" s="145"/>
    </row>
    <row r="6314">
      <c r="G6314" s="145"/>
    </row>
    <row r="6315">
      <c r="G6315" s="145"/>
    </row>
    <row r="6316">
      <c r="G6316" s="145"/>
    </row>
    <row r="6317">
      <c r="G6317" s="145"/>
    </row>
    <row r="6318">
      <c r="G6318" s="145"/>
    </row>
    <row r="6319">
      <c r="G6319" s="145"/>
    </row>
    <row r="6320">
      <c r="G6320" s="145"/>
    </row>
    <row r="6321">
      <c r="G6321" s="145"/>
    </row>
    <row r="6322">
      <c r="G6322" s="145"/>
    </row>
    <row r="6323">
      <c r="G6323" s="145"/>
    </row>
    <row r="6324">
      <c r="G6324" s="145"/>
    </row>
    <row r="6325">
      <c r="G6325" s="145"/>
    </row>
    <row r="6326">
      <c r="G6326" s="145"/>
    </row>
    <row r="6327">
      <c r="G6327" s="145"/>
    </row>
    <row r="6328">
      <c r="G6328" s="145"/>
    </row>
    <row r="6329">
      <c r="G6329" s="145"/>
    </row>
    <row r="6330">
      <c r="G6330" s="145"/>
    </row>
    <row r="6331">
      <c r="G6331" s="145"/>
    </row>
    <row r="6332">
      <c r="G6332" s="145"/>
    </row>
    <row r="6333">
      <c r="G6333" s="145"/>
    </row>
    <row r="6334">
      <c r="G6334" s="145"/>
    </row>
    <row r="6335">
      <c r="G6335" s="145"/>
    </row>
    <row r="6336">
      <c r="G6336" s="145"/>
    </row>
    <row r="6337">
      <c r="G6337" s="145"/>
    </row>
    <row r="6338">
      <c r="G6338" s="145"/>
    </row>
    <row r="6339">
      <c r="G6339" s="145"/>
    </row>
    <row r="6340">
      <c r="G6340" s="145"/>
    </row>
    <row r="6341">
      <c r="G6341" s="145"/>
    </row>
    <row r="6342">
      <c r="G6342" s="145"/>
    </row>
    <row r="6343">
      <c r="G6343" s="145"/>
    </row>
    <row r="6344">
      <c r="G6344" s="145"/>
    </row>
    <row r="6345">
      <c r="G6345" s="145"/>
    </row>
    <row r="6346">
      <c r="G6346" s="145"/>
    </row>
    <row r="6347">
      <c r="G6347" s="145"/>
    </row>
    <row r="6348">
      <c r="G6348" s="145"/>
    </row>
    <row r="6349">
      <c r="G6349" s="145"/>
    </row>
    <row r="6350">
      <c r="G6350" s="145"/>
    </row>
    <row r="6351">
      <c r="G6351" s="145"/>
    </row>
    <row r="6352">
      <c r="G6352" s="145"/>
    </row>
    <row r="6353">
      <c r="G6353" s="145"/>
    </row>
    <row r="6354">
      <c r="G6354" s="145"/>
    </row>
    <row r="6355">
      <c r="G6355" s="145"/>
    </row>
    <row r="6356">
      <c r="G6356" s="145"/>
    </row>
    <row r="6357">
      <c r="G6357" s="145"/>
    </row>
    <row r="6358">
      <c r="G6358" s="145"/>
    </row>
    <row r="6359">
      <c r="G6359" s="145"/>
    </row>
    <row r="6360">
      <c r="G6360" s="145"/>
    </row>
    <row r="6361">
      <c r="G6361" s="145"/>
    </row>
    <row r="6362">
      <c r="G6362" s="145"/>
    </row>
    <row r="6363">
      <c r="G6363" s="145"/>
    </row>
    <row r="6364">
      <c r="G6364" s="145"/>
    </row>
    <row r="6365">
      <c r="G6365" s="145"/>
    </row>
    <row r="6366">
      <c r="G6366" s="145"/>
    </row>
    <row r="6367">
      <c r="G6367" s="145"/>
    </row>
    <row r="6368">
      <c r="G6368" s="145"/>
    </row>
    <row r="6369">
      <c r="G6369" s="145"/>
    </row>
    <row r="6370">
      <c r="G6370" s="145"/>
    </row>
    <row r="6371">
      <c r="G6371" s="145"/>
    </row>
    <row r="6372">
      <c r="G6372" s="145"/>
    </row>
    <row r="6373">
      <c r="G6373" s="145"/>
    </row>
    <row r="6374">
      <c r="G6374" s="145"/>
    </row>
    <row r="6375">
      <c r="G6375" s="145"/>
    </row>
    <row r="6376">
      <c r="G6376" s="145"/>
    </row>
    <row r="6377">
      <c r="G6377" s="145"/>
    </row>
    <row r="6378">
      <c r="G6378" s="145"/>
    </row>
    <row r="6379">
      <c r="G6379" s="145"/>
    </row>
    <row r="6380">
      <c r="G6380" s="145"/>
    </row>
    <row r="6381">
      <c r="G6381" s="145"/>
    </row>
    <row r="6382">
      <c r="G6382" s="145"/>
    </row>
    <row r="6383">
      <c r="G6383" s="145"/>
    </row>
    <row r="6384">
      <c r="G6384" s="145"/>
    </row>
    <row r="6385">
      <c r="G6385" s="145"/>
    </row>
    <row r="6386">
      <c r="G6386" s="145"/>
    </row>
    <row r="6387">
      <c r="G6387" s="145"/>
    </row>
    <row r="6388">
      <c r="G6388" s="145"/>
    </row>
    <row r="6389">
      <c r="G6389" s="145"/>
    </row>
    <row r="6390">
      <c r="G6390" s="145"/>
    </row>
    <row r="6391">
      <c r="G6391" s="145"/>
    </row>
    <row r="6392">
      <c r="G6392" s="145"/>
    </row>
    <row r="6393">
      <c r="G6393" s="145"/>
    </row>
    <row r="6394">
      <c r="G6394" s="145"/>
    </row>
    <row r="6395">
      <c r="G6395" s="145"/>
    </row>
    <row r="6396">
      <c r="G6396" s="145"/>
    </row>
    <row r="6397">
      <c r="G6397" s="145"/>
    </row>
    <row r="6398">
      <c r="G6398" s="145"/>
    </row>
    <row r="6399">
      <c r="G6399" s="145"/>
    </row>
    <row r="6400">
      <c r="G6400" s="145"/>
    </row>
    <row r="6401">
      <c r="G6401" s="145"/>
    </row>
    <row r="6402">
      <c r="G6402" s="145"/>
    </row>
    <row r="6403">
      <c r="G6403" s="145"/>
    </row>
    <row r="6404">
      <c r="G6404" s="145"/>
    </row>
    <row r="6405">
      <c r="G6405" s="145"/>
    </row>
    <row r="6406">
      <c r="G6406" s="145"/>
    </row>
    <row r="6407">
      <c r="G6407" s="145"/>
    </row>
    <row r="6408">
      <c r="G6408" s="145"/>
    </row>
    <row r="6409">
      <c r="G6409" s="145"/>
    </row>
    <row r="6410">
      <c r="G6410" s="145"/>
    </row>
    <row r="6411">
      <c r="G6411" s="145"/>
    </row>
    <row r="6412">
      <c r="G6412" s="145"/>
    </row>
    <row r="6413">
      <c r="G6413" s="145"/>
    </row>
    <row r="6414">
      <c r="G6414" s="145"/>
    </row>
    <row r="6415">
      <c r="G6415" s="145"/>
    </row>
    <row r="6416">
      <c r="G6416" s="145"/>
    </row>
    <row r="6417">
      <c r="G6417" s="145"/>
    </row>
    <row r="6418">
      <c r="G6418" s="145"/>
    </row>
    <row r="6419">
      <c r="G6419" s="145"/>
    </row>
    <row r="6420">
      <c r="G6420" s="145"/>
    </row>
    <row r="6421">
      <c r="G6421" s="145"/>
    </row>
    <row r="6422">
      <c r="G6422" s="145"/>
    </row>
    <row r="6423">
      <c r="G6423" s="145"/>
    </row>
    <row r="6424">
      <c r="G6424" s="145"/>
    </row>
    <row r="6425">
      <c r="G6425" s="145"/>
    </row>
    <row r="6426">
      <c r="G6426" s="145"/>
    </row>
    <row r="6427">
      <c r="G6427" s="145"/>
    </row>
    <row r="6428">
      <c r="G6428" s="145"/>
    </row>
    <row r="6429">
      <c r="G6429" s="145"/>
    </row>
    <row r="6430">
      <c r="G6430" s="145"/>
    </row>
    <row r="6431">
      <c r="G6431" s="145"/>
    </row>
    <row r="6432">
      <c r="G6432" s="145"/>
    </row>
    <row r="6433">
      <c r="G6433" s="145"/>
    </row>
    <row r="6434">
      <c r="G6434" s="145"/>
    </row>
    <row r="6435">
      <c r="G6435" s="145"/>
    </row>
    <row r="6436">
      <c r="G6436" s="145"/>
    </row>
    <row r="6437">
      <c r="G6437" s="145"/>
    </row>
    <row r="6438">
      <c r="G6438" s="145"/>
    </row>
    <row r="6439">
      <c r="G6439" s="145"/>
    </row>
    <row r="6440">
      <c r="G6440" s="145"/>
    </row>
    <row r="6441">
      <c r="G6441" s="145"/>
    </row>
    <row r="6442">
      <c r="G6442" s="145"/>
    </row>
    <row r="6443">
      <c r="G6443" s="145"/>
    </row>
    <row r="6444">
      <c r="G6444" s="145"/>
    </row>
    <row r="6445">
      <c r="G6445" s="145"/>
    </row>
    <row r="6446">
      <c r="G6446" s="145"/>
    </row>
    <row r="6447">
      <c r="G6447" s="145"/>
    </row>
    <row r="6448">
      <c r="G6448" s="145"/>
    </row>
    <row r="6449">
      <c r="G6449" s="145"/>
    </row>
    <row r="6450">
      <c r="G6450" s="145"/>
    </row>
    <row r="6451">
      <c r="G6451" s="145"/>
    </row>
    <row r="6452">
      <c r="G6452" s="145"/>
    </row>
    <row r="6453">
      <c r="G6453" s="145"/>
    </row>
    <row r="6454">
      <c r="G6454" s="145"/>
    </row>
    <row r="6455">
      <c r="G6455" s="145"/>
    </row>
    <row r="6456">
      <c r="G6456" s="145"/>
    </row>
    <row r="6457">
      <c r="G6457" s="145"/>
    </row>
    <row r="6458">
      <c r="G6458" s="145"/>
    </row>
    <row r="6459">
      <c r="G6459" s="145"/>
    </row>
    <row r="6460">
      <c r="G6460" s="145"/>
    </row>
    <row r="6461">
      <c r="G6461" s="145"/>
    </row>
    <row r="6462">
      <c r="G6462" s="145"/>
    </row>
    <row r="6463">
      <c r="G6463" s="145"/>
    </row>
    <row r="6464">
      <c r="G6464" s="145"/>
    </row>
    <row r="6465">
      <c r="G6465" s="145"/>
    </row>
    <row r="6466">
      <c r="G6466" s="145"/>
    </row>
    <row r="6467">
      <c r="G6467" s="145"/>
    </row>
    <row r="6468">
      <c r="G6468" s="145"/>
    </row>
    <row r="6469">
      <c r="G6469" s="145"/>
    </row>
    <row r="6470">
      <c r="G6470" s="145"/>
    </row>
    <row r="6471">
      <c r="G6471" s="145"/>
    </row>
    <row r="6472">
      <c r="G6472" s="145"/>
    </row>
    <row r="6473">
      <c r="G6473" s="145"/>
    </row>
    <row r="6474">
      <c r="G6474" s="145"/>
    </row>
    <row r="6475">
      <c r="G6475" s="145"/>
    </row>
    <row r="6476">
      <c r="G6476" s="145"/>
    </row>
    <row r="6477">
      <c r="G6477" s="145"/>
    </row>
    <row r="6478">
      <c r="G6478" s="145"/>
    </row>
    <row r="6479">
      <c r="G6479" s="145"/>
    </row>
    <row r="6480">
      <c r="G6480" s="145"/>
    </row>
    <row r="6481">
      <c r="G6481" s="145"/>
    </row>
    <row r="6482">
      <c r="G6482" s="145"/>
    </row>
    <row r="6483">
      <c r="G6483" s="145"/>
    </row>
    <row r="6484">
      <c r="G6484" s="145"/>
    </row>
    <row r="6485">
      <c r="G6485" s="145"/>
    </row>
    <row r="6486">
      <c r="G6486" s="145"/>
    </row>
    <row r="6487">
      <c r="G6487" s="145"/>
    </row>
    <row r="6488">
      <c r="G6488" s="145"/>
    </row>
    <row r="6489">
      <c r="G6489" s="145"/>
    </row>
    <row r="6490">
      <c r="G6490" s="145"/>
    </row>
    <row r="6491">
      <c r="G6491" s="145"/>
    </row>
    <row r="6492">
      <c r="G6492" s="145"/>
    </row>
    <row r="6493">
      <c r="G6493" s="145"/>
    </row>
    <row r="6494">
      <c r="G6494" s="145"/>
    </row>
    <row r="6495">
      <c r="G6495" s="145"/>
    </row>
    <row r="6496">
      <c r="G6496" s="145"/>
    </row>
    <row r="6497">
      <c r="G6497" s="145"/>
    </row>
    <row r="6498">
      <c r="G6498" s="145"/>
    </row>
    <row r="6499">
      <c r="G6499" s="145"/>
    </row>
    <row r="6500">
      <c r="G6500" s="145"/>
    </row>
    <row r="6501">
      <c r="G6501" s="145"/>
    </row>
    <row r="6502">
      <c r="G6502" s="145"/>
    </row>
    <row r="6503">
      <c r="G6503" s="145"/>
    </row>
    <row r="6504">
      <c r="G6504" s="145"/>
    </row>
    <row r="6505">
      <c r="G6505" s="145"/>
    </row>
    <row r="6506">
      <c r="G6506" s="145"/>
    </row>
    <row r="6507">
      <c r="G6507" s="145"/>
    </row>
    <row r="6508">
      <c r="G6508" s="145"/>
    </row>
    <row r="6509">
      <c r="G6509" s="145"/>
    </row>
    <row r="6510">
      <c r="G6510" s="145"/>
    </row>
    <row r="6511">
      <c r="G6511" s="145"/>
    </row>
    <row r="6512">
      <c r="G6512" s="145"/>
    </row>
    <row r="6513">
      <c r="G6513" s="145"/>
    </row>
    <row r="6514">
      <c r="G6514" s="145"/>
    </row>
    <row r="6515">
      <c r="G6515" s="145"/>
    </row>
    <row r="6516">
      <c r="G6516" s="145"/>
    </row>
    <row r="6517">
      <c r="G6517" s="145"/>
    </row>
    <row r="6518">
      <c r="G6518" s="145"/>
    </row>
    <row r="6519">
      <c r="G6519" s="145"/>
    </row>
    <row r="6520">
      <c r="G6520" s="145"/>
    </row>
    <row r="6521">
      <c r="G6521" s="145"/>
    </row>
    <row r="6522">
      <c r="G6522" s="145"/>
    </row>
    <row r="6523">
      <c r="G6523" s="145"/>
    </row>
    <row r="6524">
      <c r="G6524" s="145"/>
    </row>
    <row r="6525">
      <c r="G6525" s="145"/>
    </row>
    <row r="6526">
      <c r="G6526" s="145"/>
    </row>
    <row r="6527">
      <c r="G6527" s="145"/>
    </row>
    <row r="6528">
      <c r="G6528" s="145"/>
    </row>
    <row r="6529">
      <c r="G6529" s="145"/>
    </row>
    <row r="6530">
      <c r="G6530" s="145"/>
    </row>
    <row r="6531">
      <c r="G6531" s="145"/>
    </row>
    <row r="6532">
      <c r="G6532" s="145"/>
    </row>
    <row r="6533">
      <c r="G6533" s="145"/>
    </row>
    <row r="6534">
      <c r="G6534" s="145"/>
    </row>
    <row r="6535">
      <c r="G6535" s="145"/>
    </row>
    <row r="6536">
      <c r="G6536" s="145"/>
    </row>
    <row r="6537">
      <c r="G6537" s="145"/>
    </row>
    <row r="6538">
      <c r="G6538" s="145"/>
    </row>
    <row r="6539">
      <c r="G6539" s="145"/>
    </row>
    <row r="6540">
      <c r="G6540" s="145"/>
    </row>
    <row r="6541">
      <c r="G6541" s="145"/>
    </row>
    <row r="6542">
      <c r="G6542" s="145"/>
    </row>
    <row r="6543">
      <c r="G6543" s="145"/>
    </row>
    <row r="6544">
      <c r="G6544" s="145"/>
    </row>
    <row r="6545">
      <c r="G6545" s="145"/>
    </row>
    <row r="6546">
      <c r="G6546" s="145"/>
    </row>
    <row r="6547">
      <c r="G6547" s="145"/>
    </row>
    <row r="6548">
      <c r="G6548" s="145"/>
    </row>
    <row r="6549">
      <c r="G6549" s="145"/>
    </row>
    <row r="6550">
      <c r="G6550" s="145"/>
    </row>
    <row r="6551">
      <c r="G6551" s="145"/>
    </row>
    <row r="6552">
      <c r="G6552" s="145"/>
    </row>
    <row r="6553">
      <c r="G6553" s="145"/>
    </row>
    <row r="6554">
      <c r="G6554" s="145"/>
    </row>
    <row r="6555">
      <c r="G6555" s="145"/>
    </row>
    <row r="6556">
      <c r="G6556" s="145"/>
    </row>
    <row r="6557">
      <c r="G6557" s="145"/>
    </row>
    <row r="6558">
      <c r="G6558" s="145"/>
    </row>
    <row r="6559">
      <c r="G6559" s="145"/>
    </row>
    <row r="6560">
      <c r="G6560" s="145"/>
    </row>
    <row r="6561">
      <c r="G6561" s="145"/>
    </row>
    <row r="6562">
      <c r="G6562" s="145"/>
    </row>
    <row r="6563">
      <c r="G6563" s="145"/>
    </row>
    <row r="6564">
      <c r="G6564" s="145"/>
    </row>
    <row r="6565">
      <c r="G6565" s="145"/>
    </row>
    <row r="6566">
      <c r="G6566" s="145"/>
    </row>
    <row r="6567">
      <c r="G6567" s="145"/>
    </row>
    <row r="6568">
      <c r="G6568" s="145"/>
    </row>
    <row r="6569">
      <c r="G6569" s="145"/>
    </row>
    <row r="6570">
      <c r="G6570" s="145"/>
    </row>
    <row r="6571">
      <c r="G6571" s="145"/>
    </row>
    <row r="6572">
      <c r="G6572" s="145"/>
    </row>
    <row r="6573">
      <c r="G6573" s="145"/>
    </row>
    <row r="6574">
      <c r="G6574" s="145"/>
    </row>
    <row r="6575">
      <c r="G6575" s="145"/>
    </row>
    <row r="6576">
      <c r="G6576" s="145"/>
    </row>
    <row r="6577">
      <c r="G6577" s="145"/>
    </row>
    <row r="6578">
      <c r="G6578" s="145"/>
    </row>
    <row r="6579">
      <c r="G6579" s="145"/>
    </row>
    <row r="6580">
      <c r="G6580" s="145"/>
    </row>
    <row r="6581">
      <c r="G6581" s="145"/>
    </row>
    <row r="6582">
      <c r="G6582" s="145"/>
    </row>
    <row r="6583">
      <c r="G6583" s="145"/>
    </row>
    <row r="6584">
      <c r="G6584" s="145"/>
    </row>
    <row r="6585">
      <c r="G6585" s="145"/>
    </row>
    <row r="6586">
      <c r="G6586" s="145"/>
    </row>
    <row r="6587">
      <c r="G6587" s="145"/>
    </row>
    <row r="6588">
      <c r="G6588" s="145"/>
    </row>
    <row r="6589">
      <c r="G6589" s="145"/>
    </row>
    <row r="6590">
      <c r="G6590" s="145"/>
    </row>
    <row r="6591">
      <c r="G6591" s="145"/>
    </row>
    <row r="6592">
      <c r="G6592" s="145"/>
    </row>
    <row r="6593">
      <c r="G6593" s="145"/>
    </row>
    <row r="6594">
      <c r="G6594" s="145"/>
    </row>
    <row r="6595">
      <c r="G6595" s="145"/>
    </row>
    <row r="6596">
      <c r="G6596" s="145"/>
    </row>
    <row r="6597">
      <c r="G6597" s="145"/>
    </row>
    <row r="6598">
      <c r="G6598" s="145"/>
    </row>
    <row r="6599">
      <c r="G6599" s="145"/>
    </row>
    <row r="6600">
      <c r="G6600" s="145"/>
    </row>
    <row r="6601">
      <c r="G6601" s="145"/>
    </row>
    <row r="6602">
      <c r="G6602" s="145"/>
    </row>
    <row r="6603">
      <c r="G6603" s="145"/>
    </row>
    <row r="6604">
      <c r="G6604" s="145"/>
    </row>
    <row r="6605">
      <c r="G6605" s="145"/>
    </row>
    <row r="6606">
      <c r="G6606" s="145"/>
    </row>
    <row r="6607">
      <c r="G6607" s="145"/>
    </row>
    <row r="6608">
      <c r="G6608" s="145"/>
    </row>
    <row r="6609">
      <c r="G6609" s="145"/>
    </row>
    <row r="6610">
      <c r="G6610" s="145"/>
    </row>
    <row r="6611">
      <c r="G6611" s="145"/>
    </row>
    <row r="6612">
      <c r="G6612" s="145"/>
    </row>
    <row r="6613">
      <c r="G6613" s="145"/>
    </row>
    <row r="6614">
      <c r="G6614" s="145"/>
    </row>
    <row r="6615">
      <c r="G6615" s="145"/>
    </row>
    <row r="6616">
      <c r="G6616" s="145"/>
    </row>
    <row r="6617">
      <c r="G6617" s="145"/>
    </row>
    <row r="6618">
      <c r="G6618" s="145"/>
    </row>
    <row r="6619">
      <c r="G6619" s="145"/>
    </row>
    <row r="6620">
      <c r="G6620" s="145"/>
    </row>
    <row r="6621">
      <c r="G6621" s="145"/>
    </row>
    <row r="6622">
      <c r="G6622" s="145"/>
    </row>
    <row r="6623">
      <c r="G6623" s="145"/>
    </row>
    <row r="6624">
      <c r="G6624" s="145"/>
    </row>
    <row r="6625">
      <c r="G6625" s="145"/>
    </row>
    <row r="6626">
      <c r="G6626" s="145"/>
    </row>
    <row r="6627">
      <c r="G6627" s="145"/>
    </row>
    <row r="6628">
      <c r="G6628" s="145"/>
    </row>
    <row r="6629">
      <c r="G6629" s="145"/>
    </row>
    <row r="6630">
      <c r="G6630" s="145"/>
    </row>
    <row r="6631">
      <c r="G6631" s="145"/>
    </row>
    <row r="6632">
      <c r="G6632" s="145"/>
    </row>
    <row r="6633">
      <c r="G6633" s="145"/>
    </row>
    <row r="6634">
      <c r="G6634" s="145"/>
    </row>
    <row r="6635">
      <c r="G6635" s="145"/>
    </row>
    <row r="6636">
      <c r="G6636" s="145"/>
    </row>
    <row r="6637">
      <c r="G6637" s="145"/>
    </row>
    <row r="6638">
      <c r="G6638" s="145"/>
    </row>
    <row r="6639">
      <c r="G6639" s="145"/>
    </row>
    <row r="6640">
      <c r="G6640" s="145"/>
    </row>
    <row r="6641">
      <c r="G6641" s="145"/>
    </row>
    <row r="6642">
      <c r="G6642" s="145"/>
    </row>
    <row r="6643">
      <c r="G6643" s="145"/>
    </row>
    <row r="6644">
      <c r="G6644" s="145"/>
    </row>
    <row r="6645">
      <c r="G6645" s="145"/>
    </row>
    <row r="6646">
      <c r="G6646" s="145"/>
    </row>
    <row r="6647">
      <c r="G6647" s="145"/>
    </row>
    <row r="6648">
      <c r="G6648" s="145"/>
    </row>
    <row r="6649">
      <c r="G6649" s="145"/>
    </row>
    <row r="6650">
      <c r="G6650" s="145"/>
    </row>
    <row r="6651">
      <c r="G6651" s="145"/>
    </row>
    <row r="6652">
      <c r="G6652" s="145"/>
    </row>
    <row r="6653">
      <c r="G6653" s="145"/>
    </row>
    <row r="6654">
      <c r="G6654" s="145"/>
    </row>
    <row r="6655">
      <c r="G6655" s="145"/>
    </row>
    <row r="6656">
      <c r="G6656" s="145"/>
    </row>
    <row r="6657">
      <c r="G6657" s="145"/>
    </row>
    <row r="6658">
      <c r="G6658" s="145"/>
    </row>
    <row r="6659">
      <c r="G6659" s="145"/>
    </row>
    <row r="6660">
      <c r="G6660" s="145"/>
    </row>
    <row r="6661">
      <c r="G6661" s="145"/>
    </row>
    <row r="6662">
      <c r="G6662" s="145"/>
    </row>
    <row r="6663">
      <c r="G6663" s="145"/>
    </row>
    <row r="6664">
      <c r="G6664" s="145"/>
    </row>
    <row r="6665">
      <c r="G6665" s="145"/>
    </row>
    <row r="6666">
      <c r="G6666" s="145"/>
    </row>
    <row r="6667">
      <c r="G6667" s="145"/>
    </row>
    <row r="6668">
      <c r="G6668" s="145"/>
    </row>
    <row r="6669">
      <c r="G6669" s="145"/>
    </row>
    <row r="6670">
      <c r="G6670" s="145"/>
    </row>
    <row r="6671">
      <c r="G6671" s="145"/>
    </row>
    <row r="6672">
      <c r="G6672" s="145"/>
    </row>
    <row r="6673">
      <c r="G6673" s="145"/>
    </row>
    <row r="6674">
      <c r="G6674" s="145"/>
    </row>
    <row r="6675">
      <c r="G6675" s="145"/>
    </row>
    <row r="6676">
      <c r="G6676" s="145"/>
    </row>
    <row r="6677">
      <c r="G6677" s="145"/>
    </row>
    <row r="6678">
      <c r="G6678" s="145"/>
    </row>
    <row r="6679">
      <c r="G6679" s="145"/>
    </row>
    <row r="6680">
      <c r="G6680" s="145"/>
    </row>
    <row r="6681">
      <c r="G6681" s="145"/>
    </row>
    <row r="6682">
      <c r="G6682" s="145"/>
    </row>
    <row r="6683">
      <c r="G6683" s="145"/>
    </row>
    <row r="6684">
      <c r="G6684" s="145"/>
    </row>
    <row r="6685">
      <c r="G6685" s="145"/>
    </row>
    <row r="6686">
      <c r="G6686" s="145"/>
    </row>
    <row r="6687">
      <c r="G6687" s="145"/>
    </row>
    <row r="6688">
      <c r="G6688" s="145"/>
    </row>
    <row r="6689">
      <c r="G6689" s="145"/>
    </row>
    <row r="6690">
      <c r="G6690" s="145"/>
    </row>
    <row r="6691">
      <c r="G6691" s="145"/>
    </row>
    <row r="6692">
      <c r="G6692" s="145"/>
    </row>
    <row r="6693">
      <c r="G6693" s="145"/>
    </row>
    <row r="6694">
      <c r="G6694" s="145"/>
    </row>
    <row r="6695">
      <c r="G6695" s="145"/>
    </row>
    <row r="6696">
      <c r="G6696" s="145"/>
    </row>
    <row r="6697">
      <c r="G6697" s="145"/>
    </row>
    <row r="6698">
      <c r="G6698" s="145"/>
    </row>
    <row r="6699">
      <c r="G6699" s="145"/>
    </row>
    <row r="6700">
      <c r="G6700" s="145"/>
    </row>
    <row r="6701">
      <c r="G6701" s="145"/>
    </row>
    <row r="6702">
      <c r="G6702" s="145"/>
    </row>
    <row r="6703">
      <c r="G6703" s="145"/>
    </row>
    <row r="6704">
      <c r="G6704" s="145"/>
    </row>
    <row r="6705">
      <c r="G6705" s="145"/>
    </row>
    <row r="6706">
      <c r="G6706" s="145"/>
    </row>
    <row r="6707">
      <c r="G6707" s="145"/>
    </row>
    <row r="6708">
      <c r="G6708" s="145"/>
    </row>
    <row r="6709">
      <c r="G6709" s="145"/>
    </row>
    <row r="6710">
      <c r="G6710" s="145"/>
    </row>
    <row r="6711">
      <c r="G6711" s="145"/>
    </row>
    <row r="6712">
      <c r="G6712" s="145"/>
    </row>
    <row r="6713">
      <c r="G6713" s="145"/>
    </row>
    <row r="6714">
      <c r="G6714" s="145"/>
    </row>
    <row r="6715">
      <c r="G6715" s="145"/>
    </row>
    <row r="6716">
      <c r="G6716" s="145"/>
    </row>
    <row r="6717">
      <c r="G6717" s="145"/>
    </row>
    <row r="6718">
      <c r="G6718" s="145"/>
    </row>
    <row r="6719">
      <c r="G6719" s="145"/>
    </row>
    <row r="6720">
      <c r="G6720" s="145"/>
    </row>
    <row r="6721">
      <c r="G6721" s="145"/>
    </row>
    <row r="6722">
      <c r="G6722" s="145"/>
    </row>
    <row r="6723">
      <c r="G6723" s="145"/>
    </row>
    <row r="6724">
      <c r="G6724" s="145"/>
    </row>
    <row r="6725">
      <c r="G6725" s="145"/>
    </row>
    <row r="6726">
      <c r="G6726" s="145"/>
    </row>
    <row r="6727">
      <c r="G6727" s="145"/>
    </row>
    <row r="6728">
      <c r="G6728" s="145"/>
    </row>
    <row r="6729">
      <c r="G6729" s="145"/>
    </row>
    <row r="6730">
      <c r="G6730" s="145"/>
    </row>
    <row r="6731">
      <c r="G6731" s="145"/>
    </row>
    <row r="6732">
      <c r="G6732" s="145"/>
    </row>
    <row r="6733">
      <c r="G6733" s="145"/>
    </row>
    <row r="6734">
      <c r="G6734" s="145"/>
    </row>
    <row r="6735">
      <c r="G6735" s="145"/>
    </row>
    <row r="6736">
      <c r="G6736" s="145"/>
    </row>
    <row r="6737">
      <c r="G6737" s="145"/>
    </row>
    <row r="6738">
      <c r="G6738" s="145"/>
    </row>
    <row r="6739">
      <c r="G6739" s="145"/>
    </row>
    <row r="6740">
      <c r="G6740" s="145"/>
    </row>
    <row r="6741">
      <c r="G6741" s="145"/>
    </row>
    <row r="6742">
      <c r="G6742" s="145"/>
    </row>
    <row r="6743">
      <c r="G6743" s="145"/>
    </row>
    <row r="6744">
      <c r="G6744" s="145"/>
    </row>
    <row r="6745">
      <c r="G6745" s="145"/>
    </row>
    <row r="6746">
      <c r="G6746" s="145"/>
    </row>
    <row r="6747">
      <c r="G6747" s="145"/>
    </row>
    <row r="6748">
      <c r="G6748" s="145"/>
    </row>
    <row r="6749">
      <c r="G6749" s="145"/>
    </row>
    <row r="6750">
      <c r="G6750" s="145"/>
    </row>
    <row r="6751">
      <c r="G6751" s="145"/>
    </row>
    <row r="6752">
      <c r="G6752" s="145"/>
    </row>
    <row r="6753">
      <c r="G6753" s="145"/>
    </row>
    <row r="6754">
      <c r="G6754" s="145"/>
    </row>
    <row r="6755">
      <c r="G6755" s="145"/>
    </row>
    <row r="6756">
      <c r="G6756" s="145"/>
    </row>
    <row r="6757">
      <c r="G6757" s="145"/>
    </row>
    <row r="6758">
      <c r="G6758" s="145"/>
    </row>
    <row r="6759">
      <c r="G6759" s="145"/>
    </row>
    <row r="6760">
      <c r="G6760" s="145"/>
    </row>
    <row r="6761">
      <c r="G6761" s="145"/>
    </row>
    <row r="6762">
      <c r="G6762" s="145"/>
    </row>
    <row r="6763">
      <c r="G6763" s="145"/>
    </row>
    <row r="6764">
      <c r="G6764" s="145"/>
    </row>
    <row r="6765">
      <c r="G6765" s="145"/>
    </row>
    <row r="6766">
      <c r="G6766" s="145"/>
    </row>
    <row r="6767">
      <c r="G6767" s="145"/>
    </row>
    <row r="6768">
      <c r="G6768" s="145"/>
    </row>
    <row r="6769">
      <c r="G6769" s="145"/>
    </row>
    <row r="6770">
      <c r="G6770" s="145"/>
    </row>
    <row r="6771">
      <c r="G6771" s="145"/>
    </row>
    <row r="6772">
      <c r="G6772" s="145"/>
    </row>
    <row r="6773">
      <c r="G6773" s="145"/>
    </row>
    <row r="6774">
      <c r="G6774" s="145"/>
    </row>
    <row r="6775">
      <c r="G6775" s="145"/>
    </row>
    <row r="6776">
      <c r="G6776" s="145"/>
    </row>
    <row r="6777">
      <c r="G6777" s="145"/>
    </row>
    <row r="6778">
      <c r="G6778" s="145"/>
    </row>
    <row r="6779">
      <c r="G6779" s="145"/>
    </row>
    <row r="6780">
      <c r="G6780" s="145"/>
    </row>
    <row r="6781">
      <c r="G6781" s="145"/>
    </row>
    <row r="6782">
      <c r="G6782" s="145"/>
    </row>
    <row r="6783">
      <c r="G6783" s="145"/>
    </row>
    <row r="6784">
      <c r="G6784" s="145"/>
    </row>
    <row r="6785">
      <c r="G6785" s="145"/>
    </row>
    <row r="6786">
      <c r="G6786" s="145"/>
    </row>
    <row r="6787">
      <c r="G6787" s="145"/>
    </row>
    <row r="6788">
      <c r="G6788" s="145"/>
    </row>
    <row r="6789">
      <c r="G6789" s="145"/>
    </row>
    <row r="6790">
      <c r="G6790" s="145"/>
    </row>
    <row r="6791">
      <c r="G6791" s="145"/>
    </row>
    <row r="6792">
      <c r="G6792" s="145"/>
    </row>
    <row r="6793">
      <c r="G6793" s="145"/>
    </row>
    <row r="6794">
      <c r="G6794" s="145"/>
    </row>
    <row r="6795">
      <c r="G6795" s="145"/>
    </row>
    <row r="6796">
      <c r="G6796" s="145"/>
    </row>
    <row r="6797">
      <c r="G6797" s="145"/>
    </row>
    <row r="6798">
      <c r="G6798" s="145"/>
    </row>
    <row r="6799">
      <c r="G6799" s="145"/>
    </row>
    <row r="6800">
      <c r="G6800" s="145"/>
    </row>
    <row r="6801">
      <c r="G6801" s="145"/>
    </row>
    <row r="6802">
      <c r="G6802" s="145"/>
    </row>
    <row r="6803">
      <c r="G6803" s="145"/>
    </row>
    <row r="6804">
      <c r="G6804" s="145"/>
    </row>
    <row r="6805">
      <c r="G6805" s="145"/>
    </row>
    <row r="6806">
      <c r="G6806" s="145"/>
    </row>
    <row r="6807">
      <c r="G6807" s="145"/>
    </row>
    <row r="6808">
      <c r="G6808" s="145"/>
    </row>
    <row r="6809">
      <c r="G6809" s="145"/>
    </row>
    <row r="6810">
      <c r="G6810" s="145"/>
    </row>
    <row r="6811">
      <c r="G6811" s="145"/>
    </row>
    <row r="6812">
      <c r="G6812" s="145"/>
    </row>
    <row r="6813">
      <c r="G6813" s="145"/>
    </row>
    <row r="6814">
      <c r="G6814" s="145"/>
    </row>
    <row r="6815">
      <c r="G6815" s="145"/>
    </row>
    <row r="6816">
      <c r="G6816" s="145"/>
    </row>
    <row r="6817">
      <c r="G6817" s="145"/>
    </row>
    <row r="6818">
      <c r="G6818" s="145"/>
    </row>
    <row r="6819">
      <c r="G6819" s="145"/>
    </row>
    <row r="6820">
      <c r="G6820" s="145"/>
    </row>
    <row r="6821">
      <c r="G6821" s="145"/>
    </row>
    <row r="6822">
      <c r="G6822" s="145"/>
    </row>
    <row r="6823">
      <c r="G6823" s="145"/>
    </row>
    <row r="6824">
      <c r="G6824" s="145"/>
    </row>
    <row r="6825">
      <c r="G6825" s="145"/>
    </row>
    <row r="6826">
      <c r="G6826" s="145"/>
    </row>
    <row r="6827">
      <c r="G6827" s="145"/>
    </row>
    <row r="6828">
      <c r="G6828" s="145"/>
    </row>
    <row r="6829">
      <c r="G6829" s="145"/>
    </row>
    <row r="6830">
      <c r="G6830" s="145"/>
    </row>
    <row r="6831">
      <c r="G6831" s="145"/>
    </row>
    <row r="6832">
      <c r="G6832" s="145"/>
    </row>
    <row r="6833">
      <c r="G6833" s="145"/>
    </row>
    <row r="6834">
      <c r="G6834" s="145"/>
    </row>
    <row r="6835">
      <c r="G6835" s="145"/>
    </row>
    <row r="6836">
      <c r="G6836" s="145"/>
    </row>
    <row r="6837">
      <c r="G6837" s="145"/>
    </row>
    <row r="6838">
      <c r="G6838" s="145"/>
    </row>
    <row r="6839">
      <c r="G6839" s="145"/>
    </row>
    <row r="6840">
      <c r="G6840" s="145"/>
    </row>
    <row r="6841">
      <c r="G6841" s="145"/>
    </row>
    <row r="6842">
      <c r="G6842" s="145"/>
    </row>
    <row r="6843">
      <c r="G6843" s="145"/>
    </row>
    <row r="6844">
      <c r="G6844" s="145"/>
    </row>
    <row r="6845">
      <c r="G6845" s="145"/>
    </row>
    <row r="6846">
      <c r="G6846" s="145"/>
    </row>
    <row r="6847">
      <c r="G6847" s="145"/>
    </row>
    <row r="6848">
      <c r="G6848" s="145"/>
    </row>
    <row r="6849">
      <c r="G6849" s="145"/>
    </row>
    <row r="6850">
      <c r="G6850" s="145"/>
    </row>
    <row r="6851">
      <c r="G6851" s="145"/>
    </row>
    <row r="6852">
      <c r="G6852" s="145"/>
    </row>
    <row r="6853">
      <c r="G6853" s="145"/>
    </row>
    <row r="6854">
      <c r="G6854" s="145"/>
    </row>
    <row r="6855">
      <c r="G6855" s="145"/>
    </row>
    <row r="6856">
      <c r="G6856" s="145"/>
    </row>
    <row r="6857">
      <c r="G6857" s="145"/>
    </row>
    <row r="6858">
      <c r="G6858" s="145"/>
    </row>
    <row r="6859">
      <c r="G6859" s="145"/>
    </row>
    <row r="6860">
      <c r="G6860" s="145"/>
    </row>
    <row r="6861">
      <c r="G6861" s="145"/>
    </row>
    <row r="6862">
      <c r="G6862" s="145"/>
    </row>
    <row r="6863">
      <c r="G6863" s="145"/>
    </row>
    <row r="6864">
      <c r="G6864" s="145"/>
    </row>
    <row r="6865">
      <c r="G6865" s="145"/>
    </row>
    <row r="6866">
      <c r="G6866" s="145"/>
    </row>
    <row r="6867">
      <c r="G6867" s="145"/>
    </row>
    <row r="6868">
      <c r="G6868" s="145"/>
    </row>
    <row r="6869">
      <c r="G6869" s="145"/>
    </row>
    <row r="6870">
      <c r="G6870" s="145"/>
    </row>
    <row r="6871">
      <c r="G6871" s="145"/>
    </row>
    <row r="6872">
      <c r="G6872" s="145"/>
    </row>
    <row r="6873">
      <c r="G6873" s="145"/>
    </row>
    <row r="6874">
      <c r="G6874" s="145"/>
    </row>
    <row r="6875">
      <c r="G6875" s="145"/>
    </row>
    <row r="6876">
      <c r="G6876" s="145"/>
    </row>
    <row r="6877">
      <c r="G6877" s="145"/>
    </row>
    <row r="6878">
      <c r="G6878" s="145"/>
    </row>
    <row r="6879">
      <c r="G6879" s="145"/>
    </row>
    <row r="6880">
      <c r="G6880" s="145"/>
    </row>
    <row r="6881">
      <c r="G6881" s="145"/>
    </row>
    <row r="6882">
      <c r="G6882" s="145"/>
    </row>
    <row r="6883">
      <c r="G6883" s="145"/>
    </row>
    <row r="6884">
      <c r="G6884" s="145"/>
    </row>
    <row r="6885">
      <c r="G6885" s="145"/>
    </row>
    <row r="6886">
      <c r="G6886" s="145"/>
    </row>
    <row r="6887">
      <c r="G6887" s="145"/>
    </row>
    <row r="6888">
      <c r="G6888" s="145"/>
    </row>
    <row r="6889">
      <c r="G6889" s="145"/>
    </row>
    <row r="6890">
      <c r="G6890" s="145"/>
    </row>
    <row r="6891">
      <c r="G6891" s="145"/>
    </row>
    <row r="6892">
      <c r="G6892" s="145"/>
    </row>
    <row r="6893">
      <c r="G6893" s="145"/>
    </row>
    <row r="6894">
      <c r="G6894" s="145"/>
    </row>
    <row r="6895">
      <c r="G6895" s="145"/>
    </row>
    <row r="6896">
      <c r="G6896" s="145"/>
    </row>
    <row r="6897">
      <c r="G6897" s="145"/>
    </row>
    <row r="6898">
      <c r="G6898" s="145"/>
    </row>
    <row r="6899">
      <c r="G6899" s="145"/>
    </row>
    <row r="6900">
      <c r="G6900" s="145"/>
    </row>
    <row r="6901">
      <c r="G6901" s="145"/>
    </row>
    <row r="6902">
      <c r="G6902" s="145"/>
    </row>
    <row r="6903">
      <c r="G6903" s="145"/>
    </row>
    <row r="6904">
      <c r="G6904" s="145"/>
    </row>
    <row r="6905">
      <c r="G6905" s="145"/>
    </row>
    <row r="6906">
      <c r="G6906" s="145"/>
    </row>
    <row r="6907">
      <c r="G6907" s="145"/>
    </row>
    <row r="6908">
      <c r="G6908" s="145"/>
    </row>
    <row r="6909">
      <c r="G6909" s="145"/>
    </row>
    <row r="6910">
      <c r="G6910" s="145"/>
    </row>
    <row r="6911">
      <c r="G6911" s="145"/>
    </row>
    <row r="6912">
      <c r="G6912" s="145"/>
    </row>
    <row r="6913">
      <c r="G6913" s="145"/>
    </row>
    <row r="6914">
      <c r="G6914" s="145"/>
    </row>
    <row r="6915">
      <c r="G6915" s="145"/>
    </row>
    <row r="6916">
      <c r="G6916" s="145"/>
    </row>
    <row r="6917">
      <c r="G6917" s="145"/>
    </row>
    <row r="6918">
      <c r="G6918" s="145"/>
    </row>
    <row r="6919">
      <c r="G6919" s="145"/>
    </row>
    <row r="6920">
      <c r="G6920" s="145"/>
    </row>
    <row r="6921">
      <c r="G6921" s="145"/>
    </row>
    <row r="6922">
      <c r="G6922" s="145"/>
    </row>
    <row r="6923">
      <c r="G6923" s="145"/>
    </row>
    <row r="6924">
      <c r="G6924" s="145"/>
    </row>
    <row r="6925">
      <c r="G6925" s="145"/>
    </row>
    <row r="6926">
      <c r="G6926" s="145"/>
    </row>
    <row r="6927">
      <c r="G6927" s="145"/>
    </row>
    <row r="6928">
      <c r="G6928" s="145"/>
    </row>
    <row r="6929">
      <c r="G6929" s="145"/>
    </row>
    <row r="6930">
      <c r="G6930" s="145"/>
    </row>
    <row r="6931">
      <c r="G6931" s="145"/>
    </row>
    <row r="6932">
      <c r="G6932" s="145"/>
    </row>
    <row r="6933">
      <c r="G6933" s="145"/>
    </row>
    <row r="6934">
      <c r="G6934" s="145"/>
    </row>
    <row r="6935">
      <c r="G6935" s="145"/>
    </row>
    <row r="6936">
      <c r="G6936" s="145"/>
    </row>
    <row r="6937">
      <c r="G6937" s="145"/>
    </row>
    <row r="6938">
      <c r="G6938" s="145"/>
    </row>
    <row r="6939">
      <c r="G6939" s="145"/>
    </row>
    <row r="6940">
      <c r="G6940" s="145"/>
    </row>
    <row r="6941">
      <c r="G6941" s="145"/>
    </row>
    <row r="6942">
      <c r="G6942" s="145"/>
    </row>
    <row r="6943">
      <c r="G6943" s="145"/>
    </row>
    <row r="6944">
      <c r="G6944" s="145"/>
    </row>
    <row r="6945">
      <c r="G6945" s="145"/>
    </row>
    <row r="6946">
      <c r="G6946" s="145"/>
    </row>
    <row r="6947">
      <c r="G6947" s="145"/>
    </row>
    <row r="6948">
      <c r="G6948" s="145"/>
    </row>
    <row r="6949">
      <c r="G6949" s="145"/>
    </row>
    <row r="6950">
      <c r="G6950" s="145"/>
    </row>
    <row r="6951">
      <c r="G6951" s="145"/>
    </row>
    <row r="6952">
      <c r="G6952" s="145"/>
    </row>
    <row r="6953">
      <c r="G6953" s="145"/>
    </row>
    <row r="6954">
      <c r="G6954" s="145"/>
    </row>
    <row r="6955">
      <c r="G6955" s="145"/>
    </row>
    <row r="6956">
      <c r="G6956" s="145"/>
    </row>
    <row r="6957">
      <c r="G6957" s="145"/>
    </row>
    <row r="6958">
      <c r="G6958" s="145"/>
    </row>
    <row r="6959">
      <c r="G6959" s="145"/>
    </row>
    <row r="6960">
      <c r="G6960" s="145"/>
    </row>
    <row r="6961">
      <c r="G6961" s="145"/>
    </row>
    <row r="6962">
      <c r="G6962" s="145"/>
    </row>
    <row r="6963">
      <c r="G6963" s="145"/>
    </row>
    <row r="6964">
      <c r="G6964" s="145"/>
    </row>
    <row r="6965">
      <c r="G6965" s="145"/>
    </row>
    <row r="6966">
      <c r="G6966" s="145"/>
    </row>
    <row r="6967">
      <c r="G6967" s="145"/>
    </row>
    <row r="6968">
      <c r="G6968" s="145"/>
    </row>
    <row r="6969">
      <c r="G6969" s="145"/>
    </row>
    <row r="6970">
      <c r="G6970" s="145"/>
    </row>
    <row r="6971">
      <c r="G6971" s="145"/>
    </row>
    <row r="6972">
      <c r="G6972" s="145"/>
    </row>
    <row r="6973">
      <c r="G6973" s="145"/>
    </row>
    <row r="6974">
      <c r="G6974" s="145"/>
    </row>
    <row r="6975">
      <c r="G6975" s="145"/>
    </row>
    <row r="6976">
      <c r="G6976" s="145"/>
    </row>
    <row r="6977">
      <c r="G6977" s="145"/>
    </row>
    <row r="6978">
      <c r="G6978" s="145"/>
    </row>
    <row r="6979">
      <c r="G6979" s="145"/>
    </row>
    <row r="6980">
      <c r="G6980" s="145"/>
    </row>
    <row r="6981">
      <c r="G6981" s="145"/>
    </row>
    <row r="6982">
      <c r="G6982" s="145"/>
    </row>
    <row r="6983">
      <c r="G6983" s="145"/>
    </row>
    <row r="6984">
      <c r="G6984" s="145"/>
    </row>
    <row r="6985">
      <c r="G6985" s="145"/>
    </row>
    <row r="6986">
      <c r="G6986" s="145"/>
    </row>
    <row r="6987">
      <c r="G6987" s="145"/>
    </row>
    <row r="6988">
      <c r="G6988" s="145"/>
    </row>
    <row r="6989">
      <c r="G6989" s="145"/>
    </row>
    <row r="6990">
      <c r="G6990" s="145"/>
    </row>
    <row r="6991">
      <c r="G6991" s="145"/>
    </row>
    <row r="6992">
      <c r="G6992" s="145"/>
    </row>
    <row r="6993">
      <c r="G6993" s="145"/>
    </row>
    <row r="6994">
      <c r="G6994" s="145"/>
    </row>
    <row r="6995">
      <c r="G6995" s="145"/>
    </row>
    <row r="6996">
      <c r="G6996" s="145"/>
    </row>
    <row r="6997">
      <c r="G6997" s="145"/>
    </row>
    <row r="6998">
      <c r="G6998" s="145"/>
    </row>
    <row r="6999">
      <c r="G6999" s="145"/>
    </row>
    <row r="7000">
      <c r="G7000" s="145"/>
    </row>
    <row r="7001">
      <c r="G7001" s="145"/>
    </row>
    <row r="7002">
      <c r="G7002" s="145"/>
    </row>
    <row r="7003">
      <c r="G7003" s="145"/>
    </row>
    <row r="7004">
      <c r="G7004" s="145"/>
    </row>
    <row r="7005">
      <c r="G7005" s="145"/>
    </row>
    <row r="7006">
      <c r="G7006" s="145"/>
    </row>
    <row r="7007">
      <c r="G7007" s="145"/>
    </row>
    <row r="7008">
      <c r="G7008" s="145"/>
    </row>
    <row r="7009">
      <c r="G7009" s="145"/>
    </row>
    <row r="7010">
      <c r="G7010" s="145"/>
    </row>
    <row r="7011">
      <c r="G7011" s="145"/>
    </row>
    <row r="7012">
      <c r="G7012" s="145"/>
    </row>
    <row r="7013">
      <c r="G7013" s="145"/>
    </row>
    <row r="7014">
      <c r="G7014" s="145"/>
    </row>
    <row r="7015">
      <c r="G7015" s="145"/>
    </row>
    <row r="7016">
      <c r="G7016" s="145"/>
    </row>
    <row r="7017">
      <c r="G7017" s="145"/>
    </row>
    <row r="7018">
      <c r="G7018" s="145"/>
    </row>
    <row r="7019">
      <c r="G7019" s="145"/>
    </row>
    <row r="7020">
      <c r="G7020" s="145"/>
    </row>
    <row r="7021">
      <c r="G7021" s="145"/>
    </row>
    <row r="7022">
      <c r="G7022" s="145"/>
    </row>
    <row r="7023">
      <c r="G7023" s="145"/>
    </row>
    <row r="7024">
      <c r="G7024" s="145"/>
    </row>
    <row r="7025">
      <c r="G7025" s="145"/>
    </row>
    <row r="7026">
      <c r="G7026" s="145"/>
    </row>
    <row r="7027">
      <c r="G7027" s="145"/>
    </row>
    <row r="7028">
      <c r="G7028" s="145"/>
    </row>
    <row r="7029">
      <c r="G7029" s="145"/>
    </row>
    <row r="7030">
      <c r="G7030" s="145"/>
    </row>
    <row r="7031">
      <c r="G7031" s="145"/>
    </row>
    <row r="7032">
      <c r="G7032" s="145"/>
    </row>
    <row r="7033">
      <c r="G7033" s="145"/>
    </row>
    <row r="7034">
      <c r="G7034" s="145"/>
    </row>
    <row r="7035">
      <c r="G7035" s="145"/>
    </row>
    <row r="7036">
      <c r="G7036" s="145"/>
    </row>
    <row r="7037">
      <c r="G7037" s="145"/>
    </row>
    <row r="7038">
      <c r="G7038" s="145"/>
    </row>
    <row r="7039">
      <c r="G7039" s="145"/>
    </row>
    <row r="7040">
      <c r="G7040" s="145"/>
    </row>
    <row r="7041">
      <c r="G7041" s="145"/>
    </row>
    <row r="7042">
      <c r="G7042" s="145"/>
    </row>
    <row r="7043">
      <c r="G7043" s="145"/>
    </row>
    <row r="7044">
      <c r="G7044" s="145"/>
    </row>
    <row r="7045">
      <c r="G7045" s="145"/>
    </row>
    <row r="7046">
      <c r="G7046" s="145"/>
    </row>
    <row r="7047">
      <c r="G7047" s="145"/>
    </row>
    <row r="7048">
      <c r="G7048" s="145"/>
    </row>
    <row r="7049">
      <c r="G7049" s="145"/>
    </row>
    <row r="7050">
      <c r="G7050" s="145"/>
    </row>
    <row r="7051">
      <c r="G7051" s="145"/>
    </row>
    <row r="7052">
      <c r="G7052" s="145"/>
    </row>
    <row r="7053">
      <c r="G7053" s="145"/>
    </row>
    <row r="7054">
      <c r="G7054" s="145"/>
    </row>
    <row r="7055">
      <c r="G7055" s="145"/>
    </row>
    <row r="7056">
      <c r="G7056" s="145"/>
    </row>
    <row r="7057">
      <c r="G7057" s="145"/>
    </row>
    <row r="7058">
      <c r="G7058" s="145"/>
    </row>
    <row r="7059">
      <c r="G7059" s="145"/>
    </row>
    <row r="7060">
      <c r="G7060" s="145"/>
    </row>
    <row r="7061">
      <c r="G7061" s="145"/>
    </row>
    <row r="7062">
      <c r="G7062" s="145"/>
    </row>
    <row r="7063">
      <c r="G7063" s="145"/>
    </row>
    <row r="7064">
      <c r="G7064" s="145"/>
    </row>
    <row r="7065">
      <c r="G7065" s="145"/>
    </row>
    <row r="7066">
      <c r="G7066" s="145"/>
    </row>
    <row r="7067">
      <c r="G7067" s="145"/>
    </row>
    <row r="7068">
      <c r="G7068" s="145"/>
    </row>
    <row r="7069">
      <c r="G7069" s="145"/>
    </row>
    <row r="7070">
      <c r="G7070" s="145"/>
    </row>
    <row r="7071">
      <c r="G7071" s="145"/>
    </row>
    <row r="7072">
      <c r="G7072" s="145"/>
    </row>
    <row r="7073">
      <c r="G7073" s="145"/>
    </row>
    <row r="7074">
      <c r="G7074" s="145"/>
    </row>
    <row r="7075">
      <c r="G7075" s="145"/>
    </row>
    <row r="7076">
      <c r="G7076" s="145"/>
    </row>
    <row r="7077">
      <c r="G7077" s="145"/>
    </row>
    <row r="7078">
      <c r="G7078" s="145"/>
    </row>
    <row r="7079">
      <c r="G7079" s="145"/>
    </row>
    <row r="7080">
      <c r="G7080" s="145"/>
    </row>
    <row r="7081">
      <c r="G7081" s="145"/>
    </row>
    <row r="7082">
      <c r="G7082" s="145"/>
    </row>
    <row r="7083">
      <c r="G7083" s="145"/>
    </row>
    <row r="7084">
      <c r="G7084" s="145"/>
    </row>
    <row r="7085">
      <c r="G7085" s="145"/>
    </row>
    <row r="7086">
      <c r="G7086" s="145"/>
    </row>
    <row r="7087">
      <c r="G7087" s="145"/>
    </row>
    <row r="7088">
      <c r="G7088" s="145"/>
    </row>
    <row r="7089">
      <c r="G7089" s="145"/>
    </row>
    <row r="7090">
      <c r="G7090" s="145"/>
    </row>
    <row r="7091">
      <c r="G7091" s="145"/>
    </row>
    <row r="7092">
      <c r="G7092" s="145"/>
    </row>
    <row r="7093">
      <c r="G7093" s="145"/>
    </row>
    <row r="7094">
      <c r="G7094" s="145"/>
    </row>
    <row r="7095">
      <c r="G7095" s="145"/>
    </row>
    <row r="7096">
      <c r="G7096" s="145"/>
    </row>
    <row r="7097">
      <c r="G7097" s="145"/>
    </row>
    <row r="7098">
      <c r="G7098" s="145"/>
    </row>
    <row r="7099">
      <c r="G7099" s="145"/>
    </row>
    <row r="7100">
      <c r="G7100" s="145"/>
    </row>
    <row r="7101">
      <c r="G7101" s="145"/>
    </row>
    <row r="7102">
      <c r="G7102" s="145"/>
    </row>
    <row r="7103">
      <c r="G7103" s="145"/>
    </row>
    <row r="7104">
      <c r="G7104" s="145"/>
    </row>
    <row r="7105">
      <c r="G7105" s="145"/>
    </row>
    <row r="7106">
      <c r="G7106" s="145"/>
    </row>
    <row r="7107">
      <c r="G7107" s="145"/>
    </row>
    <row r="7108">
      <c r="G7108" s="145"/>
    </row>
    <row r="7109">
      <c r="G7109" s="145"/>
    </row>
    <row r="7110">
      <c r="G7110" s="145"/>
    </row>
    <row r="7111">
      <c r="G7111" s="145"/>
    </row>
    <row r="7112">
      <c r="G7112" s="145"/>
    </row>
    <row r="7113">
      <c r="G7113" s="145"/>
    </row>
    <row r="7114">
      <c r="G7114" s="145"/>
    </row>
    <row r="7115">
      <c r="G7115" s="145"/>
    </row>
    <row r="7116">
      <c r="G7116" s="145"/>
    </row>
    <row r="7117">
      <c r="G7117" s="145"/>
    </row>
    <row r="7118">
      <c r="G7118" s="145"/>
    </row>
    <row r="7119">
      <c r="G7119" s="145"/>
    </row>
    <row r="7120">
      <c r="G7120" s="145"/>
    </row>
    <row r="7121">
      <c r="G7121" s="145"/>
    </row>
    <row r="7122">
      <c r="G7122" s="145"/>
    </row>
    <row r="7123">
      <c r="G7123" s="145"/>
    </row>
    <row r="7124">
      <c r="G7124" s="145"/>
    </row>
    <row r="7125">
      <c r="G7125" s="145"/>
    </row>
    <row r="7126">
      <c r="G7126" s="145"/>
    </row>
    <row r="7127">
      <c r="G7127" s="145"/>
    </row>
    <row r="7128">
      <c r="G7128" s="145"/>
    </row>
    <row r="7129">
      <c r="G7129" s="145"/>
    </row>
    <row r="7130">
      <c r="G7130" s="145"/>
    </row>
    <row r="7131">
      <c r="G7131" s="145"/>
    </row>
    <row r="7132">
      <c r="G7132" s="145"/>
    </row>
    <row r="7133">
      <c r="G7133" s="145"/>
    </row>
    <row r="7134">
      <c r="G7134" s="145"/>
    </row>
    <row r="7135">
      <c r="G7135" s="145"/>
    </row>
    <row r="7136">
      <c r="G7136" s="145"/>
    </row>
    <row r="7137">
      <c r="G7137" s="145"/>
    </row>
    <row r="7138">
      <c r="G7138" s="145"/>
    </row>
    <row r="7139">
      <c r="G7139" s="145"/>
    </row>
    <row r="7140">
      <c r="G7140" s="145"/>
    </row>
    <row r="7141">
      <c r="G7141" s="145"/>
    </row>
    <row r="7142">
      <c r="G7142" s="145"/>
    </row>
    <row r="7143">
      <c r="G7143" s="145"/>
    </row>
    <row r="7144">
      <c r="G7144" s="145"/>
    </row>
    <row r="7145">
      <c r="G7145" s="145"/>
    </row>
    <row r="7146">
      <c r="G7146" s="145"/>
    </row>
    <row r="7147">
      <c r="G7147" s="145"/>
    </row>
    <row r="7148">
      <c r="G7148" s="145"/>
    </row>
    <row r="7149">
      <c r="G7149" s="145"/>
    </row>
    <row r="7150">
      <c r="G7150" s="145"/>
    </row>
    <row r="7151">
      <c r="G7151" s="145"/>
    </row>
    <row r="7152">
      <c r="G7152" s="145"/>
    </row>
    <row r="7153">
      <c r="G7153" s="145"/>
    </row>
    <row r="7154">
      <c r="G7154" s="145"/>
    </row>
    <row r="7155">
      <c r="G7155" s="145"/>
    </row>
    <row r="7156">
      <c r="G7156" s="145"/>
    </row>
    <row r="7157">
      <c r="G7157" s="145"/>
    </row>
    <row r="7158">
      <c r="G7158" s="145"/>
    </row>
    <row r="7159">
      <c r="G7159" s="145"/>
    </row>
    <row r="7160">
      <c r="G7160" s="145"/>
    </row>
    <row r="7161">
      <c r="G7161" s="145"/>
    </row>
    <row r="7162">
      <c r="G7162" s="145"/>
    </row>
    <row r="7163">
      <c r="G7163" s="145"/>
    </row>
    <row r="7164">
      <c r="G7164" s="145"/>
    </row>
    <row r="7165">
      <c r="G7165" s="145"/>
    </row>
    <row r="7166">
      <c r="G7166" s="145"/>
    </row>
    <row r="7167">
      <c r="G7167" s="145"/>
    </row>
    <row r="7168">
      <c r="G7168" s="145"/>
    </row>
    <row r="7169">
      <c r="G7169" s="145"/>
    </row>
    <row r="7170">
      <c r="G7170" s="145"/>
    </row>
    <row r="7171">
      <c r="G7171" s="145"/>
    </row>
    <row r="7172">
      <c r="G7172" s="145"/>
    </row>
    <row r="7173">
      <c r="G7173" s="145"/>
    </row>
    <row r="7174">
      <c r="G7174" s="145"/>
    </row>
    <row r="7175">
      <c r="G7175" s="145"/>
    </row>
    <row r="7176">
      <c r="G7176" s="145"/>
    </row>
    <row r="7177">
      <c r="G7177" s="145"/>
    </row>
    <row r="7178">
      <c r="G7178" s="145"/>
    </row>
    <row r="7179">
      <c r="G7179" s="145"/>
    </row>
    <row r="7180">
      <c r="G7180" s="145"/>
    </row>
    <row r="7181">
      <c r="G7181" s="145"/>
    </row>
    <row r="7182">
      <c r="G7182" s="145"/>
    </row>
    <row r="7183">
      <c r="G7183" s="145"/>
    </row>
    <row r="7184">
      <c r="G7184" s="145"/>
    </row>
    <row r="7185">
      <c r="G7185" s="145"/>
    </row>
    <row r="7186">
      <c r="G7186" s="145"/>
    </row>
    <row r="7187">
      <c r="G7187" s="145"/>
    </row>
    <row r="7188">
      <c r="G7188" s="145"/>
    </row>
    <row r="7189">
      <c r="G7189" s="145"/>
    </row>
    <row r="7190">
      <c r="G7190" s="145"/>
    </row>
    <row r="7191">
      <c r="G7191" s="145"/>
    </row>
    <row r="7192">
      <c r="G7192" s="145"/>
    </row>
    <row r="7193">
      <c r="G7193" s="145"/>
    </row>
    <row r="7194">
      <c r="G7194" s="145"/>
    </row>
    <row r="7195">
      <c r="G7195" s="145"/>
    </row>
    <row r="7196">
      <c r="G7196" s="145"/>
    </row>
    <row r="7197">
      <c r="G7197" s="145"/>
    </row>
    <row r="7198">
      <c r="G7198" s="145"/>
    </row>
    <row r="7199">
      <c r="G7199" s="145"/>
    </row>
    <row r="7200">
      <c r="G7200" s="145"/>
    </row>
    <row r="7201">
      <c r="G7201" s="145"/>
    </row>
    <row r="7202">
      <c r="G7202" s="145"/>
    </row>
    <row r="7203">
      <c r="G7203" s="145"/>
    </row>
    <row r="7204">
      <c r="G7204" s="145"/>
    </row>
    <row r="7205">
      <c r="G7205" s="145"/>
    </row>
    <row r="7206">
      <c r="G7206" s="145"/>
    </row>
    <row r="7207">
      <c r="G7207" s="145"/>
    </row>
    <row r="7208">
      <c r="G7208" s="145"/>
    </row>
    <row r="7209">
      <c r="G7209" s="145"/>
    </row>
    <row r="7210">
      <c r="G7210" s="145"/>
    </row>
    <row r="7211">
      <c r="G7211" s="145"/>
    </row>
    <row r="7212">
      <c r="G7212" s="145"/>
    </row>
    <row r="7213">
      <c r="G7213" s="145"/>
    </row>
    <row r="7214">
      <c r="G7214" s="145"/>
    </row>
    <row r="7215">
      <c r="G7215" s="145"/>
    </row>
    <row r="7216">
      <c r="G7216" s="145"/>
    </row>
    <row r="7217">
      <c r="G7217" s="145"/>
    </row>
    <row r="7218">
      <c r="G7218" s="145"/>
    </row>
    <row r="7219">
      <c r="G7219" s="145"/>
    </row>
    <row r="7220">
      <c r="G7220" s="145"/>
    </row>
    <row r="7221">
      <c r="G7221" s="145"/>
    </row>
    <row r="7222">
      <c r="G7222" s="145"/>
    </row>
    <row r="7223">
      <c r="G7223" s="145"/>
    </row>
    <row r="7224">
      <c r="G7224" s="145"/>
    </row>
    <row r="7225">
      <c r="G7225" s="145"/>
    </row>
    <row r="7226">
      <c r="G7226" s="145"/>
    </row>
    <row r="7227">
      <c r="G7227" s="145"/>
    </row>
    <row r="7228">
      <c r="G7228" s="145"/>
    </row>
    <row r="7229">
      <c r="G7229" s="145"/>
    </row>
    <row r="7230">
      <c r="G7230" s="145"/>
    </row>
    <row r="7231">
      <c r="G7231" s="145"/>
    </row>
    <row r="7232">
      <c r="G7232" s="145"/>
    </row>
    <row r="7233">
      <c r="G7233" s="145"/>
    </row>
    <row r="7234">
      <c r="G7234" s="145"/>
    </row>
    <row r="7235">
      <c r="G7235" s="145"/>
    </row>
    <row r="7236">
      <c r="G7236" s="145"/>
    </row>
    <row r="7237">
      <c r="G7237" s="145"/>
    </row>
    <row r="7238">
      <c r="G7238" s="145"/>
    </row>
    <row r="7239">
      <c r="G7239" s="145"/>
    </row>
    <row r="7240">
      <c r="G7240" s="145"/>
    </row>
    <row r="7241">
      <c r="G7241" s="145"/>
    </row>
    <row r="7242">
      <c r="G7242" s="145"/>
    </row>
    <row r="7243">
      <c r="G7243" s="145"/>
    </row>
    <row r="7244">
      <c r="G7244" s="145"/>
    </row>
    <row r="7245">
      <c r="G7245" s="145"/>
    </row>
    <row r="7246">
      <c r="G7246" s="145"/>
    </row>
    <row r="7247">
      <c r="G7247" s="145"/>
    </row>
    <row r="7248">
      <c r="G7248" s="145"/>
    </row>
    <row r="7249">
      <c r="G7249" s="145"/>
    </row>
    <row r="7250">
      <c r="G7250" s="145"/>
    </row>
    <row r="7251">
      <c r="G7251" s="145"/>
    </row>
    <row r="7252">
      <c r="G7252" s="145"/>
    </row>
    <row r="7253">
      <c r="G7253" s="145"/>
    </row>
    <row r="7254">
      <c r="G7254" s="145"/>
    </row>
    <row r="7255">
      <c r="G7255" s="145"/>
    </row>
    <row r="7256">
      <c r="G7256" s="145"/>
    </row>
    <row r="7257">
      <c r="G7257" s="145"/>
    </row>
    <row r="7258">
      <c r="G7258" s="145"/>
    </row>
    <row r="7259">
      <c r="G7259" s="145"/>
    </row>
    <row r="7260">
      <c r="G7260" s="145"/>
    </row>
    <row r="7261">
      <c r="G7261" s="145"/>
    </row>
    <row r="7262">
      <c r="G7262" s="145"/>
    </row>
    <row r="7263">
      <c r="G7263" s="145"/>
    </row>
    <row r="7264">
      <c r="G7264" s="145"/>
    </row>
    <row r="7265">
      <c r="G7265" s="145"/>
    </row>
    <row r="7266">
      <c r="G7266" s="145"/>
    </row>
    <row r="7267">
      <c r="G7267" s="145"/>
    </row>
    <row r="7268">
      <c r="G7268" s="145"/>
    </row>
    <row r="7269">
      <c r="G7269" s="145"/>
    </row>
    <row r="7270">
      <c r="G7270" s="145"/>
    </row>
    <row r="7271">
      <c r="G7271" s="145"/>
    </row>
    <row r="7272">
      <c r="G7272" s="145"/>
    </row>
    <row r="7273">
      <c r="G7273" s="145"/>
    </row>
    <row r="7274">
      <c r="G7274" s="145"/>
    </row>
    <row r="7275">
      <c r="G7275" s="145"/>
    </row>
    <row r="7276">
      <c r="G7276" s="145"/>
    </row>
    <row r="7277">
      <c r="G7277" s="145"/>
    </row>
    <row r="7278">
      <c r="G7278" s="145"/>
    </row>
    <row r="7279">
      <c r="G7279" s="145"/>
    </row>
    <row r="7280">
      <c r="G7280" s="145"/>
    </row>
    <row r="7281">
      <c r="G7281" s="145"/>
    </row>
    <row r="7282">
      <c r="G7282" s="145"/>
    </row>
    <row r="7283">
      <c r="G7283" s="145"/>
    </row>
    <row r="7284">
      <c r="G7284" s="145"/>
    </row>
    <row r="7285">
      <c r="G7285" s="145"/>
    </row>
    <row r="7286">
      <c r="G7286" s="145"/>
    </row>
    <row r="7287">
      <c r="G7287" s="145"/>
    </row>
    <row r="7288">
      <c r="G7288" s="145"/>
    </row>
    <row r="7289">
      <c r="G7289" s="145"/>
    </row>
    <row r="7290">
      <c r="G7290" s="145"/>
    </row>
    <row r="7291">
      <c r="G7291" s="145"/>
    </row>
    <row r="7292">
      <c r="G7292" s="145"/>
    </row>
    <row r="7293">
      <c r="G7293" s="145"/>
    </row>
    <row r="7294">
      <c r="G7294" s="145"/>
    </row>
    <row r="7295">
      <c r="G7295" s="145"/>
    </row>
    <row r="7296">
      <c r="G7296" s="145"/>
    </row>
    <row r="7297">
      <c r="G7297" s="145"/>
    </row>
    <row r="7298">
      <c r="G7298" s="145"/>
    </row>
    <row r="7299">
      <c r="G7299" s="145"/>
    </row>
    <row r="7300">
      <c r="G7300" s="145"/>
    </row>
    <row r="7301">
      <c r="G7301" s="145"/>
    </row>
    <row r="7302">
      <c r="G7302" s="145"/>
    </row>
    <row r="7303">
      <c r="G7303" s="145"/>
    </row>
    <row r="7304">
      <c r="G7304" s="145"/>
    </row>
    <row r="7305">
      <c r="G7305" s="145"/>
    </row>
    <row r="7306">
      <c r="G7306" s="145"/>
    </row>
    <row r="7307">
      <c r="G7307" s="145"/>
    </row>
    <row r="7308">
      <c r="G7308" s="145"/>
    </row>
    <row r="7309">
      <c r="G7309" s="145"/>
    </row>
    <row r="7310">
      <c r="G7310" s="145"/>
    </row>
    <row r="7311">
      <c r="G7311" s="145"/>
    </row>
    <row r="7312">
      <c r="G7312" s="145"/>
    </row>
    <row r="7313">
      <c r="G7313" s="145"/>
    </row>
    <row r="7314">
      <c r="G7314" s="145"/>
    </row>
    <row r="7315">
      <c r="G7315" s="145"/>
    </row>
    <row r="7316">
      <c r="G7316" s="145"/>
    </row>
    <row r="7317">
      <c r="G7317" s="145"/>
    </row>
    <row r="7318">
      <c r="G7318" s="145"/>
    </row>
    <row r="7319">
      <c r="G7319" s="145"/>
    </row>
    <row r="7320">
      <c r="G7320" s="145"/>
    </row>
    <row r="7321">
      <c r="G7321" s="145"/>
    </row>
    <row r="7322">
      <c r="G7322" s="145"/>
    </row>
    <row r="7323">
      <c r="G7323" s="145"/>
    </row>
    <row r="7324">
      <c r="G7324" s="145"/>
    </row>
    <row r="7325">
      <c r="G7325" s="145"/>
    </row>
    <row r="7326">
      <c r="G7326" s="145"/>
    </row>
    <row r="7327">
      <c r="G7327" s="145"/>
    </row>
    <row r="7328">
      <c r="G7328" s="145"/>
    </row>
    <row r="7329">
      <c r="G7329" s="145"/>
    </row>
    <row r="7330">
      <c r="G7330" s="145"/>
    </row>
    <row r="7331">
      <c r="G7331" s="145"/>
    </row>
    <row r="7332">
      <c r="G7332" s="145"/>
    </row>
    <row r="7333">
      <c r="G7333" s="145"/>
    </row>
    <row r="7334">
      <c r="G7334" s="145"/>
    </row>
    <row r="7335">
      <c r="G7335" s="145"/>
    </row>
    <row r="7336">
      <c r="G7336" s="145"/>
    </row>
    <row r="7337">
      <c r="G7337" s="145"/>
    </row>
    <row r="7338">
      <c r="G7338" s="145"/>
    </row>
    <row r="7339">
      <c r="G7339" s="145"/>
    </row>
    <row r="7340">
      <c r="G7340" s="145"/>
    </row>
    <row r="7341">
      <c r="G7341" s="145"/>
    </row>
    <row r="7342">
      <c r="G7342" s="145"/>
    </row>
    <row r="7343">
      <c r="G7343" s="145"/>
    </row>
    <row r="7344">
      <c r="G7344" s="145"/>
    </row>
    <row r="7345">
      <c r="G7345" s="145"/>
    </row>
    <row r="7346">
      <c r="G7346" s="145"/>
    </row>
    <row r="7347">
      <c r="G7347" s="145"/>
    </row>
    <row r="7348">
      <c r="G7348" s="145"/>
    </row>
    <row r="7349">
      <c r="G7349" s="145"/>
    </row>
    <row r="7350">
      <c r="G7350" s="145"/>
    </row>
    <row r="7351">
      <c r="G7351" s="145"/>
    </row>
    <row r="7352">
      <c r="G7352" s="145"/>
    </row>
    <row r="7353">
      <c r="G7353" s="145"/>
    </row>
    <row r="7354">
      <c r="G7354" s="145"/>
    </row>
    <row r="7355">
      <c r="G7355" s="145"/>
    </row>
    <row r="7356">
      <c r="G7356" s="145"/>
    </row>
    <row r="7357">
      <c r="G7357" s="145"/>
    </row>
    <row r="7358">
      <c r="G7358" s="145"/>
    </row>
    <row r="7359">
      <c r="G7359" s="145"/>
    </row>
    <row r="7360">
      <c r="G7360" s="145"/>
    </row>
    <row r="7361">
      <c r="G7361" s="145"/>
    </row>
    <row r="7362">
      <c r="G7362" s="145"/>
    </row>
    <row r="7363">
      <c r="G7363" s="145"/>
    </row>
    <row r="7364">
      <c r="G7364" s="145"/>
    </row>
    <row r="7365">
      <c r="G7365" s="145"/>
    </row>
    <row r="7366">
      <c r="G7366" s="145"/>
    </row>
    <row r="7367">
      <c r="G7367" s="145"/>
    </row>
    <row r="7368">
      <c r="G7368" s="145"/>
    </row>
    <row r="7369">
      <c r="G7369" s="145"/>
    </row>
    <row r="7370">
      <c r="G7370" s="145"/>
    </row>
    <row r="7371">
      <c r="G7371" s="145"/>
    </row>
    <row r="7372">
      <c r="G7372" s="145"/>
    </row>
    <row r="7373">
      <c r="G7373" s="145"/>
    </row>
    <row r="7374">
      <c r="G7374" s="145"/>
    </row>
    <row r="7375">
      <c r="G7375" s="145"/>
    </row>
    <row r="7376">
      <c r="G7376" s="145"/>
    </row>
    <row r="7377">
      <c r="G7377" s="145"/>
    </row>
    <row r="7378">
      <c r="G7378" s="145"/>
    </row>
    <row r="7379">
      <c r="G7379" s="145"/>
    </row>
    <row r="7380">
      <c r="G7380" s="145"/>
    </row>
    <row r="7381">
      <c r="G7381" s="145"/>
    </row>
    <row r="7382">
      <c r="G7382" s="145"/>
    </row>
    <row r="7383">
      <c r="G7383" s="145"/>
    </row>
    <row r="7384">
      <c r="G7384" s="145"/>
    </row>
    <row r="7385">
      <c r="G7385" s="145"/>
    </row>
    <row r="7386">
      <c r="G7386" s="145"/>
    </row>
    <row r="7387">
      <c r="G7387" s="145"/>
    </row>
    <row r="7388">
      <c r="G7388" s="145"/>
    </row>
    <row r="7389">
      <c r="G7389" s="145"/>
    </row>
    <row r="7390">
      <c r="G7390" s="145"/>
    </row>
    <row r="7391">
      <c r="G7391" s="145"/>
    </row>
    <row r="7392">
      <c r="G7392" s="145"/>
    </row>
    <row r="7393">
      <c r="G7393" s="145"/>
    </row>
    <row r="7394">
      <c r="G7394" s="145"/>
    </row>
    <row r="7395">
      <c r="G7395" s="145"/>
    </row>
    <row r="7396">
      <c r="G7396" s="145"/>
    </row>
    <row r="7397">
      <c r="G7397" s="145"/>
    </row>
    <row r="7398">
      <c r="G7398" s="145"/>
    </row>
    <row r="7399">
      <c r="G7399" s="145"/>
    </row>
    <row r="7400">
      <c r="G7400" s="145"/>
    </row>
    <row r="7401">
      <c r="G7401" s="145"/>
    </row>
    <row r="7402">
      <c r="G7402" s="145"/>
    </row>
    <row r="7403">
      <c r="G7403" s="145"/>
    </row>
    <row r="7404">
      <c r="G7404" s="145"/>
    </row>
    <row r="7405">
      <c r="G7405" s="145"/>
    </row>
    <row r="7406">
      <c r="G7406" s="145"/>
    </row>
    <row r="7407">
      <c r="G7407" s="145"/>
    </row>
    <row r="7408">
      <c r="G7408" s="145"/>
    </row>
    <row r="7409">
      <c r="G7409" s="145"/>
    </row>
    <row r="7410">
      <c r="G7410" s="145"/>
    </row>
    <row r="7411">
      <c r="G7411" s="145"/>
    </row>
    <row r="7412">
      <c r="G7412" s="145"/>
    </row>
    <row r="7413">
      <c r="G7413" s="145"/>
    </row>
    <row r="7414">
      <c r="G7414" s="145"/>
    </row>
    <row r="7415">
      <c r="G7415" s="145"/>
    </row>
    <row r="7416">
      <c r="G7416" s="145"/>
    </row>
    <row r="7417">
      <c r="G7417" s="145"/>
    </row>
    <row r="7418">
      <c r="G7418" s="145"/>
    </row>
    <row r="7419">
      <c r="G7419" s="145"/>
    </row>
    <row r="7420">
      <c r="G7420" s="145"/>
    </row>
    <row r="7421">
      <c r="G7421" s="145"/>
    </row>
    <row r="7422">
      <c r="G7422" s="145"/>
    </row>
    <row r="7423">
      <c r="G7423" s="145"/>
    </row>
    <row r="7424">
      <c r="G7424" s="145"/>
    </row>
    <row r="7425">
      <c r="G7425" s="145"/>
    </row>
    <row r="7426">
      <c r="G7426" s="145"/>
    </row>
    <row r="7427">
      <c r="G7427" s="145"/>
    </row>
    <row r="7428">
      <c r="G7428" s="145"/>
    </row>
    <row r="7429">
      <c r="G7429" s="145"/>
    </row>
    <row r="7430">
      <c r="G7430" s="145"/>
    </row>
    <row r="7431">
      <c r="G7431" s="145"/>
    </row>
    <row r="7432">
      <c r="G7432" s="145"/>
    </row>
    <row r="7433">
      <c r="G7433" s="145"/>
    </row>
    <row r="7434">
      <c r="G7434" s="145"/>
    </row>
    <row r="7435">
      <c r="G7435" s="145"/>
    </row>
    <row r="7436">
      <c r="G7436" s="145"/>
    </row>
    <row r="7437">
      <c r="G7437" s="145"/>
    </row>
    <row r="7438">
      <c r="G7438" s="145"/>
    </row>
    <row r="7439">
      <c r="G7439" s="145"/>
    </row>
    <row r="7440">
      <c r="G7440" s="145"/>
    </row>
    <row r="7441">
      <c r="G7441" s="145"/>
    </row>
    <row r="7442">
      <c r="G7442" s="145"/>
    </row>
    <row r="7443">
      <c r="G7443" s="145"/>
    </row>
    <row r="7444">
      <c r="G7444" s="145"/>
    </row>
    <row r="7445">
      <c r="G7445" s="145"/>
    </row>
    <row r="7446">
      <c r="G7446" s="145"/>
    </row>
    <row r="7447">
      <c r="G7447" s="145"/>
    </row>
    <row r="7448">
      <c r="G7448" s="145"/>
    </row>
    <row r="7449">
      <c r="G7449" s="145"/>
    </row>
    <row r="7450">
      <c r="G7450" s="145"/>
    </row>
    <row r="7451">
      <c r="G7451" s="145"/>
    </row>
    <row r="7452">
      <c r="G7452" s="145"/>
    </row>
    <row r="7453">
      <c r="G7453" s="145"/>
    </row>
    <row r="7454">
      <c r="G7454" s="145"/>
    </row>
    <row r="7455">
      <c r="G7455" s="145"/>
    </row>
    <row r="7456">
      <c r="G7456" s="145"/>
    </row>
    <row r="7457">
      <c r="G7457" s="145"/>
    </row>
    <row r="7458">
      <c r="G7458" s="145"/>
    </row>
    <row r="7459">
      <c r="G7459" s="145"/>
    </row>
    <row r="7460">
      <c r="G7460" s="145"/>
    </row>
    <row r="7461">
      <c r="G7461" s="145"/>
    </row>
    <row r="7462">
      <c r="G7462" s="145"/>
    </row>
    <row r="7463">
      <c r="G7463" s="145"/>
    </row>
    <row r="7464">
      <c r="G7464" s="145"/>
    </row>
    <row r="7465">
      <c r="G7465" s="145"/>
    </row>
    <row r="7466">
      <c r="G7466" s="145"/>
    </row>
    <row r="7467">
      <c r="G7467" s="145"/>
    </row>
    <row r="7468">
      <c r="G7468" s="145"/>
    </row>
    <row r="7469">
      <c r="G7469" s="145"/>
    </row>
    <row r="7470">
      <c r="G7470" s="145"/>
    </row>
    <row r="7471">
      <c r="G7471" s="145"/>
    </row>
    <row r="7472">
      <c r="G7472" s="145"/>
    </row>
    <row r="7473">
      <c r="G7473" s="145"/>
    </row>
    <row r="7474">
      <c r="G7474" s="145"/>
    </row>
    <row r="7475">
      <c r="G7475" s="145"/>
    </row>
    <row r="7476">
      <c r="G7476" s="145"/>
    </row>
    <row r="7477">
      <c r="G7477" s="145"/>
    </row>
    <row r="7478">
      <c r="G7478" s="145"/>
    </row>
    <row r="7479">
      <c r="G7479" s="145"/>
    </row>
    <row r="7480">
      <c r="G7480" s="145"/>
    </row>
    <row r="7481">
      <c r="G7481" s="145"/>
    </row>
    <row r="7482">
      <c r="G7482" s="145"/>
    </row>
    <row r="7483">
      <c r="G7483" s="145"/>
    </row>
    <row r="7484">
      <c r="G7484" s="145"/>
    </row>
    <row r="7485">
      <c r="G7485" s="145"/>
    </row>
    <row r="7486">
      <c r="G7486" s="145"/>
    </row>
    <row r="7487">
      <c r="G7487" s="145"/>
    </row>
    <row r="7488">
      <c r="G7488" s="145"/>
    </row>
    <row r="7489">
      <c r="G7489" s="145"/>
    </row>
    <row r="7490">
      <c r="G7490" s="145"/>
    </row>
    <row r="7491">
      <c r="G7491" s="145"/>
    </row>
    <row r="7492">
      <c r="G7492" s="145"/>
    </row>
    <row r="7493">
      <c r="G7493" s="145"/>
    </row>
    <row r="7494">
      <c r="G7494" s="145"/>
    </row>
    <row r="7495">
      <c r="G7495" s="145"/>
    </row>
    <row r="7496">
      <c r="G7496" s="145"/>
    </row>
    <row r="7497">
      <c r="G7497" s="145"/>
    </row>
    <row r="7498">
      <c r="G7498" s="145"/>
    </row>
    <row r="7499">
      <c r="G7499" s="145"/>
    </row>
    <row r="7500">
      <c r="G7500" s="145"/>
    </row>
    <row r="7501">
      <c r="G7501" s="145"/>
    </row>
    <row r="7502">
      <c r="G7502" s="145"/>
    </row>
    <row r="7503">
      <c r="G7503" s="145"/>
    </row>
    <row r="7504">
      <c r="G7504" s="145"/>
    </row>
    <row r="7505">
      <c r="G7505" s="145"/>
    </row>
    <row r="7506">
      <c r="G7506" s="145"/>
    </row>
    <row r="7507">
      <c r="G7507" s="145"/>
    </row>
    <row r="7508">
      <c r="G7508" s="145"/>
    </row>
    <row r="7509">
      <c r="G7509" s="145"/>
    </row>
    <row r="7510">
      <c r="G7510" s="145"/>
    </row>
    <row r="7511">
      <c r="G7511" s="145"/>
    </row>
    <row r="7512">
      <c r="G7512" s="145"/>
    </row>
    <row r="7513">
      <c r="G7513" s="145"/>
    </row>
    <row r="7514">
      <c r="G7514" s="145"/>
    </row>
    <row r="7515">
      <c r="G7515" s="145"/>
    </row>
    <row r="7516">
      <c r="G7516" s="145"/>
    </row>
    <row r="7517">
      <c r="G7517" s="145"/>
    </row>
    <row r="7518">
      <c r="G7518" s="145"/>
    </row>
    <row r="7519">
      <c r="G7519" s="145"/>
    </row>
    <row r="7520">
      <c r="G7520" s="145"/>
    </row>
    <row r="7521">
      <c r="G7521" s="145"/>
    </row>
    <row r="7522">
      <c r="G7522" s="145"/>
    </row>
    <row r="7523">
      <c r="G7523" s="145"/>
    </row>
    <row r="7524">
      <c r="G7524" s="145"/>
    </row>
    <row r="7525">
      <c r="G7525" s="145"/>
    </row>
    <row r="7526">
      <c r="G7526" s="145"/>
    </row>
    <row r="7527">
      <c r="G7527" s="145"/>
    </row>
    <row r="7528">
      <c r="G7528" s="145"/>
    </row>
    <row r="7529">
      <c r="G7529" s="145"/>
    </row>
    <row r="7530">
      <c r="G7530" s="145"/>
    </row>
    <row r="7531">
      <c r="G7531" s="145"/>
    </row>
    <row r="7532">
      <c r="G7532" s="145"/>
    </row>
    <row r="7533">
      <c r="G7533" s="145"/>
    </row>
    <row r="7534">
      <c r="G7534" s="145"/>
    </row>
    <row r="7535">
      <c r="G7535" s="145"/>
    </row>
    <row r="7536">
      <c r="G7536" s="145"/>
    </row>
    <row r="7537">
      <c r="G7537" s="145"/>
    </row>
    <row r="7538">
      <c r="G7538" s="145"/>
    </row>
    <row r="7539">
      <c r="G7539" s="145"/>
    </row>
    <row r="7540">
      <c r="G7540" s="145"/>
    </row>
    <row r="7541">
      <c r="G7541" s="145"/>
    </row>
    <row r="7542">
      <c r="G7542" s="145"/>
    </row>
    <row r="7543">
      <c r="G7543" s="145"/>
    </row>
    <row r="7544">
      <c r="G7544" s="145"/>
    </row>
    <row r="7545">
      <c r="G7545" s="145"/>
    </row>
    <row r="7546">
      <c r="G7546" s="145"/>
    </row>
    <row r="7547">
      <c r="G7547" s="145"/>
    </row>
    <row r="7548">
      <c r="G7548" s="14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25"/>
  </cols>
  <sheetData>
    <row r="1">
      <c r="A1" s="24" t="s">
        <v>358</v>
      </c>
      <c r="B1" s="24" t="s">
        <v>359</v>
      </c>
      <c r="C1" s="24" t="s">
        <v>170</v>
      </c>
      <c r="D1" s="24" t="s">
        <v>175</v>
      </c>
      <c r="E1" s="24" t="s">
        <v>176</v>
      </c>
      <c r="F1" s="24" t="s">
        <v>177</v>
      </c>
      <c r="G1" s="24" t="s">
        <v>178</v>
      </c>
      <c r="H1" s="24" t="s">
        <v>360</v>
      </c>
      <c r="I1" s="24" t="s">
        <v>361</v>
      </c>
      <c r="J1" s="24" t="s">
        <v>362</v>
      </c>
      <c r="K1" s="24" t="s">
        <v>363</v>
      </c>
      <c r="L1" s="24" t="s">
        <v>179</v>
      </c>
      <c r="M1" s="24" t="s">
        <v>1915</v>
      </c>
      <c r="N1" s="24" t="s">
        <v>1688</v>
      </c>
      <c r="W1" s="24" t="s">
        <v>1916</v>
      </c>
      <c r="X1" s="24" t="s">
        <v>1603</v>
      </c>
      <c r="Y1" s="24" t="s">
        <v>1099</v>
      </c>
      <c r="Z1" s="24" t="s">
        <v>1917</v>
      </c>
    </row>
    <row r="2">
      <c r="A2" s="24" t="s">
        <v>1918</v>
      </c>
      <c r="B2" s="27">
        <v>2.0</v>
      </c>
      <c r="C2" s="24" t="s">
        <v>1919</v>
      </c>
      <c r="D2" s="27">
        <v>722.0</v>
      </c>
      <c r="E2" s="27">
        <v>17.0</v>
      </c>
      <c r="F2" s="24" t="s">
        <v>1920</v>
      </c>
      <c r="G2" s="24" t="s">
        <v>1921</v>
      </c>
      <c r="H2" s="27">
        <v>709.0</v>
      </c>
      <c r="I2" s="27">
        <v>422.0</v>
      </c>
      <c r="J2" s="27">
        <v>919.0</v>
      </c>
      <c r="K2" s="24" t="s">
        <v>368</v>
      </c>
      <c r="L2" s="27">
        <v>390.0</v>
      </c>
      <c r="M2" s="24">
        <v>24.0</v>
      </c>
      <c r="N2" s="24">
        <v>2.0</v>
      </c>
      <c r="O2" s="28">
        <f t="shared" ref="O2:O11" si="1">J2/N2</f>
        <v>459.5</v>
      </c>
      <c r="W2" s="24" t="s">
        <v>1922</v>
      </c>
      <c r="X2" s="24">
        <v>2.27</v>
      </c>
      <c r="Y2" s="24">
        <v>2.27</v>
      </c>
      <c r="Z2" s="24" t="s">
        <v>1923</v>
      </c>
    </row>
    <row r="3">
      <c r="A3" s="24" t="s">
        <v>1719</v>
      </c>
      <c r="B3" s="27">
        <v>3.0</v>
      </c>
      <c r="C3" s="24" t="s">
        <v>1924</v>
      </c>
      <c r="D3" s="27">
        <v>1585.0</v>
      </c>
      <c r="E3" s="27">
        <v>32.0</v>
      </c>
      <c r="F3" s="24" t="s">
        <v>1925</v>
      </c>
      <c r="G3" s="24" t="s">
        <v>1926</v>
      </c>
      <c r="H3" s="27">
        <v>1138.4</v>
      </c>
      <c r="I3" s="27">
        <v>334.0</v>
      </c>
      <c r="J3" s="27">
        <v>669.5999999999999</v>
      </c>
      <c r="K3" s="24" t="s">
        <v>368</v>
      </c>
      <c r="L3" s="27">
        <v>600.0</v>
      </c>
      <c r="M3" s="24">
        <v>24.0</v>
      </c>
      <c r="N3" s="24">
        <v>1.0</v>
      </c>
      <c r="O3" s="28">
        <f t="shared" si="1"/>
        <v>669.6</v>
      </c>
      <c r="W3" s="24" t="s">
        <v>1927</v>
      </c>
      <c r="X3" s="24">
        <v>0.0</v>
      </c>
      <c r="Y3" s="24">
        <v>1.5</v>
      </c>
      <c r="Z3" s="24" t="s">
        <v>1928</v>
      </c>
    </row>
    <row r="4">
      <c r="A4" s="24" t="s">
        <v>1719</v>
      </c>
      <c r="B4" s="27">
        <v>3.0</v>
      </c>
      <c r="C4" s="24" t="s">
        <v>1929</v>
      </c>
      <c r="D4" s="27">
        <v>2042.0</v>
      </c>
      <c r="E4" s="27">
        <v>32.0</v>
      </c>
      <c r="F4" s="24" t="s">
        <v>1930</v>
      </c>
      <c r="G4" s="24" t="s">
        <v>1931</v>
      </c>
      <c r="H4" s="27">
        <v>708.9000000000001</v>
      </c>
      <c r="I4" s="27">
        <v>258.0</v>
      </c>
      <c r="J4" s="27">
        <v>545.0999999999999</v>
      </c>
      <c r="K4" s="24" t="s">
        <v>368</v>
      </c>
      <c r="L4" s="27">
        <v>585.0</v>
      </c>
      <c r="M4" s="24">
        <v>32.0</v>
      </c>
      <c r="N4" s="24">
        <v>1.0</v>
      </c>
      <c r="O4" s="28">
        <f t="shared" si="1"/>
        <v>545.1</v>
      </c>
      <c r="W4" s="24" t="s">
        <v>1932</v>
      </c>
      <c r="X4" s="24">
        <v>1.47</v>
      </c>
      <c r="Y4" s="24">
        <v>1.38</v>
      </c>
      <c r="Z4" s="24" t="s">
        <v>1933</v>
      </c>
    </row>
    <row r="5">
      <c r="A5" s="24" t="s">
        <v>1719</v>
      </c>
      <c r="B5" s="27">
        <v>3.0</v>
      </c>
      <c r="C5" s="24" t="s">
        <v>1934</v>
      </c>
      <c r="D5" s="27">
        <v>2370.0</v>
      </c>
      <c r="E5" s="27">
        <v>32.0</v>
      </c>
      <c r="F5" s="24" t="s">
        <v>1935</v>
      </c>
      <c r="G5" s="24" t="s">
        <v>1936</v>
      </c>
      <c r="H5" s="27">
        <v>606.0</v>
      </c>
      <c r="I5" s="27">
        <v>188.0</v>
      </c>
      <c r="J5" s="27">
        <v>394.0</v>
      </c>
      <c r="K5" s="24" t="s">
        <v>368</v>
      </c>
      <c r="L5" s="27">
        <v>780.0</v>
      </c>
      <c r="M5" s="24">
        <v>32.0</v>
      </c>
      <c r="N5" s="24">
        <v>1.0</v>
      </c>
      <c r="O5" s="28">
        <f t="shared" si="1"/>
        <v>394</v>
      </c>
      <c r="W5" s="24" t="s">
        <v>1937</v>
      </c>
      <c r="X5" s="24">
        <v>1.38</v>
      </c>
      <c r="Y5" s="24">
        <v>1.41</v>
      </c>
      <c r="Z5" s="24" t="s">
        <v>1938</v>
      </c>
    </row>
    <row r="6">
      <c r="A6" s="24" t="s">
        <v>1719</v>
      </c>
      <c r="B6" s="27">
        <v>3.0</v>
      </c>
      <c r="C6" s="24" t="s">
        <v>1939</v>
      </c>
      <c r="D6" s="27">
        <v>1792.0</v>
      </c>
      <c r="E6" s="27">
        <v>32.0</v>
      </c>
      <c r="F6" s="24" t="s">
        <v>1940</v>
      </c>
      <c r="G6" s="24" t="s">
        <v>1941</v>
      </c>
      <c r="H6" s="27">
        <v>515.3</v>
      </c>
      <c r="I6" s="27">
        <v>167.0</v>
      </c>
      <c r="J6" s="27">
        <v>398.7</v>
      </c>
      <c r="K6" s="24" t="s">
        <v>368</v>
      </c>
      <c r="L6" s="27">
        <v>840.0</v>
      </c>
      <c r="M6" s="24">
        <v>32.0</v>
      </c>
      <c r="N6" s="24">
        <v>1.0</v>
      </c>
      <c r="O6" s="28">
        <f t="shared" si="1"/>
        <v>398.7</v>
      </c>
      <c r="W6" s="24" t="s">
        <v>1942</v>
      </c>
      <c r="X6" s="24">
        <v>1.38</v>
      </c>
      <c r="Y6" s="24">
        <v>1.41</v>
      </c>
      <c r="Z6" s="24" t="s">
        <v>1943</v>
      </c>
    </row>
    <row r="7">
      <c r="A7" s="24" t="s">
        <v>1719</v>
      </c>
      <c r="B7" s="27">
        <v>3.0</v>
      </c>
      <c r="C7" s="24" t="s">
        <v>1944</v>
      </c>
      <c r="D7" s="27">
        <v>2406.0</v>
      </c>
      <c r="E7" s="27">
        <v>32.0</v>
      </c>
      <c r="F7" s="24" t="s">
        <v>1945</v>
      </c>
      <c r="G7" s="24" t="s">
        <v>1946</v>
      </c>
      <c r="H7" s="27">
        <v>380.2</v>
      </c>
      <c r="I7" s="27">
        <v>167.0</v>
      </c>
      <c r="J7" s="27">
        <v>411.8</v>
      </c>
      <c r="K7" s="24" t="s">
        <v>368</v>
      </c>
      <c r="L7" s="27">
        <v>705.0</v>
      </c>
      <c r="M7" s="24">
        <v>32.0</v>
      </c>
      <c r="N7" s="24">
        <v>1.0</v>
      </c>
      <c r="O7" s="28">
        <f t="shared" si="1"/>
        <v>411.8</v>
      </c>
      <c r="W7" s="24" t="s">
        <v>1947</v>
      </c>
      <c r="X7" s="24">
        <v>1.54</v>
      </c>
      <c r="Y7" s="24">
        <v>1.59</v>
      </c>
      <c r="Z7" s="24" t="s">
        <v>1948</v>
      </c>
    </row>
    <row r="8">
      <c r="A8" s="24" t="s">
        <v>1949</v>
      </c>
      <c r="B8" s="27">
        <v>1.0</v>
      </c>
      <c r="C8" s="24" t="s">
        <v>1950</v>
      </c>
      <c r="D8" s="27">
        <v>271.0</v>
      </c>
      <c r="E8" s="27">
        <v>8.0</v>
      </c>
      <c r="F8" s="24" t="s">
        <v>1718</v>
      </c>
      <c r="G8" s="24">
        <v>1920.0</v>
      </c>
      <c r="H8" s="27">
        <v>0.0</v>
      </c>
      <c r="I8" s="27">
        <v>163.0</v>
      </c>
      <c r="J8" s="27">
        <v>326.0</v>
      </c>
      <c r="K8" s="24" t="s">
        <v>368</v>
      </c>
      <c r="L8" s="27">
        <v>1335.0</v>
      </c>
      <c r="M8" s="24">
        <v>20.0</v>
      </c>
      <c r="N8" s="24">
        <v>3.0</v>
      </c>
      <c r="O8" s="28">
        <f t="shared" si="1"/>
        <v>108.6666667</v>
      </c>
      <c r="W8" s="24" t="s">
        <v>1951</v>
      </c>
      <c r="X8" s="24">
        <v>1.64</v>
      </c>
      <c r="Y8" s="24">
        <v>1.61</v>
      </c>
      <c r="Z8" s="24" t="s">
        <v>1952</v>
      </c>
    </row>
    <row r="9">
      <c r="A9" s="24" t="s">
        <v>1719</v>
      </c>
      <c r="B9" s="27">
        <v>3.0</v>
      </c>
      <c r="C9" s="24" t="s">
        <v>1953</v>
      </c>
      <c r="D9" s="27">
        <v>1480.0</v>
      </c>
      <c r="E9" s="27">
        <v>24.0</v>
      </c>
      <c r="F9" s="24" t="s">
        <v>1954</v>
      </c>
      <c r="G9" s="24" t="s">
        <v>1955</v>
      </c>
      <c r="H9" s="27">
        <v>294.0</v>
      </c>
      <c r="I9" s="27">
        <v>133.0</v>
      </c>
      <c r="J9" s="27">
        <v>307.79999999999995</v>
      </c>
      <c r="K9" s="24" t="s">
        <v>368</v>
      </c>
      <c r="L9" s="27">
        <v>795.0</v>
      </c>
      <c r="M9" s="27">
        <v>24.0</v>
      </c>
      <c r="N9" s="24">
        <v>1.0</v>
      </c>
      <c r="O9" s="28">
        <f t="shared" si="1"/>
        <v>307.8</v>
      </c>
      <c r="W9" s="24" t="s">
        <v>1956</v>
      </c>
      <c r="X9" s="24">
        <v>0.9</v>
      </c>
      <c r="Y9" s="24">
        <v>1.24</v>
      </c>
      <c r="Z9" s="24" t="s">
        <v>1957</v>
      </c>
    </row>
    <row r="10">
      <c r="A10" s="24" t="s">
        <v>1719</v>
      </c>
      <c r="B10" s="27">
        <v>3.0</v>
      </c>
      <c r="C10" s="24" t="s">
        <v>1958</v>
      </c>
      <c r="D10" s="27">
        <v>2128.0</v>
      </c>
      <c r="E10" s="27">
        <v>32.0</v>
      </c>
      <c r="F10" s="24" t="s">
        <v>1959</v>
      </c>
      <c r="G10" s="24" t="s">
        <v>1960</v>
      </c>
      <c r="H10" s="27">
        <v>334.19999999999993</v>
      </c>
      <c r="I10" s="27">
        <v>129.0</v>
      </c>
      <c r="J10" s="27">
        <v>313.6</v>
      </c>
      <c r="K10" s="24" t="s">
        <v>368</v>
      </c>
      <c r="L10" s="27">
        <v>945.0</v>
      </c>
      <c r="M10" s="27">
        <v>32.0</v>
      </c>
      <c r="N10" s="24">
        <v>1.0</v>
      </c>
      <c r="O10" s="28">
        <f t="shared" si="1"/>
        <v>313.6</v>
      </c>
      <c r="W10" s="24" t="s">
        <v>1961</v>
      </c>
      <c r="X10" s="24">
        <v>1.05</v>
      </c>
      <c r="Y10" s="24">
        <v>0.96</v>
      </c>
      <c r="Z10" s="24" t="s">
        <v>1962</v>
      </c>
    </row>
    <row r="11">
      <c r="A11" s="24" t="s">
        <v>1719</v>
      </c>
      <c r="B11" s="27">
        <v>3.0</v>
      </c>
      <c r="C11" s="24" t="s">
        <v>1963</v>
      </c>
      <c r="D11" s="27">
        <v>2063.0</v>
      </c>
      <c r="E11" s="27">
        <v>32.0</v>
      </c>
      <c r="F11" s="24" t="s">
        <v>1964</v>
      </c>
      <c r="G11" s="24" t="s">
        <v>1965</v>
      </c>
      <c r="H11" s="27">
        <v>187.1</v>
      </c>
      <c r="I11" s="27">
        <v>94.1</v>
      </c>
      <c r="J11" s="27">
        <v>278.5</v>
      </c>
      <c r="K11" s="24" t="s">
        <v>368</v>
      </c>
      <c r="L11" s="27">
        <v>780.0</v>
      </c>
      <c r="M11" s="27">
        <v>32.0</v>
      </c>
      <c r="N11" s="24">
        <v>1.0</v>
      </c>
      <c r="O11" s="28">
        <f t="shared" si="1"/>
        <v>278.5</v>
      </c>
      <c r="W11" s="24" t="s">
        <v>1966</v>
      </c>
      <c r="X11" s="24">
        <v>1.6</v>
      </c>
      <c r="Y11" s="24">
        <v>1.47</v>
      </c>
      <c r="Z11" s="24" t="s">
        <v>1967</v>
      </c>
    </row>
    <row r="12">
      <c r="W12" s="24" t="s">
        <v>1968</v>
      </c>
      <c r="X12" s="24">
        <v>1.29</v>
      </c>
      <c r="Y12" s="24">
        <v>1.35</v>
      </c>
      <c r="Z12" s="24" t="s">
        <v>1969</v>
      </c>
    </row>
    <row r="13">
      <c r="W13" s="24" t="s">
        <v>1970</v>
      </c>
      <c r="X13" s="24">
        <v>1.49</v>
      </c>
      <c r="Y13" s="24">
        <v>1.63</v>
      </c>
      <c r="Z13" s="24" t="s">
        <v>1971</v>
      </c>
    </row>
    <row r="14">
      <c r="W14" s="24" t="s">
        <v>1972</v>
      </c>
      <c r="X14" s="24">
        <v>1.36</v>
      </c>
      <c r="Y14" s="24">
        <v>1.63</v>
      </c>
      <c r="Z14" s="24" t="s">
        <v>1973</v>
      </c>
    </row>
    <row r="15">
      <c r="W15" s="24" t="s">
        <v>1974</v>
      </c>
      <c r="X15" s="24">
        <v>1.36</v>
      </c>
      <c r="Y15" s="24">
        <v>1.63</v>
      </c>
      <c r="Z15" s="24" t="s">
        <v>1975</v>
      </c>
    </row>
    <row r="16">
      <c r="W16" s="24" t="s">
        <v>1976</v>
      </c>
      <c r="X16" s="24">
        <v>2.84</v>
      </c>
      <c r="Y16" s="24">
        <v>2.24</v>
      </c>
      <c r="Z16" s="24" t="s">
        <v>1977</v>
      </c>
    </row>
    <row r="17">
      <c r="W17" s="24" t="s">
        <v>1978</v>
      </c>
      <c r="X17" s="24">
        <v>1.98</v>
      </c>
      <c r="Y17" s="24">
        <v>1.93</v>
      </c>
      <c r="Z17" s="24" t="s">
        <v>1979</v>
      </c>
    </row>
    <row r="18">
      <c r="W18" s="24" t="s">
        <v>1980</v>
      </c>
      <c r="X18" s="24">
        <v>1.16</v>
      </c>
      <c r="Y18" s="24">
        <v>1.24</v>
      </c>
      <c r="Z18" s="24" t="s">
        <v>1981</v>
      </c>
    </row>
    <row r="19">
      <c r="W19" s="24" t="s">
        <v>1982</v>
      </c>
      <c r="X19" s="24">
        <v>1.82</v>
      </c>
      <c r="Y19" s="24">
        <v>1.55</v>
      </c>
      <c r="Z19" s="24" t="s">
        <v>1983</v>
      </c>
    </row>
    <row r="20">
      <c r="W20" s="24" t="s">
        <v>1984</v>
      </c>
      <c r="X20" s="24">
        <v>1.59</v>
      </c>
      <c r="Y20" s="24">
        <v>1.44</v>
      </c>
      <c r="Z20" s="24" t="s">
        <v>1985</v>
      </c>
    </row>
    <row r="21">
      <c r="F21" s="24">
        <v>10.0</v>
      </c>
      <c r="G21" s="24">
        <v>361.0</v>
      </c>
      <c r="H21" s="24">
        <v>24.0</v>
      </c>
      <c r="I21" s="28">
        <f t="shared" ref="I21:I23" si="2">H21*G21*F21</f>
        <v>86640</v>
      </c>
      <c r="W21" s="24" t="s">
        <v>1986</v>
      </c>
      <c r="X21" s="24">
        <v>1.75</v>
      </c>
      <c r="Y21" s="24">
        <v>1.61</v>
      </c>
      <c r="Z21" s="24" t="s">
        <v>1987</v>
      </c>
    </row>
    <row r="22">
      <c r="F22" s="24">
        <v>30.0</v>
      </c>
      <c r="G22" s="24">
        <v>308.0</v>
      </c>
      <c r="H22" s="24">
        <v>24.0</v>
      </c>
      <c r="I22" s="28">
        <f t="shared" si="2"/>
        <v>221760</v>
      </c>
      <c r="W22" s="24" t="s">
        <v>1608</v>
      </c>
      <c r="X22" s="24">
        <v>3.21</v>
      </c>
      <c r="Y22" s="24">
        <v>0.0</v>
      </c>
      <c r="Z22" s="24" t="s">
        <v>1988</v>
      </c>
    </row>
    <row r="23">
      <c r="F23" s="24">
        <v>30.0</v>
      </c>
      <c r="G23" s="24">
        <v>279.0</v>
      </c>
      <c r="H23" s="24">
        <v>32.0</v>
      </c>
      <c r="I23" s="28">
        <f t="shared" si="2"/>
        <v>267840</v>
      </c>
      <c r="W23" s="24" t="s">
        <v>1989</v>
      </c>
      <c r="X23" s="24">
        <v>1.36</v>
      </c>
      <c r="Y23" s="24">
        <v>2.03</v>
      </c>
      <c r="Z23" s="24" t="s">
        <v>1990</v>
      </c>
    </row>
    <row r="24">
      <c r="I24" s="28">
        <f>SUM(I21:I23)</f>
        <v>576240</v>
      </c>
      <c r="W24" s="24" t="s">
        <v>1664</v>
      </c>
      <c r="X24" s="24">
        <v>2.08</v>
      </c>
      <c r="Y24" s="24">
        <v>1.99</v>
      </c>
      <c r="Z24" s="24" t="s">
        <v>1991</v>
      </c>
    </row>
    <row r="25">
      <c r="W25" s="24" t="s">
        <v>1992</v>
      </c>
      <c r="X25" s="24">
        <v>1.93</v>
      </c>
      <c r="Y25" s="24">
        <v>1.86</v>
      </c>
      <c r="Z25" s="24" t="s">
        <v>1993</v>
      </c>
    </row>
    <row r="26">
      <c r="F26" s="24">
        <v>10.0</v>
      </c>
      <c r="G26" s="24">
        <v>361.0</v>
      </c>
      <c r="H26" s="24">
        <v>24.0</v>
      </c>
      <c r="I26" s="28">
        <f t="shared" ref="I26:I29" si="3">H26*G26*F26</f>
        <v>86640</v>
      </c>
      <c r="W26" s="24" t="s">
        <v>1994</v>
      </c>
      <c r="X26" s="24">
        <v>1.38</v>
      </c>
      <c r="Y26" s="24">
        <v>1.41</v>
      </c>
      <c r="Z26" s="24" t="s">
        <v>1995</v>
      </c>
    </row>
    <row r="27">
      <c r="F27" s="24">
        <v>30.0</v>
      </c>
      <c r="G27" s="24">
        <v>185.0</v>
      </c>
      <c r="H27" s="24">
        <v>24.0</v>
      </c>
      <c r="I27" s="28">
        <f t="shared" si="3"/>
        <v>133200</v>
      </c>
      <c r="W27" s="24" t="s">
        <v>1996</v>
      </c>
      <c r="X27" s="24">
        <v>1.37</v>
      </c>
      <c r="Y27" s="24">
        <v>1.55</v>
      </c>
      <c r="Z27" s="24" t="s">
        <v>1997</v>
      </c>
    </row>
    <row r="28">
      <c r="F28" s="24">
        <v>30.0</v>
      </c>
      <c r="G28" s="27">
        <v>203.0</v>
      </c>
      <c r="H28" s="24">
        <v>24.0</v>
      </c>
      <c r="I28" s="28">
        <f t="shared" si="3"/>
        <v>146160</v>
      </c>
      <c r="W28" s="24" t="s">
        <v>1998</v>
      </c>
      <c r="X28" s="24">
        <v>1.67</v>
      </c>
      <c r="Y28" s="24">
        <v>1.78</v>
      </c>
      <c r="Z28" s="24" t="s">
        <v>1999</v>
      </c>
    </row>
    <row r="29">
      <c r="F29" s="147">
        <v>15.0</v>
      </c>
      <c r="G29" s="147">
        <v>280.0</v>
      </c>
      <c r="H29" s="147">
        <v>24.0</v>
      </c>
      <c r="I29" s="28">
        <f t="shared" si="3"/>
        <v>100800</v>
      </c>
      <c r="J29" s="28">
        <f>(433+449)*2</f>
        <v>1764</v>
      </c>
      <c r="W29" s="24" t="s">
        <v>2000</v>
      </c>
      <c r="X29" s="24">
        <v>1.91</v>
      </c>
      <c r="Y29" s="24">
        <v>1.73</v>
      </c>
      <c r="Z29" s="24" t="s">
        <v>2001</v>
      </c>
    </row>
    <row r="30">
      <c r="I30" s="28">
        <f>sum(I26:I29)</f>
        <v>466800</v>
      </c>
      <c r="W30" s="24" t="s">
        <v>2002</v>
      </c>
      <c r="X30" s="24">
        <v>1.51</v>
      </c>
      <c r="Y30" s="24">
        <v>1.52</v>
      </c>
      <c r="Z30" s="24" t="s">
        <v>2003</v>
      </c>
    </row>
    <row r="31">
      <c r="W31" s="24" t="s">
        <v>2004</v>
      </c>
      <c r="X31" s="24">
        <v>1.98</v>
      </c>
      <c r="Y31" s="24">
        <v>1.69</v>
      </c>
      <c r="Z31" s="24" t="s">
        <v>2005</v>
      </c>
    </row>
    <row r="32">
      <c r="F32" s="147">
        <v>15.0</v>
      </c>
      <c r="G32" s="148">
        <v>330.4</v>
      </c>
      <c r="H32" s="147">
        <v>24.0</v>
      </c>
      <c r="I32" s="28">
        <f t="shared" ref="I32:I34" si="4">H32*G32*F32</f>
        <v>118944</v>
      </c>
      <c r="J32" s="28">
        <f>869*2</f>
        <v>1738</v>
      </c>
      <c r="W32" s="24" t="s">
        <v>2006</v>
      </c>
      <c r="X32" s="24">
        <v>1.54</v>
      </c>
      <c r="Y32" s="24">
        <v>1.59</v>
      </c>
      <c r="Z32" s="24" t="s">
        <v>2007</v>
      </c>
    </row>
    <row r="33">
      <c r="F33" s="24">
        <v>30.0</v>
      </c>
      <c r="G33" s="26">
        <v>285.7</v>
      </c>
      <c r="H33" s="24">
        <v>24.0</v>
      </c>
      <c r="I33" s="28">
        <f t="shared" si="4"/>
        <v>205704</v>
      </c>
      <c r="W33" s="24" t="s">
        <v>2008</v>
      </c>
      <c r="X33" s="24">
        <v>1.93</v>
      </c>
      <c r="Y33" s="24">
        <v>1.93</v>
      </c>
      <c r="Z33" s="24" t="s">
        <v>2009</v>
      </c>
    </row>
    <row r="34">
      <c r="F34" s="24">
        <v>30.0</v>
      </c>
      <c r="G34" s="27">
        <v>203.0</v>
      </c>
      <c r="H34" s="24">
        <v>24.0</v>
      </c>
      <c r="I34" s="28">
        <f t="shared" si="4"/>
        <v>146160</v>
      </c>
      <c r="W34" s="24" t="s">
        <v>2010</v>
      </c>
      <c r="X34" s="24">
        <v>1.56</v>
      </c>
      <c r="Y34" s="24">
        <v>1.56</v>
      </c>
      <c r="Z34" s="24" t="s">
        <v>2011</v>
      </c>
    </row>
    <row r="35">
      <c r="I35" s="28">
        <f>SUM(I32:I34)</f>
        <v>470808</v>
      </c>
      <c r="W35" s="24" t="s">
        <v>2012</v>
      </c>
      <c r="X35" s="24">
        <v>1.56</v>
      </c>
      <c r="Y35" s="24">
        <v>1.56</v>
      </c>
      <c r="Z35" s="24" t="s">
        <v>2013</v>
      </c>
    </row>
    <row r="36">
      <c r="W36" s="24" t="s">
        <v>2014</v>
      </c>
      <c r="X36" s="24">
        <v>1.66</v>
      </c>
      <c r="Y36" s="24">
        <v>1.74</v>
      </c>
      <c r="Z36" s="24" t="s">
        <v>2015</v>
      </c>
    </row>
    <row r="37">
      <c r="A37" s="24" t="s">
        <v>358</v>
      </c>
      <c r="B37" s="24" t="s">
        <v>359</v>
      </c>
      <c r="C37" s="24" t="s">
        <v>170</v>
      </c>
      <c r="D37" s="24" t="s">
        <v>175</v>
      </c>
      <c r="E37" s="24" t="s">
        <v>176</v>
      </c>
      <c r="F37" s="24" t="s">
        <v>177</v>
      </c>
      <c r="G37" s="24" t="s">
        <v>178</v>
      </c>
      <c r="H37" s="24" t="s">
        <v>360</v>
      </c>
      <c r="I37" s="24" t="s">
        <v>361</v>
      </c>
      <c r="J37" s="24" t="s">
        <v>362</v>
      </c>
      <c r="K37" s="24" t="s">
        <v>363</v>
      </c>
      <c r="L37" s="24" t="s">
        <v>179</v>
      </c>
      <c r="W37" s="24" t="s">
        <v>2016</v>
      </c>
      <c r="X37" s="24">
        <v>1.43</v>
      </c>
      <c r="Y37" s="24">
        <v>1.4</v>
      </c>
      <c r="Z37" s="24" t="s">
        <v>2017</v>
      </c>
    </row>
    <row r="38">
      <c r="A38" s="24" t="s">
        <v>1918</v>
      </c>
      <c r="B38" s="27">
        <v>2.0</v>
      </c>
      <c r="C38" s="24" t="s">
        <v>1919</v>
      </c>
      <c r="D38" s="27">
        <v>722.0</v>
      </c>
      <c r="E38" s="27">
        <v>17.0</v>
      </c>
      <c r="F38" s="24" t="s">
        <v>1920</v>
      </c>
      <c r="G38" s="24" t="s">
        <v>1921</v>
      </c>
      <c r="H38" s="27">
        <v>709.0</v>
      </c>
      <c r="I38" s="27">
        <v>422.0</v>
      </c>
      <c r="J38" s="27">
        <v>919.0</v>
      </c>
      <c r="K38" s="24" t="s">
        <v>368</v>
      </c>
      <c r="L38" s="27">
        <v>390.0</v>
      </c>
      <c r="M38" s="24">
        <v>24.0</v>
      </c>
      <c r="N38" s="24">
        <v>2.0</v>
      </c>
      <c r="O38" s="28">
        <f t="shared" ref="O38:O47" si="5">J38/N38</f>
        <v>459.5</v>
      </c>
      <c r="W38" s="24" t="s">
        <v>2018</v>
      </c>
      <c r="X38" s="24">
        <v>1.28</v>
      </c>
      <c r="Y38" s="24">
        <v>1.45</v>
      </c>
      <c r="Z38" s="24" t="s">
        <v>2019</v>
      </c>
    </row>
    <row r="39">
      <c r="A39" s="24" t="s">
        <v>1719</v>
      </c>
      <c r="B39" s="27">
        <v>3.0</v>
      </c>
      <c r="C39" s="24" t="s">
        <v>1924</v>
      </c>
      <c r="D39" s="27">
        <v>1585.0</v>
      </c>
      <c r="E39" s="27">
        <v>24.0</v>
      </c>
      <c r="F39" s="24" t="s">
        <v>1925</v>
      </c>
      <c r="G39" s="24" t="s">
        <v>1926</v>
      </c>
      <c r="H39" s="27">
        <v>1138.4</v>
      </c>
      <c r="I39" s="27">
        <v>334.0</v>
      </c>
      <c r="J39" s="27">
        <v>669.5999999999999</v>
      </c>
      <c r="K39" s="24" t="s">
        <v>368</v>
      </c>
      <c r="L39" s="27">
        <v>600.0</v>
      </c>
      <c r="M39" s="27">
        <v>24.0</v>
      </c>
      <c r="N39" s="24">
        <v>1.0</v>
      </c>
      <c r="O39" s="28">
        <f t="shared" si="5"/>
        <v>669.6</v>
      </c>
      <c r="W39" s="24" t="s">
        <v>2020</v>
      </c>
      <c r="X39" s="24">
        <v>1.36</v>
      </c>
      <c r="Y39" s="24">
        <v>1.63</v>
      </c>
      <c r="Z39" s="24" t="s">
        <v>2021</v>
      </c>
    </row>
    <row r="40">
      <c r="A40" s="24" t="s">
        <v>1719</v>
      </c>
      <c r="B40" s="27">
        <v>3.0</v>
      </c>
      <c r="C40" s="24" t="s">
        <v>1929</v>
      </c>
      <c r="D40" s="27">
        <v>2042.0</v>
      </c>
      <c r="E40" s="27">
        <v>32.0</v>
      </c>
      <c r="F40" s="24" t="s">
        <v>1930</v>
      </c>
      <c r="G40" s="24" t="s">
        <v>1931</v>
      </c>
      <c r="H40" s="27">
        <v>708.9000000000001</v>
      </c>
      <c r="I40" s="27">
        <v>258.0</v>
      </c>
      <c r="J40" s="27">
        <v>545.0999999999999</v>
      </c>
      <c r="K40" s="24" t="s">
        <v>368</v>
      </c>
      <c r="L40" s="27">
        <v>585.0</v>
      </c>
      <c r="M40" s="27">
        <v>32.0</v>
      </c>
      <c r="N40" s="24">
        <v>1.0</v>
      </c>
      <c r="O40" s="28">
        <f t="shared" si="5"/>
        <v>545.1</v>
      </c>
      <c r="W40" s="24" t="s">
        <v>2022</v>
      </c>
      <c r="X40" s="24">
        <v>1.58</v>
      </c>
      <c r="Y40" s="24">
        <v>1.55</v>
      </c>
      <c r="Z40" s="24" t="s">
        <v>2023</v>
      </c>
    </row>
    <row r="41">
      <c r="A41" s="24" t="s">
        <v>1719</v>
      </c>
      <c r="B41" s="27">
        <v>3.0</v>
      </c>
      <c r="C41" s="24" t="s">
        <v>1934</v>
      </c>
      <c r="D41" s="27">
        <v>2370.0</v>
      </c>
      <c r="E41" s="27">
        <v>32.0</v>
      </c>
      <c r="F41" s="24" t="s">
        <v>1935</v>
      </c>
      <c r="G41" s="24" t="s">
        <v>1936</v>
      </c>
      <c r="H41" s="27">
        <v>606.0</v>
      </c>
      <c r="I41" s="27">
        <v>188.0</v>
      </c>
      <c r="J41" s="27">
        <v>394.0</v>
      </c>
      <c r="K41" s="24" t="s">
        <v>368</v>
      </c>
      <c r="L41" s="27">
        <v>780.0</v>
      </c>
      <c r="M41" s="27">
        <v>32.0</v>
      </c>
      <c r="N41" s="24">
        <v>1.0</v>
      </c>
      <c r="O41" s="28">
        <f t="shared" si="5"/>
        <v>394</v>
      </c>
    </row>
    <row r="42">
      <c r="A42" s="24" t="s">
        <v>1719</v>
      </c>
      <c r="B42" s="27">
        <v>3.0</v>
      </c>
      <c r="C42" s="24" t="s">
        <v>1939</v>
      </c>
      <c r="D42" s="27">
        <v>1792.0</v>
      </c>
      <c r="E42" s="27">
        <v>32.0</v>
      </c>
      <c r="F42" s="24" t="s">
        <v>1940</v>
      </c>
      <c r="G42" s="24" t="s">
        <v>1941</v>
      </c>
      <c r="H42" s="27">
        <v>515.3</v>
      </c>
      <c r="I42" s="27">
        <v>167.0</v>
      </c>
      <c r="J42" s="27">
        <v>398.7</v>
      </c>
      <c r="K42" s="24" t="s">
        <v>368</v>
      </c>
      <c r="L42" s="27">
        <v>840.0</v>
      </c>
      <c r="M42" s="27">
        <v>32.0</v>
      </c>
      <c r="N42" s="24">
        <v>1.0</v>
      </c>
      <c r="O42" s="28">
        <f t="shared" si="5"/>
        <v>398.7</v>
      </c>
    </row>
    <row r="43">
      <c r="A43" s="24" t="s">
        <v>1719</v>
      </c>
      <c r="B43" s="27">
        <v>3.0</v>
      </c>
      <c r="C43" s="24" t="s">
        <v>1944</v>
      </c>
      <c r="D43" s="27">
        <v>2406.0</v>
      </c>
      <c r="E43" s="27">
        <v>32.0</v>
      </c>
      <c r="F43" s="24" t="s">
        <v>1945</v>
      </c>
      <c r="G43" s="24" t="s">
        <v>1946</v>
      </c>
      <c r="H43" s="27">
        <v>380.2</v>
      </c>
      <c r="I43" s="27">
        <v>167.0</v>
      </c>
      <c r="J43" s="27">
        <v>411.8</v>
      </c>
      <c r="K43" s="24" t="s">
        <v>368</v>
      </c>
      <c r="L43" s="27">
        <v>705.0</v>
      </c>
      <c r="M43" s="27">
        <v>32.0</v>
      </c>
      <c r="N43" s="24">
        <v>1.0</v>
      </c>
      <c r="O43" s="28">
        <f t="shared" si="5"/>
        <v>411.8</v>
      </c>
    </row>
    <row r="44">
      <c r="A44" s="24" t="s">
        <v>1949</v>
      </c>
      <c r="B44" s="27">
        <v>2.0</v>
      </c>
      <c r="C44" s="24" t="s">
        <v>2024</v>
      </c>
      <c r="D44" s="27">
        <v>869.0</v>
      </c>
      <c r="E44" s="27">
        <v>17.0</v>
      </c>
      <c r="F44" s="24" t="s">
        <v>2025</v>
      </c>
      <c r="G44" s="24" t="s">
        <v>1921</v>
      </c>
      <c r="H44" s="27">
        <v>132.8</v>
      </c>
      <c r="I44" s="27">
        <v>163.0</v>
      </c>
      <c r="J44" s="27">
        <v>330.4</v>
      </c>
      <c r="K44" s="24" t="s">
        <v>368</v>
      </c>
      <c r="L44" s="27">
        <v>930.0</v>
      </c>
      <c r="M44" s="24">
        <v>24.0</v>
      </c>
      <c r="N44" s="24">
        <v>2.0</v>
      </c>
      <c r="O44" s="28">
        <f t="shared" si="5"/>
        <v>165.2</v>
      </c>
    </row>
    <row r="45">
      <c r="A45" s="24" t="s">
        <v>1719</v>
      </c>
      <c r="B45" s="27">
        <v>3.0</v>
      </c>
      <c r="C45" s="24" t="s">
        <v>2026</v>
      </c>
      <c r="D45" s="27">
        <v>1541.0</v>
      </c>
      <c r="E45" s="27">
        <v>24.0</v>
      </c>
      <c r="F45" s="24" t="s">
        <v>2027</v>
      </c>
      <c r="G45" s="24" t="s">
        <v>2028</v>
      </c>
      <c r="H45" s="27">
        <v>338.1</v>
      </c>
      <c r="I45" s="27">
        <v>133.0</v>
      </c>
      <c r="J45" s="27">
        <v>285.7</v>
      </c>
      <c r="K45" s="24" t="s">
        <v>368</v>
      </c>
      <c r="L45" s="27">
        <v>915.0</v>
      </c>
      <c r="M45" s="27">
        <v>24.0</v>
      </c>
      <c r="N45" s="24">
        <v>1.0</v>
      </c>
      <c r="O45" s="28">
        <f t="shared" si="5"/>
        <v>285.7</v>
      </c>
    </row>
    <row r="46">
      <c r="A46" s="24" t="s">
        <v>1719</v>
      </c>
      <c r="B46" s="27">
        <v>3.0</v>
      </c>
      <c r="C46" s="24" t="s">
        <v>1958</v>
      </c>
      <c r="D46" s="27">
        <v>2128.0</v>
      </c>
      <c r="E46" s="27">
        <v>32.0</v>
      </c>
      <c r="F46" s="24" t="s">
        <v>1959</v>
      </c>
      <c r="G46" s="24" t="s">
        <v>1960</v>
      </c>
      <c r="H46" s="27">
        <v>334.19999999999993</v>
      </c>
      <c r="I46" s="27">
        <v>129.0</v>
      </c>
      <c r="J46" s="27">
        <v>313.6</v>
      </c>
      <c r="K46" s="24" t="s">
        <v>368</v>
      </c>
      <c r="L46" s="27">
        <v>945.0</v>
      </c>
      <c r="M46" s="27">
        <v>32.0</v>
      </c>
      <c r="N46" s="24">
        <v>1.0</v>
      </c>
      <c r="O46" s="28">
        <f t="shared" si="5"/>
        <v>313.6</v>
      </c>
    </row>
    <row r="47">
      <c r="A47" s="24" t="s">
        <v>1719</v>
      </c>
      <c r="B47" s="27">
        <v>2.0</v>
      </c>
      <c r="C47" s="24" t="s">
        <v>2029</v>
      </c>
      <c r="D47" s="27">
        <v>1404.0</v>
      </c>
      <c r="E47" s="27">
        <v>24.0</v>
      </c>
      <c r="F47" s="24" t="s">
        <v>2030</v>
      </c>
      <c r="G47" s="24" t="s">
        <v>1727</v>
      </c>
      <c r="H47" s="27">
        <v>103.4</v>
      </c>
      <c r="I47" s="27">
        <v>94.1</v>
      </c>
      <c r="J47" s="27">
        <v>203.0</v>
      </c>
      <c r="K47" s="24" t="s">
        <v>368</v>
      </c>
      <c r="L47" s="27">
        <v>1230.0</v>
      </c>
      <c r="M47" s="27">
        <v>24.0</v>
      </c>
      <c r="N47" s="24">
        <v>1.0</v>
      </c>
      <c r="O47" s="28">
        <f t="shared" si="5"/>
        <v>203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2031</v>
      </c>
      <c r="B1" s="24" t="s">
        <v>2032</v>
      </c>
      <c r="C1" s="24" t="s">
        <v>2033</v>
      </c>
      <c r="D1" s="24" t="s">
        <v>2034</v>
      </c>
    </row>
    <row r="2">
      <c r="A2" s="2" t="s">
        <v>18</v>
      </c>
      <c r="B2" s="2" t="s">
        <v>18</v>
      </c>
      <c r="C2" s="149">
        <v>0.0</v>
      </c>
    </row>
    <row r="3">
      <c r="A3" s="2" t="s">
        <v>18</v>
      </c>
      <c r="B3" s="2" t="s">
        <v>49</v>
      </c>
      <c r="C3" s="149">
        <v>521.0</v>
      </c>
    </row>
    <row r="4">
      <c r="A4" s="2" t="s">
        <v>18</v>
      </c>
      <c r="B4" s="2" t="s">
        <v>22</v>
      </c>
      <c r="C4" s="149">
        <v>314.0</v>
      </c>
    </row>
    <row r="5">
      <c r="A5" s="2" t="s">
        <v>18</v>
      </c>
      <c r="B5" s="2" t="s">
        <v>27</v>
      </c>
      <c r="C5" s="149">
        <v>311.0</v>
      </c>
    </row>
    <row r="6">
      <c r="A6" s="2" t="s">
        <v>18</v>
      </c>
      <c r="B6" s="2" t="s">
        <v>35</v>
      </c>
      <c r="C6" s="149">
        <v>335.0</v>
      </c>
    </row>
    <row r="7">
      <c r="A7" s="2" t="s">
        <v>18</v>
      </c>
      <c r="B7" s="2" t="s">
        <v>41</v>
      </c>
      <c r="C7" s="149">
        <v>234.0</v>
      </c>
    </row>
    <row r="8">
      <c r="A8" s="2" t="s">
        <v>18</v>
      </c>
      <c r="B8" s="2" t="s">
        <v>57</v>
      </c>
      <c r="C8" s="149">
        <v>504.0</v>
      </c>
    </row>
    <row r="9">
      <c r="A9" s="2" t="s">
        <v>18</v>
      </c>
      <c r="B9" s="2" t="s">
        <v>37</v>
      </c>
      <c r="C9" s="149">
        <v>285.0</v>
      </c>
    </row>
    <row r="10">
      <c r="A10" s="2" t="s">
        <v>18</v>
      </c>
      <c r="B10" s="2" t="s">
        <v>39</v>
      </c>
      <c r="C10" s="149">
        <v>268.0</v>
      </c>
    </row>
    <row r="11">
      <c r="A11" s="2" t="s">
        <v>18</v>
      </c>
      <c r="B11" s="2" t="s">
        <v>64</v>
      </c>
      <c r="C11" s="149">
        <v>193.0</v>
      </c>
    </row>
    <row r="12">
      <c r="A12" s="2" t="s">
        <v>18</v>
      </c>
      <c r="B12" s="2" t="s">
        <v>65</v>
      </c>
      <c r="C12" s="149">
        <v>106.0</v>
      </c>
    </row>
    <row r="13">
      <c r="A13" s="2" t="s">
        <v>18</v>
      </c>
      <c r="B13" s="2" t="s">
        <v>36</v>
      </c>
      <c r="C13" s="149">
        <v>332.0</v>
      </c>
    </row>
    <row r="14">
      <c r="A14" s="2" t="s">
        <v>18</v>
      </c>
      <c r="B14" s="2" t="s">
        <v>31</v>
      </c>
      <c r="C14" s="149">
        <v>464.0</v>
      </c>
    </row>
    <row r="15">
      <c r="A15" s="2" t="s">
        <v>18</v>
      </c>
      <c r="B15" s="2" t="s">
        <v>43</v>
      </c>
      <c r="C15" s="149">
        <v>116.0</v>
      </c>
    </row>
    <row r="16">
      <c r="A16" s="2" t="s">
        <v>18</v>
      </c>
      <c r="B16" s="2" t="s">
        <v>40</v>
      </c>
      <c r="C16" s="149">
        <v>201.0</v>
      </c>
    </row>
    <row r="17">
      <c r="A17" s="2" t="s">
        <v>18</v>
      </c>
      <c r="B17" s="2" t="s">
        <v>50</v>
      </c>
      <c r="C17" s="149">
        <v>560.0</v>
      </c>
    </row>
    <row r="18">
      <c r="A18" s="2" t="s">
        <v>18</v>
      </c>
      <c r="B18" s="2" t="s">
        <v>51</v>
      </c>
      <c r="C18" s="149">
        <v>333.0</v>
      </c>
    </row>
    <row r="19">
      <c r="A19" s="2" t="s">
        <v>18</v>
      </c>
      <c r="B19" s="2" t="s">
        <v>23</v>
      </c>
      <c r="C19" s="149">
        <v>340.0</v>
      </c>
    </row>
    <row r="20">
      <c r="A20" s="2" t="s">
        <v>18</v>
      </c>
      <c r="B20" s="2" t="s">
        <v>47</v>
      </c>
      <c r="C20" s="149">
        <v>70.9</v>
      </c>
    </row>
    <row r="21">
      <c r="A21" s="2" t="s">
        <v>18</v>
      </c>
      <c r="B21" s="2" t="s">
        <v>62</v>
      </c>
      <c r="C21" s="149">
        <v>25.9</v>
      </c>
    </row>
    <row r="22">
      <c r="A22" s="2" t="s">
        <v>18</v>
      </c>
      <c r="B22" s="2" t="s">
        <v>30</v>
      </c>
      <c r="C22" s="149">
        <v>350.0</v>
      </c>
    </row>
    <row r="23">
      <c r="A23" s="2" t="s">
        <v>18</v>
      </c>
      <c r="B23" s="2" t="s">
        <v>32</v>
      </c>
      <c r="C23" s="149">
        <v>378.0</v>
      </c>
    </row>
    <row r="24">
      <c r="A24" s="2" t="s">
        <v>18</v>
      </c>
      <c r="B24" s="2" t="s">
        <v>46</v>
      </c>
      <c r="C24" s="149">
        <v>101.0</v>
      </c>
    </row>
    <row r="25">
      <c r="A25" s="2" t="s">
        <v>18</v>
      </c>
      <c r="B25" s="2" t="s">
        <v>54</v>
      </c>
      <c r="C25" s="149">
        <v>405.0</v>
      </c>
    </row>
    <row r="26">
      <c r="A26" s="2" t="s">
        <v>18</v>
      </c>
      <c r="B26" s="2" t="s">
        <v>34</v>
      </c>
      <c r="C26" s="149">
        <v>121.0</v>
      </c>
    </row>
    <row r="27">
      <c r="A27" s="2" t="s">
        <v>18</v>
      </c>
      <c r="B27" s="2" t="s">
        <v>20</v>
      </c>
      <c r="C27" s="149">
        <v>337.0</v>
      </c>
    </row>
    <row r="28">
      <c r="A28" s="2" t="s">
        <v>18</v>
      </c>
      <c r="B28" s="2" t="s">
        <v>24</v>
      </c>
      <c r="C28" s="149">
        <v>392.0</v>
      </c>
    </row>
    <row r="29">
      <c r="A29" s="2" t="s">
        <v>18</v>
      </c>
      <c r="B29" s="2" t="s">
        <v>63</v>
      </c>
      <c r="C29" s="149">
        <v>216.0</v>
      </c>
    </row>
    <row r="30">
      <c r="A30" s="2" t="s">
        <v>18</v>
      </c>
      <c r="B30" s="2" t="s">
        <v>58</v>
      </c>
      <c r="C30" s="149">
        <v>519.0</v>
      </c>
    </row>
    <row r="31">
      <c r="A31" s="2" t="s">
        <v>18</v>
      </c>
      <c r="B31" s="2" t="s">
        <v>42</v>
      </c>
      <c r="C31" s="149">
        <v>226.0</v>
      </c>
    </row>
    <row r="32">
      <c r="A32" s="2" t="s">
        <v>18</v>
      </c>
      <c r="B32" s="2" t="s">
        <v>21</v>
      </c>
      <c r="C32" s="149">
        <v>332.0</v>
      </c>
    </row>
    <row r="33">
      <c r="A33" s="2" t="s">
        <v>18</v>
      </c>
      <c r="B33" s="2" t="s">
        <v>33</v>
      </c>
      <c r="C33" s="149">
        <v>336.0</v>
      </c>
    </row>
    <row r="34">
      <c r="A34" s="2" t="s">
        <v>18</v>
      </c>
      <c r="B34" s="2" t="s">
        <v>66</v>
      </c>
      <c r="C34" s="149">
        <v>210.0</v>
      </c>
    </row>
    <row r="35">
      <c r="A35" s="2" t="s">
        <v>18</v>
      </c>
      <c r="B35" s="2" t="s">
        <v>29</v>
      </c>
      <c r="C35" s="149">
        <v>506.0</v>
      </c>
    </row>
    <row r="36">
      <c r="A36" s="2" t="s">
        <v>18</v>
      </c>
      <c r="B36" s="2" t="s">
        <v>60</v>
      </c>
      <c r="C36" s="149">
        <v>182.0</v>
      </c>
    </row>
    <row r="37">
      <c r="A37" s="2" t="s">
        <v>18</v>
      </c>
      <c r="B37" s="2" t="s">
        <v>38</v>
      </c>
      <c r="C37" s="149">
        <v>363.0</v>
      </c>
    </row>
    <row r="38">
      <c r="A38" s="2" t="s">
        <v>18</v>
      </c>
      <c r="B38" s="2" t="s">
        <v>61</v>
      </c>
      <c r="C38" s="149">
        <v>50.3</v>
      </c>
    </row>
    <row r="39">
      <c r="A39" s="2" t="s">
        <v>18</v>
      </c>
      <c r="B39" s="2" t="s">
        <v>52</v>
      </c>
      <c r="C39" s="149">
        <v>362.0</v>
      </c>
    </row>
    <row r="40">
      <c r="A40" s="2" t="s">
        <v>18</v>
      </c>
      <c r="B40" s="2" t="s">
        <v>25</v>
      </c>
      <c r="C40" s="149">
        <v>438.0</v>
      </c>
    </row>
    <row r="41">
      <c r="A41" s="2" t="s">
        <v>18</v>
      </c>
      <c r="B41" s="2" t="s">
        <v>67</v>
      </c>
      <c r="C41" s="149">
        <v>462.0</v>
      </c>
    </row>
    <row r="42">
      <c r="A42" s="2" t="s">
        <v>18</v>
      </c>
      <c r="B42" s="2" t="s">
        <v>45</v>
      </c>
      <c r="C42" s="149">
        <v>101.0</v>
      </c>
    </row>
    <row r="43">
      <c r="A43" s="2" t="s">
        <v>18</v>
      </c>
      <c r="B43" s="2" t="s">
        <v>53</v>
      </c>
      <c r="C43" s="149">
        <v>584.0</v>
      </c>
    </row>
    <row r="44">
      <c r="A44" s="2" t="s">
        <v>18</v>
      </c>
      <c r="B44" s="2" t="s">
        <v>26</v>
      </c>
      <c r="C44" s="149">
        <v>473.0</v>
      </c>
    </row>
    <row r="45">
      <c r="A45" s="2" t="s">
        <v>18</v>
      </c>
      <c r="B45" s="2" t="s">
        <v>28</v>
      </c>
      <c r="C45" s="149">
        <v>325.0</v>
      </c>
    </row>
    <row r="46">
      <c r="A46" s="2" t="s">
        <v>18</v>
      </c>
      <c r="B46" s="2" t="s">
        <v>55</v>
      </c>
      <c r="C46" s="149">
        <v>529.0</v>
      </c>
    </row>
    <row r="47">
      <c r="A47" s="2" t="s">
        <v>18</v>
      </c>
      <c r="B47" s="2" t="s">
        <v>48</v>
      </c>
      <c r="C47" s="149">
        <v>111.0</v>
      </c>
    </row>
    <row r="48">
      <c r="A48" s="2" t="s">
        <v>18</v>
      </c>
      <c r="B48" s="2" t="s">
        <v>2035</v>
      </c>
      <c r="C48" s="149">
        <v>590.0</v>
      </c>
    </row>
    <row r="49">
      <c r="A49" s="2" t="s">
        <v>18</v>
      </c>
      <c r="B49" s="2" t="s">
        <v>59</v>
      </c>
      <c r="C49" s="149">
        <v>470.0</v>
      </c>
    </row>
    <row r="50">
      <c r="A50" s="2" t="s">
        <v>18</v>
      </c>
      <c r="B50" s="2" t="s">
        <v>44</v>
      </c>
      <c r="C50" s="149">
        <v>34.5</v>
      </c>
    </row>
    <row r="51">
      <c r="A51" s="2" t="s">
        <v>18</v>
      </c>
      <c r="B51" s="2" t="s">
        <v>2036</v>
      </c>
      <c r="C51" s="149">
        <v>562.0</v>
      </c>
    </row>
    <row r="52">
      <c r="A52" s="2" t="s">
        <v>18</v>
      </c>
      <c r="B52" s="2" t="s">
        <v>2037</v>
      </c>
      <c r="C52" s="149">
        <v>531.0</v>
      </c>
    </row>
    <row r="53">
      <c r="A53" s="2" t="s">
        <v>49</v>
      </c>
      <c r="B53" s="2" t="s">
        <v>18</v>
      </c>
      <c r="C53" s="149">
        <v>521.0</v>
      </c>
    </row>
    <row r="54">
      <c r="A54" s="2" t="s">
        <v>49</v>
      </c>
      <c r="B54" s="2" t="s">
        <v>49</v>
      </c>
      <c r="C54" s="149">
        <v>0.0</v>
      </c>
    </row>
    <row r="55">
      <c r="A55" s="2" t="s">
        <v>49</v>
      </c>
      <c r="B55" s="2" t="s">
        <v>22</v>
      </c>
      <c r="C55" s="149">
        <v>213.0</v>
      </c>
    </row>
    <row r="56">
      <c r="A56" s="2" t="s">
        <v>49</v>
      </c>
      <c r="B56" s="2" t="s">
        <v>27</v>
      </c>
      <c r="C56" s="149">
        <v>511.0</v>
      </c>
    </row>
    <row r="57">
      <c r="A57" s="2" t="s">
        <v>49</v>
      </c>
      <c r="B57" s="2" t="s">
        <v>35</v>
      </c>
      <c r="C57" s="149">
        <v>819.0</v>
      </c>
    </row>
    <row r="58">
      <c r="A58" s="2" t="s">
        <v>49</v>
      </c>
      <c r="B58" s="2" t="s">
        <v>41</v>
      </c>
      <c r="C58" s="149">
        <v>769.0</v>
      </c>
    </row>
    <row r="59">
      <c r="A59" s="2" t="s">
        <v>49</v>
      </c>
      <c r="B59" s="2" t="s">
        <v>57</v>
      </c>
      <c r="C59" s="149">
        <v>734.0</v>
      </c>
    </row>
    <row r="60">
      <c r="A60" s="2" t="s">
        <v>49</v>
      </c>
      <c r="B60" s="2" t="s">
        <v>37</v>
      </c>
      <c r="C60" s="149">
        <v>438.0</v>
      </c>
    </row>
    <row r="61">
      <c r="A61" s="2" t="s">
        <v>49</v>
      </c>
      <c r="B61" s="2" t="s">
        <v>39</v>
      </c>
      <c r="C61" s="149">
        <v>395.0</v>
      </c>
    </row>
    <row r="62">
      <c r="A62" s="2" t="s">
        <v>49</v>
      </c>
      <c r="B62" s="2" t="s">
        <v>64</v>
      </c>
      <c r="C62" s="149">
        <v>677.0</v>
      </c>
    </row>
    <row r="63">
      <c r="A63" s="2" t="s">
        <v>49</v>
      </c>
      <c r="B63" s="2" t="s">
        <v>65</v>
      </c>
      <c r="C63" s="149">
        <v>589.0</v>
      </c>
    </row>
    <row r="64">
      <c r="A64" s="2" t="s">
        <v>49</v>
      </c>
      <c r="B64" s="2" t="s">
        <v>36</v>
      </c>
      <c r="C64" s="149">
        <v>815.0</v>
      </c>
    </row>
    <row r="65">
      <c r="A65" s="2" t="s">
        <v>49</v>
      </c>
      <c r="B65" s="2" t="s">
        <v>31</v>
      </c>
      <c r="C65" s="149">
        <v>766.0</v>
      </c>
    </row>
    <row r="66">
      <c r="A66" s="2" t="s">
        <v>49</v>
      </c>
      <c r="B66" s="2" t="s">
        <v>43</v>
      </c>
      <c r="C66" s="149">
        <v>636.0</v>
      </c>
    </row>
    <row r="67">
      <c r="A67" s="2" t="s">
        <v>49</v>
      </c>
      <c r="B67" s="2" t="s">
        <v>40</v>
      </c>
      <c r="C67" s="149">
        <v>395.0</v>
      </c>
    </row>
    <row r="68">
      <c r="A68" s="2" t="s">
        <v>49</v>
      </c>
      <c r="B68" s="2" t="s">
        <v>50</v>
      </c>
      <c r="C68" s="149">
        <v>338.0</v>
      </c>
    </row>
    <row r="69">
      <c r="A69" s="2" t="s">
        <v>49</v>
      </c>
      <c r="B69" s="2" t="s">
        <v>51</v>
      </c>
      <c r="C69" s="149">
        <v>565.0</v>
      </c>
    </row>
    <row r="70">
      <c r="A70" s="2" t="s">
        <v>49</v>
      </c>
      <c r="B70" s="2" t="s">
        <v>23</v>
      </c>
      <c r="C70" s="149">
        <v>216.0</v>
      </c>
    </row>
    <row r="71">
      <c r="A71" s="2" t="s">
        <v>49</v>
      </c>
      <c r="B71" s="2" t="s">
        <v>47</v>
      </c>
      <c r="C71" s="149">
        <v>555.0</v>
      </c>
    </row>
    <row r="72">
      <c r="A72" s="2" t="s">
        <v>49</v>
      </c>
      <c r="B72" s="2" t="s">
        <v>62</v>
      </c>
      <c r="C72" s="149">
        <v>495.0</v>
      </c>
    </row>
    <row r="73">
      <c r="A73" s="2" t="s">
        <v>49</v>
      </c>
      <c r="B73" s="2" t="s">
        <v>30</v>
      </c>
      <c r="C73" s="149">
        <v>652.0</v>
      </c>
    </row>
    <row r="74">
      <c r="A74" s="2" t="s">
        <v>49</v>
      </c>
      <c r="B74" s="2" t="s">
        <v>32</v>
      </c>
      <c r="C74" s="149">
        <v>681.0</v>
      </c>
    </row>
    <row r="75">
      <c r="A75" s="2" t="s">
        <v>49</v>
      </c>
      <c r="B75" s="2" t="s">
        <v>46</v>
      </c>
      <c r="C75" s="149">
        <v>586.0</v>
      </c>
    </row>
    <row r="76">
      <c r="A76" s="2" t="s">
        <v>49</v>
      </c>
      <c r="B76" s="2" t="s">
        <v>54</v>
      </c>
      <c r="C76" s="149">
        <v>206.0</v>
      </c>
    </row>
    <row r="77">
      <c r="A77" s="2" t="s">
        <v>49</v>
      </c>
      <c r="B77" s="2" t="s">
        <v>34</v>
      </c>
      <c r="C77" s="149">
        <v>406.0</v>
      </c>
    </row>
    <row r="78">
      <c r="A78" s="2" t="s">
        <v>49</v>
      </c>
      <c r="B78" s="2" t="s">
        <v>20</v>
      </c>
      <c r="C78" s="149">
        <v>173.0</v>
      </c>
    </row>
    <row r="79">
      <c r="A79" s="2" t="s">
        <v>49</v>
      </c>
      <c r="B79" s="2" t="s">
        <v>24</v>
      </c>
      <c r="C79" s="149">
        <v>622.0</v>
      </c>
    </row>
    <row r="80">
      <c r="A80" s="2" t="s">
        <v>49</v>
      </c>
      <c r="B80" s="2" t="s">
        <v>63</v>
      </c>
      <c r="C80" s="149">
        <v>518.0</v>
      </c>
    </row>
    <row r="81">
      <c r="A81" s="2" t="s">
        <v>49</v>
      </c>
      <c r="B81" s="2" t="s">
        <v>58</v>
      </c>
      <c r="C81" s="149">
        <v>749.0</v>
      </c>
    </row>
    <row r="82">
      <c r="A82" s="2" t="s">
        <v>49</v>
      </c>
      <c r="B82" s="2" t="s">
        <v>42</v>
      </c>
      <c r="C82" s="149">
        <v>709.0</v>
      </c>
    </row>
    <row r="83">
      <c r="A83" s="2" t="s">
        <v>49</v>
      </c>
      <c r="B83" s="2" t="s">
        <v>21</v>
      </c>
      <c r="C83" s="149">
        <v>189.0</v>
      </c>
    </row>
    <row r="84">
      <c r="A84" s="2" t="s">
        <v>49</v>
      </c>
      <c r="B84" s="2" t="s">
        <v>33</v>
      </c>
      <c r="C84" s="149">
        <v>284.0</v>
      </c>
    </row>
    <row r="85">
      <c r="A85" s="2" t="s">
        <v>49</v>
      </c>
      <c r="B85" s="2" t="s">
        <v>66</v>
      </c>
      <c r="C85" s="149">
        <v>747.0</v>
      </c>
    </row>
    <row r="86">
      <c r="A86" s="2" t="s">
        <v>49</v>
      </c>
      <c r="B86" s="2" t="s">
        <v>29</v>
      </c>
      <c r="C86" s="149">
        <v>396.0</v>
      </c>
    </row>
    <row r="87">
      <c r="A87" s="2" t="s">
        <v>49</v>
      </c>
      <c r="B87" s="2" t="s">
        <v>60</v>
      </c>
      <c r="C87" s="149">
        <v>342.0</v>
      </c>
    </row>
    <row r="88">
      <c r="A88" s="2" t="s">
        <v>49</v>
      </c>
      <c r="B88" s="2" t="s">
        <v>38</v>
      </c>
      <c r="C88" s="149">
        <v>524.0</v>
      </c>
    </row>
    <row r="89">
      <c r="A89" s="2" t="s">
        <v>49</v>
      </c>
      <c r="B89" s="2" t="s">
        <v>61</v>
      </c>
      <c r="C89" s="149">
        <v>477.0</v>
      </c>
    </row>
    <row r="90">
      <c r="A90" s="2" t="s">
        <v>49</v>
      </c>
      <c r="B90" s="2" t="s">
        <v>52</v>
      </c>
      <c r="C90" s="149">
        <v>592.0</v>
      </c>
    </row>
    <row r="91">
      <c r="A91" s="2" t="s">
        <v>49</v>
      </c>
      <c r="B91" s="2" t="s">
        <v>25</v>
      </c>
      <c r="C91" s="149">
        <v>673.0</v>
      </c>
    </row>
    <row r="92">
      <c r="A92" s="2" t="s">
        <v>49</v>
      </c>
      <c r="B92" s="2" t="s">
        <v>67</v>
      </c>
      <c r="C92" s="149">
        <v>635.0</v>
      </c>
    </row>
    <row r="93">
      <c r="A93" s="2" t="s">
        <v>49</v>
      </c>
      <c r="B93" s="2" t="s">
        <v>45</v>
      </c>
      <c r="C93" s="149">
        <v>586.0</v>
      </c>
    </row>
    <row r="94">
      <c r="A94" s="2" t="s">
        <v>49</v>
      </c>
      <c r="B94" s="2" t="s">
        <v>53</v>
      </c>
      <c r="C94" s="149">
        <v>820.0</v>
      </c>
    </row>
    <row r="95">
      <c r="A95" s="2" t="s">
        <v>49</v>
      </c>
      <c r="B95" s="2" t="s">
        <v>26</v>
      </c>
      <c r="C95" s="149">
        <v>706.0</v>
      </c>
    </row>
    <row r="96">
      <c r="A96" s="2" t="s">
        <v>49</v>
      </c>
      <c r="B96" s="2" t="s">
        <v>28</v>
      </c>
      <c r="C96" s="149">
        <v>478.0</v>
      </c>
    </row>
    <row r="97">
      <c r="A97" s="2" t="s">
        <v>49</v>
      </c>
      <c r="B97" s="2" t="s">
        <v>55</v>
      </c>
      <c r="C97" s="149">
        <v>306.0</v>
      </c>
    </row>
    <row r="98">
      <c r="A98" s="2" t="s">
        <v>49</v>
      </c>
      <c r="B98" s="2" t="s">
        <v>48</v>
      </c>
      <c r="C98" s="149">
        <v>589.0</v>
      </c>
    </row>
    <row r="99">
      <c r="A99" s="2" t="s">
        <v>49</v>
      </c>
      <c r="B99" s="2" t="s">
        <v>2035</v>
      </c>
      <c r="C99" s="149">
        <v>371.0</v>
      </c>
    </row>
    <row r="100">
      <c r="A100" s="2" t="s">
        <v>49</v>
      </c>
      <c r="B100" s="2" t="s">
        <v>59</v>
      </c>
      <c r="C100" s="149">
        <v>703.0</v>
      </c>
    </row>
    <row r="101">
      <c r="A101" s="2" t="s">
        <v>49</v>
      </c>
      <c r="B101" s="2" t="s">
        <v>44</v>
      </c>
      <c r="C101" s="149">
        <v>554.0</v>
      </c>
    </row>
    <row r="102">
      <c r="A102" s="2" t="s">
        <v>49</v>
      </c>
      <c r="B102" s="2" t="s">
        <v>2036</v>
      </c>
      <c r="C102" s="149">
        <v>339.0</v>
      </c>
    </row>
    <row r="103">
      <c r="A103" s="2" t="s">
        <v>49</v>
      </c>
      <c r="B103" s="2" t="s">
        <v>2037</v>
      </c>
      <c r="C103" s="149">
        <v>14.5</v>
      </c>
    </row>
    <row r="104">
      <c r="A104" s="2" t="s">
        <v>22</v>
      </c>
      <c r="B104" s="2" t="s">
        <v>18</v>
      </c>
      <c r="C104" s="149">
        <v>314.0</v>
      </c>
    </row>
    <row r="105">
      <c r="A105" s="2" t="s">
        <v>22</v>
      </c>
      <c r="B105" s="2" t="s">
        <v>49</v>
      </c>
      <c r="C105" s="149">
        <v>213.0</v>
      </c>
    </row>
    <row r="106">
      <c r="A106" s="2" t="s">
        <v>22</v>
      </c>
      <c r="B106" s="2" t="s">
        <v>22</v>
      </c>
      <c r="C106" s="149">
        <v>0.0</v>
      </c>
    </row>
    <row r="107">
      <c r="A107" s="2" t="s">
        <v>22</v>
      </c>
      <c r="B107" s="2" t="s">
        <v>27</v>
      </c>
      <c r="C107" s="149">
        <v>354.0</v>
      </c>
    </row>
    <row r="108">
      <c r="A108" s="2" t="s">
        <v>22</v>
      </c>
      <c r="B108" s="2" t="s">
        <v>35</v>
      </c>
      <c r="C108" s="149">
        <v>612.0</v>
      </c>
    </row>
    <row r="109">
      <c r="A109" s="2" t="s">
        <v>22</v>
      </c>
      <c r="B109" s="2" t="s">
        <v>41</v>
      </c>
      <c r="C109" s="149">
        <v>562.0</v>
      </c>
    </row>
    <row r="110">
      <c r="A110" s="2" t="s">
        <v>22</v>
      </c>
      <c r="B110" s="2" t="s">
        <v>57</v>
      </c>
      <c r="C110" s="149">
        <v>577.0</v>
      </c>
    </row>
    <row r="111">
      <c r="A111" s="2" t="s">
        <v>22</v>
      </c>
      <c r="B111" s="2" t="s">
        <v>37</v>
      </c>
      <c r="C111" s="149">
        <v>280.0</v>
      </c>
    </row>
    <row r="112">
      <c r="A112" s="2" t="s">
        <v>22</v>
      </c>
      <c r="B112" s="2" t="s">
        <v>39</v>
      </c>
      <c r="C112" s="149">
        <v>238.0</v>
      </c>
    </row>
    <row r="113">
      <c r="A113" s="2" t="s">
        <v>22</v>
      </c>
      <c r="B113" s="2" t="s">
        <v>64</v>
      </c>
      <c r="C113" s="149">
        <v>470.0</v>
      </c>
    </row>
    <row r="114">
      <c r="A114" s="2" t="s">
        <v>22</v>
      </c>
      <c r="B114" s="2" t="s">
        <v>65</v>
      </c>
      <c r="C114" s="149">
        <v>383.0</v>
      </c>
    </row>
    <row r="115">
      <c r="A115" s="2" t="s">
        <v>22</v>
      </c>
      <c r="B115" s="2" t="s">
        <v>36</v>
      </c>
      <c r="C115" s="149">
        <v>609.0</v>
      </c>
    </row>
    <row r="116">
      <c r="A116" s="2" t="s">
        <v>22</v>
      </c>
      <c r="B116" s="2" t="s">
        <v>31</v>
      </c>
      <c r="C116" s="149">
        <v>609.0</v>
      </c>
    </row>
    <row r="117">
      <c r="A117" s="2" t="s">
        <v>22</v>
      </c>
      <c r="B117" s="2" t="s">
        <v>43</v>
      </c>
      <c r="C117" s="149">
        <v>429.0</v>
      </c>
    </row>
    <row r="118">
      <c r="A118" s="2" t="s">
        <v>22</v>
      </c>
      <c r="B118" s="2" t="s">
        <v>40</v>
      </c>
      <c r="C118" s="149">
        <v>238.0</v>
      </c>
    </row>
    <row r="119">
      <c r="A119" s="2" t="s">
        <v>22</v>
      </c>
      <c r="B119" s="2" t="s">
        <v>50</v>
      </c>
      <c r="C119" s="149">
        <v>248.0</v>
      </c>
    </row>
    <row r="120">
      <c r="A120" s="2" t="s">
        <v>22</v>
      </c>
      <c r="B120" s="2" t="s">
        <v>51</v>
      </c>
      <c r="C120" s="149">
        <v>407.0</v>
      </c>
    </row>
    <row r="121">
      <c r="A121" s="2" t="s">
        <v>22</v>
      </c>
      <c r="B121" s="2" t="s">
        <v>23</v>
      </c>
      <c r="C121" s="149">
        <v>27.7</v>
      </c>
    </row>
    <row r="122">
      <c r="A122" s="2" t="s">
        <v>22</v>
      </c>
      <c r="B122" s="2" t="s">
        <v>47</v>
      </c>
      <c r="C122" s="149">
        <v>348.0</v>
      </c>
    </row>
    <row r="123">
      <c r="A123" s="2" t="s">
        <v>22</v>
      </c>
      <c r="B123" s="2" t="s">
        <v>62</v>
      </c>
      <c r="C123" s="149">
        <v>289.0</v>
      </c>
    </row>
    <row r="124">
      <c r="A124" s="2" t="s">
        <v>22</v>
      </c>
      <c r="B124" s="2" t="s">
        <v>30</v>
      </c>
      <c r="C124" s="149">
        <v>495.0</v>
      </c>
    </row>
    <row r="125">
      <c r="A125" s="2" t="s">
        <v>22</v>
      </c>
      <c r="B125" s="2" t="s">
        <v>32</v>
      </c>
      <c r="C125" s="149">
        <v>524.0</v>
      </c>
    </row>
    <row r="126">
      <c r="A126" s="2" t="s">
        <v>22</v>
      </c>
      <c r="B126" s="2" t="s">
        <v>46</v>
      </c>
      <c r="C126" s="149">
        <v>379.0</v>
      </c>
    </row>
    <row r="127">
      <c r="A127" s="2" t="s">
        <v>22</v>
      </c>
      <c r="B127" s="2" t="s">
        <v>54</v>
      </c>
      <c r="C127" s="149">
        <v>92.9</v>
      </c>
    </row>
    <row r="128">
      <c r="A128" s="2" t="s">
        <v>22</v>
      </c>
      <c r="B128" s="2" t="s">
        <v>34</v>
      </c>
      <c r="C128" s="149">
        <v>199.0</v>
      </c>
    </row>
    <row r="129">
      <c r="A129" s="2" t="s">
        <v>22</v>
      </c>
      <c r="B129" s="2" t="s">
        <v>20</v>
      </c>
      <c r="C129" s="149">
        <v>29.6</v>
      </c>
    </row>
    <row r="130">
      <c r="A130" s="2" t="s">
        <v>22</v>
      </c>
      <c r="B130" s="2" t="s">
        <v>24</v>
      </c>
      <c r="C130" s="149">
        <v>464.0</v>
      </c>
    </row>
    <row r="131">
      <c r="A131" s="2" t="s">
        <v>22</v>
      </c>
      <c r="B131" s="2" t="s">
        <v>63</v>
      </c>
      <c r="C131" s="149">
        <v>361.0</v>
      </c>
    </row>
    <row r="132">
      <c r="A132" s="2" t="s">
        <v>22</v>
      </c>
      <c r="B132" s="2" t="s">
        <v>58</v>
      </c>
      <c r="C132" s="149">
        <v>592.0</v>
      </c>
    </row>
    <row r="133">
      <c r="A133" s="2" t="s">
        <v>22</v>
      </c>
      <c r="B133" s="2" t="s">
        <v>42</v>
      </c>
      <c r="C133" s="149">
        <v>503.0</v>
      </c>
    </row>
    <row r="134">
      <c r="A134" s="2" t="s">
        <v>22</v>
      </c>
      <c r="B134" s="2" t="s">
        <v>21</v>
      </c>
      <c r="C134" s="149">
        <v>24.4</v>
      </c>
    </row>
    <row r="135">
      <c r="A135" s="2" t="s">
        <v>22</v>
      </c>
      <c r="B135" s="2" t="s">
        <v>33</v>
      </c>
      <c r="C135" s="149">
        <v>126.0</v>
      </c>
    </row>
    <row r="136">
      <c r="A136" s="2" t="s">
        <v>22</v>
      </c>
      <c r="B136" s="2" t="s">
        <v>66</v>
      </c>
      <c r="C136" s="149">
        <v>540.0</v>
      </c>
    </row>
    <row r="137">
      <c r="A137" s="2" t="s">
        <v>22</v>
      </c>
      <c r="B137" s="2" t="s">
        <v>29</v>
      </c>
      <c r="C137" s="149">
        <v>294.0</v>
      </c>
    </row>
    <row r="138">
      <c r="A138" s="2" t="s">
        <v>22</v>
      </c>
      <c r="B138" s="2" t="s">
        <v>60</v>
      </c>
      <c r="C138" s="149">
        <v>135.0</v>
      </c>
    </row>
    <row r="139">
      <c r="A139" s="2" t="s">
        <v>22</v>
      </c>
      <c r="B139" s="2" t="s">
        <v>38</v>
      </c>
      <c r="C139" s="149">
        <v>367.0</v>
      </c>
    </row>
    <row r="140">
      <c r="A140" s="2" t="s">
        <v>22</v>
      </c>
      <c r="B140" s="2" t="s">
        <v>61</v>
      </c>
      <c r="C140" s="149">
        <v>270.0</v>
      </c>
    </row>
    <row r="141">
      <c r="A141" s="2" t="s">
        <v>22</v>
      </c>
      <c r="B141" s="2" t="s">
        <v>52</v>
      </c>
      <c r="C141" s="149">
        <v>434.0</v>
      </c>
    </row>
    <row r="142">
      <c r="A142" s="2" t="s">
        <v>22</v>
      </c>
      <c r="B142" s="2" t="s">
        <v>25</v>
      </c>
      <c r="C142" s="149">
        <v>515.0</v>
      </c>
    </row>
    <row r="143">
      <c r="A143" s="2" t="s">
        <v>22</v>
      </c>
      <c r="B143" s="2" t="s">
        <v>67</v>
      </c>
      <c r="C143" s="149">
        <v>478.0</v>
      </c>
    </row>
    <row r="144">
      <c r="A144" s="2" t="s">
        <v>22</v>
      </c>
      <c r="B144" s="2" t="s">
        <v>45</v>
      </c>
      <c r="C144" s="149">
        <v>379.0</v>
      </c>
    </row>
    <row r="145">
      <c r="A145" s="2" t="s">
        <v>22</v>
      </c>
      <c r="B145" s="2" t="s">
        <v>53</v>
      </c>
      <c r="C145" s="149">
        <v>663.0</v>
      </c>
    </row>
    <row r="146">
      <c r="A146" s="2" t="s">
        <v>22</v>
      </c>
      <c r="B146" s="2" t="s">
        <v>26</v>
      </c>
      <c r="C146" s="149">
        <v>548.0</v>
      </c>
    </row>
    <row r="147">
      <c r="A147" s="2" t="s">
        <v>22</v>
      </c>
      <c r="B147" s="2" t="s">
        <v>28</v>
      </c>
      <c r="C147" s="149">
        <v>320.0</v>
      </c>
    </row>
    <row r="148">
      <c r="A148" s="2" t="s">
        <v>22</v>
      </c>
      <c r="B148" s="2" t="s">
        <v>55</v>
      </c>
      <c r="C148" s="149">
        <v>224.0</v>
      </c>
    </row>
    <row r="149">
      <c r="A149" s="2" t="s">
        <v>22</v>
      </c>
      <c r="B149" s="2" t="s">
        <v>48</v>
      </c>
      <c r="C149" s="149">
        <v>388.0</v>
      </c>
    </row>
    <row r="150">
      <c r="A150" s="2" t="s">
        <v>22</v>
      </c>
      <c r="B150" s="2" t="s">
        <v>2035</v>
      </c>
      <c r="C150" s="149">
        <v>281.0</v>
      </c>
    </row>
    <row r="151">
      <c r="A151" s="2" t="s">
        <v>22</v>
      </c>
      <c r="B151" s="2" t="s">
        <v>59</v>
      </c>
      <c r="C151" s="149">
        <v>545.0</v>
      </c>
    </row>
    <row r="152">
      <c r="A152" s="2" t="s">
        <v>22</v>
      </c>
      <c r="B152" s="2" t="s">
        <v>44</v>
      </c>
      <c r="C152" s="149">
        <v>348.0</v>
      </c>
    </row>
    <row r="153">
      <c r="A153" s="2" t="s">
        <v>22</v>
      </c>
      <c r="B153" s="2" t="s">
        <v>2036</v>
      </c>
      <c r="C153" s="149">
        <v>249.0</v>
      </c>
    </row>
    <row r="154">
      <c r="A154" s="2" t="s">
        <v>22</v>
      </c>
      <c r="B154" s="2" t="s">
        <v>2037</v>
      </c>
      <c r="C154" s="149">
        <v>196.0</v>
      </c>
    </row>
    <row r="155">
      <c r="A155" s="2" t="s">
        <v>27</v>
      </c>
      <c r="B155" s="2" t="s">
        <v>18</v>
      </c>
      <c r="C155" s="149">
        <v>311.0</v>
      </c>
    </row>
    <row r="156">
      <c r="A156" s="2" t="s">
        <v>27</v>
      </c>
      <c r="B156" s="2" t="s">
        <v>49</v>
      </c>
      <c r="C156" s="149">
        <v>511.0</v>
      </c>
    </row>
    <row r="157">
      <c r="A157" s="2" t="s">
        <v>27</v>
      </c>
      <c r="B157" s="2" t="s">
        <v>22</v>
      </c>
      <c r="C157" s="149">
        <v>354.0</v>
      </c>
    </row>
    <row r="158">
      <c r="A158" s="2" t="s">
        <v>27</v>
      </c>
      <c r="B158" s="2" t="s">
        <v>27</v>
      </c>
      <c r="C158" s="149">
        <v>0.0</v>
      </c>
    </row>
    <row r="159">
      <c r="A159" s="2" t="s">
        <v>27</v>
      </c>
      <c r="B159" s="2" t="s">
        <v>35</v>
      </c>
      <c r="C159" s="149">
        <v>609.0</v>
      </c>
    </row>
    <row r="160">
      <c r="A160" s="2" t="s">
        <v>27</v>
      </c>
      <c r="B160" s="2" t="s">
        <v>41</v>
      </c>
      <c r="C160" s="149">
        <v>559.0</v>
      </c>
    </row>
    <row r="161">
      <c r="A161" s="2" t="s">
        <v>27</v>
      </c>
      <c r="B161" s="2" t="s">
        <v>57</v>
      </c>
      <c r="C161" s="149">
        <v>229.0</v>
      </c>
    </row>
    <row r="162">
      <c r="A162" s="2" t="s">
        <v>27</v>
      </c>
      <c r="B162" s="2" t="s">
        <v>37</v>
      </c>
      <c r="C162" s="149">
        <v>89.2</v>
      </c>
    </row>
    <row r="163">
      <c r="A163" s="2" t="s">
        <v>27</v>
      </c>
      <c r="B163" s="2" t="s">
        <v>39</v>
      </c>
      <c r="C163" s="149">
        <v>116.0</v>
      </c>
    </row>
    <row r="164">
      <c r="A164" s="2" t="s">
        <v>27</v>
      </c>
      <c r="B164" s="2" t="s">
        <v>64</v>
      </c>
      <c r="C164" s="149">
        <v>467.0</v>
      </c>
    </row>
    <row r="165">
      <c r="A165" s="2" t="s">
        <v>27</v>
      </c>
      <c r="B165" s="2" t="s">
        <v>65</v>
      </c>
      <c r="C165" s="149">
        <v>380.0</v>
      </c>
    </row>
    <row r="166">
      <c r="A166" s="2" t="s">
        <v>27</v>
      </c>
      <c r="B166" s="2" t="s">
        <v>36</v>
      </c>
      <c r="C166" s="149">
        <v>606.0</v>
      </c>
    </row>
    <row r="167">
      <c r="A167" s="2" t="s">
        <v>27</v>
      </c>
      <c r="B167" s="2" t="s">
        <v>31</v>
      </c>
      <c r="C167" s="149">
        <v>179.0</v>
      </c>
    </row>
    <row r="168">
      <c r="A168" s="2" t="s">
        <v>27</v>
      </c>
      <c r="B168" s="2" t="s">
        <v>43</v>
      </c>
      <c r="C168" s="149">
        <v>426.0</v>
      </c>
    </row>
    <row r="169">
      <c r="A169" s="2" t="s">
        <v>27</v>
      </c>
      <c r="B169" s="2" t="s">
        <v>40</v>
      </c>
      <c r="C169" s="149">
        <v>195.0</v>
      </c>
    </row>
    <row r="170">
      <c r="A170" s="2" t="s">
        <v>27</v>
      </c>
      <c r="B170" s="2" t="s">
        <v>50</v>
      </c>
      <c r="C170" s="149">
        <v>624.0</v>
      </c>
    </row>
    <row r="171">
      <c r="A171" s="2" t="s">
        <v>27</v>
      </c>
      <c r="B171" s="2" t="s">
        <v>51</v>
      </c>
      <c r="C171" s="149">
        <v>58.9</v>
      </c>
    </row>
    <row r="172">
      <c r="A172" s="2" t="s">
        <v>27</v>
      </c>
      <c r="B172" s="2" t="s">
        <v>23</v>
      </c>
      <c r="C172" s="149">
        <v>403.0</v>
      </c>
    </row>
    <row r="173">
      <c r="A173" s="2" t="s">
        <v>27</v>
      </c>
      <c r="B173" s="2" t="s">
        <v>47</v>
      </c>
      <c r="C173" s="149">
        <v>246.0</v>
      </c>
    </row>
    <row r="174">
      <c r="A174" s="2" t="s">
        <v>27</v>
      </c>
      <c r="B174" s="2" t="s">
        <v>62</v>
      </c>
      <c r="C174" s="149">
        <v>286.0</v>
      </c>
    </row>
    <row r="175">
      <c r="A175" s="2" t="s">
        <v>27</v>
      </c>
      <c r="B175" s="2" t="s">
        <v>30</v>
      </c>
      <c r="C175" s="149">
        <v>162.0</v>
      </c>
    </row>
    <row r="176">
      <c r="A176" s="2" t="s">
        <v>27</v>
      </c>
      <c r="B176" s="2" t="s">
        <v>32</v>
      </c>
      <c r="C176" s="149">
        <v>123.0</v>
      </c>
    </row>
    <row r="177">
      <c r="A177" s="2" t="s">
        <v>27</v>
      </c>
      <c r="B177" s="2" t="s">
        <v>46</v>
      </c>
      <c r="C177" s="149">
        <v>376.0</v>
      </c>
    </row>
    <row r="178">
      <c r="A178" s="2" t="s">
        <v>27</v>
      </c>
      <c r="B178" s="2" t="s">
        <v>54</v>
      </c>
      <c r="C178" s="149">
        <v>469.0</v>
      </c>
    </row>
    <row r="179">
      <c r="A179" s="2" t="s">
        <v>27</v>
      </c>
      <c r="B179" s="2" t="s">
        <v>34</v>
      </c>
      <c r="C179" s="149">
        <v>345.0</v>
      </c>
    </row>
    <row r="180">
      <c r="A180" s="2" t="s">
        <v>27</v>
      </c>
      <c r="B180" s="2" t="s">
        <v>20</v>
      </c>
      <c r="C180" s="149">
        <v>363.0</v>
      </c>
    </row>
    <row r="181">
      <c r="A181" s="2" t="s">
        <v>27</v>
      </c>
      <c r="B181" s="2" t="s">
        <v>24</v>
      </c>
      <c r="C181" s="149">
        <v>116.0</v>
      </c>
    </row>
    <row r="182">
      <c r="A182" s="2" t="s">
        <v>27</v>
      </c>
      <c r="B182" s="2" t="s">
        <v>63</v>
      </c>
      <c r="C182" s="149">
        <v>153.0</v>
      </c>
    </row>
    <row r="183">
      <c r="A183" s="2" t="s">
        <v>27</v>
      </c>
      <c r="B183" s="2" t="s">
        <v>58</v>
      </c>
      <c r="C183" s="149">
        <v>244.0</v>
      </c>
    </row>
    <row r="184">
      <c r="A184" s="2" t="s">
        <v>27</v>
      </c>
      <c r="B184" s="2" t="s">
        <v>42</v>
      </c>
      <c r="C184" s="149">
        <v>500.0</v>
      </c>
    </row>
    <row r="185">
      <c r="A185" s="2" t="s">
        <v>27</v>
      </c>
      <c r="B185" s="2" t="s">
        <v>21</v>
      </c>
      <c r="C185" s="149">
        <v>389.0</v>
      </c>
    </row>
    <row r="186">
      <c r="A186" s="2" t="s">
        <v>27</v>
      </c>
      <c r="B186" s="2" t="s">
        <v>33</v>
      </c>
      <c r="C186" s="149">
        <v>254.0</v>
      </c>
    </row>
    <row r="187">
      <c r="A187" s="2" t="s">
        <v>27</v>
      </c>
      <c r="B187" s="2" t="s">
        <v>66</v>
      </c>
      <c r="C187" s="149">
        <v>520.0</v>
      </c>
    </row>
    <row r="188">
      <c r="A188" s="2" t="s">
        <v>27</v>
      </c>
      <c r="B188" s="2" t="s">
        <v>29</v>
      </c>
      <c r="C188" s="149">
        <v>303.0</v>
      </c>
    </row>
    <row r="189">
      <c r="A189" s="2" t="s">
        <v>27</v>
      </c>
      <c r="B189" s="2" t="s">
        <v>60</v>
      </c>
      <c r="C189" s="149">
        <v>324.0</v>
      </c>
    </row>
    <row r="190">
      <c r="A190" s="2" t="s">
        <v>27</v>
      </c>
      <c r="B190" s="2" t="s">
        <v>38</v>
      </c>
      <c r="C190" s="149">
        <v>160.0</v>
      </c>
    </row>
    <row r="191">
      <c r="A191" s="2" t="s">
        <v>27</v>
      </c>
      <c r="B191" s="2" t="s">
        <v>61</v>
      </c>
      <c r="C191" s="149">
        <v>274.0</v>
      </c>
    </row>
    <row r="192">
      <c r="A192" s="2" t="s">
        <v>27</v>
      </c>
      <c r="B192" s="2" t="s">
        <v>52</v>
      </c>
      <c r="C192" s="149">
        <v>86.3</v>
      </c>
    </row>
    <row r="193">
      <c r="A193" s="2" t="s">
        <v>27</v>
      </c>
      <c r="B193" s="2" t="s">
        <v>25</v>
      </c>
      <c r="C193" s="149">
        <v>167.0</v>
      </c>
    </row>
    <row r="194">
      <c r="A194" s="2" t="s">
        <v>27</v>
      </c>
      <c r="B194" s="2" t="s">
        <v>67</v>
      </c>
      <c r="C194" s="149">
        <v>152.0</v>
      </c>
    </row>
    <row r="195">
      <c r="A195" s="2" t="s">
        <v>27</v>
      </c>
      <c r="B195" s="2" t="s">
        <v>45</v>
      </c>
      <c r="C195" s="149">
        <v>376.0</v>
      </c>
    </row>
    <row r="196">
      <c r="A196" s="2" t="s">
        <v>27</v>
      </c>
      <c r="B196" s="2" t="s">
        <v>53</v>
      </c>
      <c r="C196" s="149">
        <v>315.0</v>
      </c>
    </row>
    <row r="197">
      <c r="A197" s="2" t="s">
        <v>27</v>
      </c>
      <c r="B197" s="2" t="s">
        <v>26</v>
      </c>
      <c r="C197" s="149">
        <v>200.0</v>
      </c>
    </row>
    <row r="198">
      <c r="A198" s="2" t="s">
        <v>27</v>
      </c>
      <c r="B198" s="2" t="s">
        <v>28</v>
      </c>
      <c r="C198" s="149">
        <v>30.3</v>
      </c>
    </row>
    <row r="199">
      <c r="A199" s="2" t="s">
        <v>27</v>
      </c>
      <c r="B199" s="2" t="s">
        <v>55</v>
      </c>
      <c r="C199" s="149">
        <v>600.0</v>
      </c>
    </row>
    <row r="200">
      <c r="A200" s="2" t="s">
        <v>27</v>
      </c>
      <c r="B200" s="2" t="s">
        <v>48</v>
      </c>
      <c r="C200" s="149">
        <v>224.0</v>
      </c>
    </row>
    <row r="201">
      <c r="A201" s="2" t="s">
        <v>27</v>
      </c>
      <c r="B201" s="2" t="s">
        <v>2035</v>
      </c>
      <c r="C201" s="149">
        <v>657.0</v>
      </c>
    </row>
    <row r="202">
      <c r="A202" s="2" t="s">
        <v>27</v>
      </c>
      <c r="B202" s="2" t="s">
        <v>59</v>
      </c>
      <c r="C202" s="149">
        <v>197.0</v>
      </c>
    </row>
    <row r="203">
      <c r="A203" s="2" t="s">
        <v>27</v>
      </c>
      <c r="B203" s="2" t="s">
        <v>44</v>
      </c>
      <c r="C203" s="149">
        <v>345.0</v>
      </c>
    </row>
    <row r="204">
      <c r="A204" s="2" t="s">
        <v>27</v>
      </c>
      <c r="B204" s="2" t="s">
        <v>2036</v>
      </c>
      <c r="C204" s="149">
        <v>625.0</v>
      </c>
    </row>
    <row r="205">
      <c r="A205" s="2" t="s">
        <v>27</v>
      </c>
      <c r="B205" s="2" t="s">
        <v>2037</v>
      </c>
      <c r="C205" s="149">
        <v>545.0</v>
      </c>
    </row>
    <row r="206">
      <c r="A206" s="2" t="s">
        <v>35</v>
      </c>
      <c r="B206" s="2" t="s">
        <v>18</v>
      </c>
      <c r="C206" s="149">
        <v>335.0</v>
      </c>
    </row>
    <row r="207">
      <c r="A207" s="2" t="s">
        <v>35</v>
      </c>
      <c r="B207" s="2" t="s">
        <v>49</v>
      </c>
      <c r="C207" s="149">
        <v>819.0</v>
      </c>
    </row>
    <row r="208">
      <c r="A208" s="2" t="s">
        <v>35</v>
      </c>
      <c r="B208" s="2" t="s">
        <v>22</v>
      </c>
      <c r="C208" s="149">
        <v>612.0</v>
      </c>
    </row>
    <row r="209">
      <c r="A209" s="2" t="s">
        <v>35</v>
      </c>
      <c r="B209" s="2" t="s">
        <v>27</v>
      </c>
      <c r="C209" s="149">
        <v>609.0</v>
      </c>
    </row>
    <row r="210">
      <c r="A210" s="2" t="s">
        <v>35</v>
      </c>
      <c r="B210" s="2" t="s">
        <v>35</v>
      </c>
      <c r="C210" s="149">
        <v>0.0</v>
      </c>
    </row>
    <row r="211">
      <c r="A211" s="2" t="s">
        <v>35</v>
      </c>
      <c r="B211" s="2" t="s">
        <v>41</v>
      </c>
      <c r="C211" s="149">
        <v>73.0</v>
      </c>
    </row>
    <row r="212">
      <c r="A212" s="2" t="s">
        <v>35</v>
      </c>
      <c r="B212" s="2" t="s">
        <v>57</v>
      </c>
      <c r="C212" s="149">
        <v>802.0</v>
      </c>
    </row>
    <row r="213">
      <c r="A213" s="2" t="s">
        <v>35</v>
      </c>
      <c r="B213" s="2" t="s">
        <v>37</v>
      </c>
      <c r="C213" s="149">
        <v>583.0</v>
      </c>
    </row>
    <row r="214">
      <c r="A214" s="2" t="s">
        <v>35</v>
      </c>
      <c r="B214" s="2" t="s">
        <v>39</v>
      </c>
      <c r="C214" s="149">
        <v>566.0</v>
      </c>
    </row>
    <row r="215">
      <c r="A215" s="2" t="s">
        <v>35</v>
      </c>
      <c r="B215" s="2" t="s">
        <v>64</v>
      </c>
      <c r="C215" s="149">
        <v>152.0</v>
      </c>
    </row>
    <row r="216">
      <c r="A216" s="2" t="s">
        <v>35</v>
      </c>
      <c r="B216" s="2" t="s">
        <v>65</v>
      </c>
      <c r="C216" s="149">
        <v>208.0</v>
      </c>
    </row>
    <row r="217">
      <c r="A217" s="2" t="s">
        <v>35</v>
      </c>
      <c r="B217" s="2" t="s">
        <v>36</v>
      </c>
      <c r="C217" s="149">
        <v>4.2</v>
      </c>
    </row>
    <row r="218">
      <c r="A218" s="2" t="s">
        <v>35</v>
      </c>
      <c r="B218" s="2" t="s">
        <v>31</v>
      </c>
      <c r="C218" s="149">
        <v>669.0</v>
      </c>
    </row>
    <row r="219">
      <c r="A219" s="2" t="s">
        <v>35</v>
      </c>
      <c r="B219" s="2" t="s">
        <v>43</v>
      </c>
      <c r="C219" s="149">
        <v>198.0</v>
      </c>
    </row>
    <row r="220">
      <c r="A220" s="2" t="s">
        <v>35</v>
      </c>
      <c r="B220" s="2" t="s">
        <v>40</v>
      </c>
      <c r="C220" s="149">
        <v>499.0</v>
      </c>
    </row>
    <row r="221">
      <c r="A221" s="2" t="s">
        <v>35</v>
      </c>
      <c r="B221" s="2" t="s">
        <v>50</v>
      </c>
      <c r="C221" s="149">
        <v>858.0</v>
      </c>
    </row>
    <row r="222">
      <c r="A222" s="2" t="s">
        <v>35</v>
      </c>
      <c r="B222" s="2" t="s">
        <v>51</v>
      </c>
      <c r="C222" s="149">
        <v>633.0</v>
      </c>
    </row>
    <row r="223">
      <c r="A223" s="2" t="s">
        <v>35</v>
      </c>
      <c r="B223" s="2" t="s">
        <v>23</v>
      </c>
      <c r="C223" s="149">
        <v>637.0</v>
      </c>
    </row>
    <row r="224">
      <c r="A224" s="2" t="s">
        <v>35</v>
      </c>
      <c r="B224" s="2" t="s">
        <v>47</v>
      </c>
      <c r="C224" s="149">
        <v>321.0</v>
      </c>
    </row>
    <row r="225">
      <c r="A225" s="2" t="s">
        <v>35</v>
      </c>
      <c r="B225" s="2" t="s">
        <v>62</v>
      </c>
      <c r="C225" s="149">
        <v>324.0</v>
      </c>
    </row>
    <row r="226">
      <c r="A226" s="2" t="s">
        <v>35</v>
      </c>
      <c r="B226" s="2" t="s">
        <v>30</v>
      </c>
      <c r="C226" s="149">
        <v>555.0</v>
      </c>
    </row>
    <row r="227">
      <c r="A227" s="2" t="s">
        <v>35</v>
      </c>
      <c r="B227" s="2" t="s">
        <v>32</v>
      </c>
      <c r="C227" s="149">
        <v>584.0</v>
      </c>
    </row>
    <row r="228">
      <c r="A228" s="2" t="s">
        <v>35</v>
      </c>
      <c r="B228" s="2" t="s">
        <v>46</v>
      </c>
      <c r="C228" s="149">
        <v>234.0</v>
      </c>
    </row>
    <row r="229">
      <c r="A229" s="2" t="s">
        <v>35</v>
      </c>
      <c r="B229" s="2" t="s">
        <v>54</v>
      </c>
      <c r="C229" s="149">
        <v>703.0</v>
      </c>
    </row>
    <row r="230">
      <c r="A230" s="2" t="s">
        <v>35</v>
      </c>
      <c r="B230" s="2" t="s">
        <v>34</v>
      </c>
      <c r="C230" s="149">
        <v>419.0</v>
      </c>
    </row>
    <row r="231">
      <c r="A231" s="2" t="s">
        <v>35</v>
      </c>
      <c r="B231" s="2" t="s">
        <v>20</v>
      </c>
      <c r="C231" s="149">
        <v>635.0</v>
      </c>
    </row>
    <row r="232">
      <c r="A232" s="2" t="s">
        <v>35</v>
      </c>
      <c r="B232" s="2" t="s">
        <v>24</v>
      </c>
      <c r="C232" s="149">
        <v>690.0</v>
      </c>
    </row>
    <row r="233">
      <c r="A233" s="2" t="s">
        <v>35</v>
      </c>
      <c r="B233" s="2" t="s">
        <v>63</v>
      </c>
      <c r="C233" s="149">
        <v>408.0</v>
      </c>
    </row>
    <row r="234">
      <c r="A234" s="2" t="s">
        <v>35</v>
      </c>
      <c r="B234" s="2" t="s">
        <v>58</v>
      </c>
      <c r="C234" s="149">
        <v>817.0</v>
      </c>
    </row>
    <row r="235">
      <c r="A235" s="2" t="s">
        <v>35</v>
      </c>
      <c r="B235" s="2" t="s">
        <v>42</v>
      </c>
      <c r="C235" s="149">
        <v>115.0</v>
      </c>
    </row>
    <row r="236">
      <c r="A236" s="2" t="s">
        <v>35</v>
      </c>
      <c r="B236" s="2" t="s">
        <v>21</v>
      </c>
      <c r="C236" s="149">
        <v>630.0</v>
      </c>
    </row>
    <row r="237">
      <c r="A237" s="2" t="s">
        <v>35</v>
      </c>
      <c r="B237" s="2" t="s">
        <v>33</v>
      </c>
      <c r="C237" s="149">
        <v>634.0</v>
      </c>
    </row>
    <row r="238">
      <c r="A238" s="2" t="s">
        <v>35</v>
      </c>
      <c r="B238" s="2" t="s">
        <v>66</v>
      </c>
      <c r="C238" s="149">
        <v>135.0</v>
      </c>
    </row>
    <row r="239">
      <c r="A239" s="2" t="s">
        <v>35</v>
      </c>
      <c r="B239" s="2" t="s">
        <v>29</v>
      </c>
      <c r="C239" s="149">
        <v>813.0</v>
      </c>
    </row>
    <row r="240">
      <c r="A240" s="2" t="s">
        <v>35</v>
      </c>
      <c r="B240" s="2" t="s">
        <v>60</v>
      </c>
      <c r="C240" s="149">
        <v>480.0</v>
      </c>
    </row>
    <row r="241">
      <c r="A241" s="2" t="s">
        <v>35</v>
      </c>
      <c r="B241" s="2" t="s">
        <v>38</v>
      </c>
      <c r="C241" s="149">
        <v>670.0</v>
      </c>
    </row>
    <row r="242">
      <c r="A242" s="2" t="s">
        <v>35</v>
      </c>
      <c r="B242" s="2" t="s">
        <v>61</v>
      </c>
      <c r="C242" s="149">
        <v>348.0</v>
      </c>
    </row>
    <row r="243">
      <c r="A243" s="2" t="s">
        <v>35</v>
      </c>
      <c r="B243" s="2" t="s">
        <v>52</v>
      </c>
      <c r="C243" s="149">
        <v>660.0</v>
      </c>
    </row>
    <row r="244">
      <c r="A244" s="2" t="s">
        <v>35</v>
      </c>
      <c r="B244" s="2" t="s">
        <v>25</v>
      </c>
      <c r="C244" s="149">
        <v>741.0</v>
      </c>
    </row>
    <row r="245">
      <c r="A245" s="2" t="s">
        <v>35</v>
      </c>
      <c r="B245" s="2" t="s">
        <v>67</v>
      </c>
      <c r="C245" s="149">
        <v>760.0</v>
      </c>
    </row>
    <row r="246">
      <c r="A246" s="2" t="s">
        <v>35</v>
      </c>
      <c r="B246" s="2" t="s">
        <v>45</v>
      </c>
      <c r="C246" s="149">
        <v>234.0</v>
      </c>
    </row>
    <row r="247">
      <c r="A247" s="2" t="s">
        <v>35</v>
      </c>
      <c r="B247" s="2" t="s">
        <v>53</v>
      </c>
      <c r="C247" s="149">
        <v>782.0</v>
      </c>
    </row>
    <row r="248">
      <c r="A248" s="2" t="s">
        <v>35</v>
      </c>
      <c r="B248" s="2" t="s">
        <v>26</v>
      </c>
      <c r="C248" s="149">
        <v>774.0</v>
      </c>
    </row>
    <row r="249">
      <c r="A249" s="2" t="s">
        <v>35</v>
      </c>
      <c r="B249" s="2" t="s">
        <v>28</v>
      </c>
      <c r="C249" s="149">
        <v>623.0</v>
      </c>
    </row>
    <row r="250">
      <c r="A250" s="2" t="s">
        <v>35</v>
      </c>
      <c r="B250" s="2" t="s">
        <v>55</v>
      </c>
      <c r="C250" s="149">
        <v>834.0</v>
      </c>
    </row>
    <row r="251">
      <c r="A251" s="2" t="s">
        <v>35</v>
      </c>
      <c r="B251" s="2" t="s">
        <v>48</v>
      </c>
      <c r="C251" s="149">
        <v>335.0</v>
      </c>
    </row>
    <row r="252">
      <c r="A252" s="2" t="s">
        <v>35</v>
      </c>
      <c r="B252" s="2" t="s">
        <v>2035</v>
      </c>
      <c r="C252" s="149">
        <v>891.0</v>
      </c>
    </row>
    <row r="253">
      <c r="A253" s="2" t="s">
        <v>35</v>
      </c>
      <c r="B253" s="2" t="s">
        <v>59</v>
      </c>
      <c r="C253" s="149">
        <v>771.0</v>
      </c>
    </row>
    <row r="254">
      <c r="A254" s="2" t="s">
        <v>35</v>
      </c>
      <c r="B254" s="2" t="s">
        <v>44</v>
      </c>
      <c r="C254" s="149">
        <v>278.0</v>
      </c>
    </row>
    <row r="255">
      <c r="A255" s="2" t="s">
        <v>35</v>
      </c>
      <c r="B255" s="2" t="s">
        <v>2036</v>
      </c>
      <c r="C255" s="149">
        <v>859.0</v>
      </c>
    </row>
    <row r="256">
      <c r="A256" s="2" t="s">
        <v>35</v>
      </c>
      <c r="B256" s="2" t="s">
        <v>2037</v>
      </c>
      <c r="C256" s="149">
        <v>802.0</v>
      </c>
    </row>
    <row r="257">
      <c r="A257" s="2" t="s">
        <v>41</v>
      </c>
      <c r="B257" s="2" t="s">
        <v>18</v>
      </c>
      <c r="C257" s="149">
        <v>234.0</v>
      </c>
    </row>
    <row r="258">
      <c r="A258" s="2" t="s">
        <v>41</v>
      </c>
      <c r="B258" s="2" t="s">
        <v>49</v>
      </c>
      <c r="C258" s="149">
        <v>769.0</v>
      </c>
    </row>
    <row r="259">
      <c r="A259" s="2" t="s">
        <v>41</v>
      </c>
      <c r="B259" s="2" t="s">
        <v>22</v>
      </c>
      <c r="C259" s="149">
        <v>562.0</v>
      </c>
    </row>
    <row r="260">
      <c r="A260" s="2" t="s">
        <v>41</v>
      </c>
      <c r="B260" s="2" t="s">
        <v>27</v>
      </c>
      <c r="C260" s="149">
        <v>559.0</v>
      </c>
    </row>
    <row r="261">
      <c r="A261" s="2" t="s">
        <v>41</v>
      </c>
      <c r="B261" s="2" t="s">
        <v>35</v>
      </c>
      <c r="C261" s="149">
        <v>73.0</v>
      </c>
    </row>
    <row r="262">
      <c r="A262" s="2" t="s">
        <v>41</v>
      </c>
      <c r="B262" s="2" t="s">
        <v>41</v>
      </c>
      <c r="C262" s="149">
        <v>0.0</v>
      </c>
    </row>
    <row r="263">
      <c r="A263" s="2" t="s">
        <v>41</v>
      </c>
      <c r="B263" s="2" t="s">
        <v>57</v>
      </c>
      <c r="C263" s="149">
        <v>752.0</v>
      </c>
    </row>
    <row r="264">
      <c r="A264" s="2" t="s">
        <v>41</v>
      </c>
      <c r="B264" s="2" t="s">
        <v>37</v>
      </c>
      <c r="C264" s="149">
        <v>533.0</v>
      </c>
    </row>
    <row r="265">
      <c r="A265" s="2" t="s">
        <v>41</v>
      </c>
      <c r="B265" s="2" t="s">
        <v>39</v>
      </c>
      <c r="C265" s="149">
        <v>516.0</v>
      </c>
    </row>
    <row r="266">
      <c r="A266" s="2" t="s">
        <v>41</v>
      </c>
      <c r="B266" s="2" t="s">
        <v>64</v>
      </c>
      <c r="C266" s="149">
        <v>99.2</v>
      </c>
    </row>
    <row r="267">
      <c r="A267" s="2" t="s">
        <v>41</v>
      </c>
      <c r="B267" s="2" t="s">
        <v>65</v>
      </c>
      <c r="C267" s="149">
        <v>158.0</v>
      </c>
    </row>
    <row r="268">
      <c r="A268" s="2" t="s">
        <v>41</v>
      </c>
      <c r="B268" s="2" t="s">
        <v>36</v>
      </c>
      <c r="C268" s="149">
        <v>69.7</v>
      </c>
    </row>
    <row r="269">
      <c r="A269" s="2" t="s">
        <v>41</v>
      </c>
      <c r="B269" s="2" t="s">
        <v>31</v>
      </c>
      <c r="C269" s="149">
        <v>619.0</v>
      </c>
    </row>
    <row r="270">
      <c r="A270" s="2" t="s">
        <v>41</v>
      </c>
      <c r="B270" s="2" t="s">
        <v>43</v>
      </c>
      <c r="C270" s="149">
        <v>119.0</v>
      </c>
    </row>
    <row r="271">
      <c r="A271" s="2" t="s">
        <v>41</v>
      </c>
      <c r="B271" s="2" t="s">
        <v>40</v>
      </c>
      <c r="C271" s="149">
        <v>449.0</v>
      </c>
    </row>
    <row r="272">
      <c r="A272" s="2" t="s">
        <v>41</v>
      </c>
      <c r="B272" s="2" t="s">
        <v>50</v>
      </c>
      <c r="C272" s="149">
        <v>808.0</v>
      </c>
    </row>
    <row r="273">
      <c r="A273" s="2" t="s">
        <v>41</v>
      </c>
      <c r="B273" s="2" t="s">
        <v>51</v>
      </c>
      <c r="C273" s="149">
        <v>583.0</v>
      </c>
    </row>
    <row r="274">
      <c r="A274" s="2" t="s">
        <v>41</v>
      </c>
      <c r="B274" s="2" t="s">
        <v>23</v>
      </c>
      <c r="C274" s="149">
        <v>587.0</v>
      </c>
    </row>
    <row r="275">
      <c r="A275" s="2" t="s">
        <v>41</v>
      </c>
      <c r="B275" s="2" t="s">
        <v>47</v>
      </c>
      <c r="C275" s="149">
        <v>271.0</v>
      </c>
    </row>
    <row r="276">
      <c r="A276" s="2" t="s">
        <v>41</v>
      </c>
      <c r="B276" s="2" t="s">
        <v>62</v>
      </c>
      <c r="C276" s="149">
        <v>274.0</v>
      </c>
    </row>
    <row r="277">
      <c r="A277" s="2" t="s">
        <v>41</v>
      </c>
      <c r="B277" s="2" t="s">
        <v>30</v>
      </c>
      <c r="C277" s="149">
        <v>505.0</v>
      </c>
    </row>
    <row r="278">
      <c r="A278" s="2" t="s">
        <v>41</v>
      </c>
      <c r="B278" s="2" t="s">
        <v>32</v>
      </c>
      <c r="C278" s="149">
        <v>534.0</v>
      </c>
    </row>
    <row r="279">
      <c r="A279" s="2" t="s">
        <v>41</v>
      </c>
      <c r="B279" s="2" t="s">
        <v>46</v>
      </c>
      <c r="C279" s="149">
        <v>184.0</v>
      </c>
    </row>
    <row r="280">
      <c r="A280" s="2" t="s">
        <v>41</v>
      </c>
      <c r="B280" s="2" t="s">
        <v>54</v>
      </c>
      <c r="C280" s="149">
        <v>653.0</v>
      </c>
    </row>
    <row r="281">
      <c r="A281" s="2" t="s">
        <v>41</v>
      </c>
      <c r="B281" s="2" t="s">
        <v>34</v>
      </c>
      <c r="C281" s="149">
        <v>369.0</v>
      </c>
    </row>
    <row r="282">
      <c r="A282" s="2" t="s">
        <v>41</v>
      </c>
      <c r="B282" s="2" t="s">
        <v>20</v>
      </c>
      <c r="C282" s="149">
        <v>585.0</v>
      </c>
    </row>
    <row r="283">
      <c r="A283" s="2" t="s">
        <v>41</v>
      </c>
      <c r="B283" s="2" t="s">
        <v>24</v>
      </c>
      <c r="C283" s="149">
        <v>640.0</v>
      </c>
    </row>
    <row r="284">
      <c r="A284" s="2" t="s">
        <v>41</v>
      </c>
      <c r="B284" s="2" t="s">
        <v>63</v>
      </c>
      <c r="C284" s="149">
        <v>358.0</v>
      </c>
    </row>
    <row r="285">
      <c r="A285" s="2" t="s">
        <v>41</v>
      </c>
      <c r="B285" s="2" t="s">
        <v>58</v>
      </c>
      <c r="C285" s="149">
        <v>767.0</v>
      </c>
    </row>
    <row r="286">
      <c r="A286" s="2" t="s">
        <v>41</v>
      </c>
      <c r="B286" s="2" t="s">
        <v>42</v>
      </c>
      <c r="C286" s="149">
        <v>64.7</v>
      </c>
    </row>
    <row r="287">
      <c r="A287" s="2" t="s">
        <v>41</v>
      </c>
      <c r="B287" s="2" t="s">
        <v>21</v>
      </c>
      <c r="C287" s="149">
        <v>580.0</v>
      </c>
    </row>
    <row r="288">
      <c r="A288" s="2" t="s">
        <v>41</v>
      </c>
      <c r="B288" s="2" t="s">
        <v>33</v>
      </c>
      <c r="C288" s="149">
        <v>584.0</v>
      </c>
    </row>
    <row r="289">
      <c r="A289" s="2" t="s">
        <v>41</v>
      </c>
      <c r="B289" s="2" t="s">
        <v>66</v>
      </c>
      <c r="C289" s="149">
        <v>62.0</v>
      </c>
    </row>
    <row r="290">
      <c r="A290" s="2" t="s">
        <v>41</v>
      </c>
      <c r="B290" s="2" t="s">
        <v>29</v>
      </c>
      <c r="C290" s="149">
        <v>763.0</v>
      </c>
    </row>
    <row r="291">
      <c r="A291" s="2" t="s">
        <v>41</v>
      </c>
      <c r="B291" s="2" t="s">
        <v>60</v>
      </c>
      <c r="C291" s="149">
        <v>430.0</v>
      </c>
    </row>
    <row r="292">
      <c r="A292" s="2" t="s">
        <v>41</v>
      </c>
      <c r="B292" s="2" t="s">
        <v>38</v>
      </c>
      <c r="C292" s="149">
        <v>620.0</v>
      </c>
    </row>
    <row r="293">
      <c r="A293" s="2" t="s">
        <v>41</v>
      </c>
      <c r="B293" s="2" t="s">
        <v>61</v>
      </c>
      <c r="C293" s="149">
        <v>298.0</v>
      </c>
    </row>
    <row r="294">
      <c r="A294" s="2" t="s">
        <v>41</v>
      </c>
      <c r="B294" s="2" t="s">
        <v>52</v>
      </c>
      <c r="C294" s="149">
        <v>610.0</v>
      </c>
    </row>
    <row r="295">
      <c r="A295" s="2" t="s">
        <v>41</v>
      </c>
      <c r="B295" s="2" t="s">
        <v>25</v>
      </c>
      <c r="C295" s="149">
        <v>691.0</v>
      </c>
    </row>
    <row r="296">
      <c r="A296" s="2" t="s">
        <v>41</v>
      </c>
      <c r="B296" s="2" t="s">
        <v>67</v>
      </c>
      <c r="C296" s="149">
        <v>710.0</v>
      </c>
    </row>
    <row r="297">
      <c r="A297" s="2" t="s">
        <v>41</v>
      </c>
      <c r="B297" s="2" t="s">
        <v>45</v>
      </c>
      <c r="C297" s="149">
        <v>184.0</v>
      </c>
    </row>
    <row r="298">
      <c r="A298" s="2" t="s">
        <v>41</v>
      </c>
      <c r="B298" s="2" t="s">
        <v>53</v>
      </c>
      <c r="C298" s="149">
        <v>731.0</v>
      </c>
    </row>
    <row r="299">
      <c r="A299" s="2" t="s">
        <v>41</v>
      </c>
      <c r="B299" s="2" t="s">
        <v>26</v>
      </c>
      <c r="C299" s="149">
        <v>724.0</v>
      </c>
    </row>
    <row r="300">
      <c r="A300" s="2" t="s">
        <v>41</v>
      </c>
      <c r="B300" s="2" t="s">
        <v>28</v>
      </c>
      <c r="C300" s="149">
        <v>573.0</v>
      </c>
    </row>
    <row r="301">
      <c r="A301" s="2" t="s">
        <v>41</v>
      </c>
      <c r="B301" s="2" t="s">
        <v>55</v>
      </c>
      <c r="C301" s="149">
        <v>784.0</v>
      </c>
    </row>
    <row r="302">
      <c r="A302" s="2" t="s">
        <v>41</v>
      </c>
      <c r="B302" s="2" t="s">
        <v>48</v>
      </c>
      <c r="C302" s="149">
        <v>285.0</v>
      </c>
    </row>
    <row r="303">
      <c r="A303" s="2" t="s">
        <v>41</v>
      </c>
      <c r="B303" s="2" t="s">
        <v>2035</v>
      </c>
      <c r="C303" s="149">
        <v>841.0</v>
      </c>
    </row>
    <row r="304">
      <c r="A304" s="2" t="s">
        <v>41</v>
      </c>
      <c r="B304" s="2" t="s">
        <v>59</v>
      </c>
      <c r="C304" s="149">
        <v>721.0</v>
      </c>
    </row>
    <row r="305">
      <c r="A305" s="2" t="s">
        <v>41</v>
      </c>
      <c r="B305" s="2" t="s">
        <v>44</v>
      </c>
      <c r="C305" s="149">
        <v>198.0</v>
      </c>
    </row>
    <row r="306">
      <c r="A306" s="2" t="s">
        <v>41</v>
      </c>
      <c r="B306" s="2" t="s">
        <v>2036</v>
      </c>
      <c r="C306" s="149">
        <v>809.0</v>
      </c>
    </row>
    <row r="307">
      <c r="A307" s="2" t="s">
        <v>41</v>
      </c>
      <c r="B307" s="2" t="s">
        <v>2037</v>
      </c>
      <c r="C307" s="149">
        <v>751.0</v>
      </c>
    </row>
    <row r="308">
      <c r="A308" s="2" t="s">
        <v>57</v>
      </c>
      <c r="B308" s="2" t="s">
        <v>18</v>
      </c>
      <c r="C308" s="149">
        <v>504.0</v>
      </c>
    </row>
    <row r="309">
      <c r="A309" s="2" t="s">
        <v>57</v>
      </c>
      <c r="B309" s="2" t="s">
        <v>49</v>
      </c>
      <c r="C309" s="149">
        <v>734.0</v>
      </c>
    </row>
    <row r="310">
      <c r="A310" s="2" t="s">
        <v>57</v>
      </c>
      <c r="B310" s="2" t="s">
        <v>22</v>
      </c>
      <c r="C310" s="149">
        <v>577.0</v>
      </c>
    </row>
    <row r="311">
      <c r="A311" s="2" t="s">
        <v>57</v>
      </c>
      <c r="B311" s="2" t="s">
        <v>27</v>
      </c>
      <c r="C311" s="149">
        <v>229.0</v>
      </c>
    </row>
    <row r="312">
      <c r="A312" s="2" t="s">
        <v>57</v>
      </c>
      <c r="B312" s="2" t="s">
        <v>35</v>
      </c>
      <c r="C312" s="149">
        <v>802.0</v>
      </c>
    </row>
    <row r="313">
      <c r="A313" s="2" t="s">
        <v>57</v>
      </c>
      <c r="B313" s="2" t="s">
        <v>41</v>
      </c>
      <c r="C313" s="149">
        <v>752.0</v>
      </c>
    </row>
    <row r="314">
      <c r="A314" s="2" t="s">
        <v>57</v>
      </c>
      <c r="B314" s="2" t="s">
        <v>57</v>
      </c>
      <c r="C314" s="149">
        <v>0.0</v>
      </c>
    </row>
    <row r="315">
      <c r="A315" s="2" t="s">
        <v>57</v>
      </c>
      <c r="B315" s="2" t="s">
        <v>37</v>
      </c>
      <c r="C315" s="149">
        <v>312.0</v>
      </c>
    </row>
    <row r="316">
      <c r="A316" s="2" t="s">
        <v>57</v>
      </c>
      <c r="B316" s="2" t="s">
        <v>39</v>
      </c>
      <c r="C316" s="149">
        <v>339.0</v>
      </c>
    </row>
    <row r="317">
      <c r="A317" s="2" t="s">
        <v>57</v>
      </c>
      <c r="B317" s="2" t="s">
        <v>64</v>
      </c>
      <c r="C317" s="149">
        <v>660.0</v>
      </c>
    </row>
    <row r="318">
      <c r="A318" s="2" t="s">
        <v>57</v>
      </c>
      <c r="B318" s="2" t="s">
        <v>65</v>
      </c>
      <c r="C318" s="149">
        <v>573.0</v>
      </c>
    </row>
    <row r="319">
      <c r="A319" s="2" t="s">
        <v>57</v>
      </c>
      <c r="B319" s="2" t="s">
        <v>36</v>
      </c>
      <c r="C319" s="149">
        <v>799.0</v>
      </c>
    </row>
    <row r="320">
      <c r="A320" s="2" t="s">
        <v>57</v>
      </c>
      <c r="B320" s="2" t="s">
        <v>31</v>
      </c>
      <c r="C320" s="149">
        <v>112.0</v>
      </c>
    </row>
    <row r="321">
      <c r="A321" s="2" t="s">
        <v>57</v>
      </c>
      <c r="B321" s="2" t="s">
        <v>43</v>
      </c>
      <c r="C321" s="149">
        <v>619.0</v>
      </c>
    </row>
    <row r="322">
      <c r="A322" s="2" t="s">
        <v>57</v>
      </c>
      <c r="B322" s="2" t="s">
        <v>40</v>
      </c>
      <c r="C322" s="149">
        <v>413.0</v>
      </c>
    </row>
    <row r="323">
      <c r="A323" s="2" t="s">
        <v>57</v>
      </c>
      <c r="B323" s="2" t="s">
        <v>50</v>
      </c>
      <c r="C323" s="149">
        <v>847.0</v>
      </c>
    </row>
    <row r="324">
      <c r="A324" s="2" t="s">
        <v>57</v>
      </c>
      <c r="B324" s="2" t="s">
        <v>51</v>
      </c>
      <c r="C324" s="149">
        <v>172.0</v>
      </c>
    </row>
    <row r="325">
      <c r="A325" s="2" t="s">
        <v>57</v>
      </c>
      <c r="B325" s="2" t="s">
        <v>23</v>
      </c>
      <c r="C325" s="149">
        <v>626.0</v>
      </c>
    </row>
    <row r="326">
      <c r="A326" s="2" t="s">
        <v>57</v>
      </c>
      <c r="B326" s="2" t="s">
        <v>47</v>
      </c>
      <c r="C326" s="149">
        <v>456.0</v>
      </c>
    </row>
    <row r="327">
      <c r="A327" s="2" t="s">
        <v>57</v>
      </c>
      <c r="B327" s="2" t="s">
        <v>62</v>
      </c>
      <c r="C327" s="149">
        <v>479.0</v>
      </c>
    </row>
    <row r="328">
      <c r="A328" s="2" t="s">
        <v>57</v>
      </c>
      <c r="B328" s="2" t="s">
        <v>30</v>
      </c>
      <c r="C328" s="149">
        <v>227.0</v>
      </c>
    </row>
    <row r="329">
      <c r="A329" s="2" t="s">
        <v>57</v>
      </c>
      <c r="B329" s="2" t="s">
        <v>32</v>
      </c>
      <c r="C329" s="149">
        <v>177.0</v>
      </c>
    </row>
    <row r="330">
      <c r="A330" s="2" t="s">
        <v>57</v>
      </c>
      <c r="B330" s="2" t="s">
        <v>46</v>
      </c>
      <c r="C330" s="149">
        <v>569.0</v>
      </c>
    </row>
    <row r="331">
      <c r="A331" s="2" t="s">
        <v>57</v>
      </c>
      <c r="B331" s="2" t="s">
        <v>54</v>
      </c>
      <c r="C331" s="149">
        <v>691.0</v>
      </c>
    </row>
    <row r="332">
      <c r="A332" s="2" t="s">
        <v>57</v>
      </c>
      <c r="B332" s="2" t="s">
        <v>34</v>
      </c>
      <c r="C332" s="149">
        <v>538.0</v>
      </c>
    </row>
    <row r="333">
      <c r="A333" s="2" t="s">
        <v>57</v>
      </c>
      <c r="B333" s="2" t="s">
        <v>20</v>
      </c>
      <c r="C333" s="149">
        <v>586.0</v>
      </c>
    </row>
    <row r="334">
      <c r="A334" s="2" t="s">
        <v>57</v>
      </c>
      <c r="B334" s="2" t="s">
        <v>24</v>
      </c>
      <c r="C334" s="149">
        <v>113.0</v>
      </c>
    </row>
    <row r="335">
      <c r="A335" s="2" t="s">
        <v>57</v>
      </c>
      <c r="B335" s="2" t="s">
        <v>63</v>
      </c>
      <c r="C335" s="149">
        <v>359.0</v>
      </c>
    </row>
    <row r="336">
      <c r="A336" s="2" t="s">
        <v>57</v>
      </c>
      <c r="B336" s="2" t="s">
        <v>58</v>
      </c>
      <c r="C336" s="149">
        <v>20.0</v>
      </c>
    </row>
    <row r="337">
      <c r="A337" s="2" t="s">
        <v>57</v>
      </c>
      <c r="B337" s="2" t="s">
        <v>42</v>
      </c>
      <c r="C337" s="149">
        <v>693.0</v>
      </c>
    </row>
    <row r="338">
      <c r="A338" s="2" t="s">
        <v>57</v>
      </c>
      <c r="B338" s="2" t="s">
        <v>21</v>
      </c>
      <c r="C338" s="149">
        <v>612.0</v>
      </c>
    </row>
    <row r="339">
      <c r="A339" s="2" t="s">
        <v>57</v>
      </c>
      <c r="B339" s="2" t="s">
        <v>33</v>
      </c>
      <c r="C339" s="149">
        <v>476.0</v>
      </c>
    </row>
    <row r="340">
      <c r="A340" s="2" t="s">
        <v>57</v>
      </c>
      <c r="B340" s="2" t="s">
        <v>66</v>
      </c>
      <c r="C340" s="149">
        <v>713.0</v>
      </c>
    </row>
    <row r="341">
      <c r="A341" s="2" t="s">
        <v>57</v>
      </c>
      <c r="B341" s="2" t="s">
        <v>29</v>
      </c>
      <c r="C341" s="149">
        <v>526.0</v>
      </c>
    </row>
    <row r="342">
      <c r="A342" s="2" t="s">
        <v>57</v>
      </c>
      <c r="B342" s="2" t="s">
        <v>60</v>
      </c>
      <c r="C342" s="149">
        <v>543.0</v>
      </c>
    </row>
    <row r="343">
      <c r="A343" s="2" t="s">
        <v>57</v>
      </c>
      <c r="B343" s="2" t="s">
        <v>38</v>
      </c>
      <c r="C343" s="149">
        <v>382.0</v>
      </c>
    </row>
    <row r="344">
      <c r="A344" s="2" t="s">
        <v>57</v>
      </c>
      <c r="B344" s="2" t="s">
        <v>61</v>
      </c>
      <c r="C344" s="149">
        <v>467.0</v>
      </c>
    </row>
    <row r="345">
      <c r="A345" s="2" t="s">
        <v>57</v>
      </c>
      <c r="B345" s="2" t="s">
        <v>52</v>
      </c>
      <c r="C345" s="149">
        <v>162.0</v>
      </c>
    </row>
    <row r="346">
      <c r="A346" s="2" t="s">
        <v>57</v>
      </c>
      <c r="B346" s="2" t="s">
        <v>25</v>
      </c>
      <c r="C346" s="149">
        <v>68.8</v>
      </c>
    </row>
    <row r="347">
      <c r="A347" s="2" t="s">
        <v>57</v>
      </c>
      <c r="B347" s="2" t="s">
        <v>67</v>
      </c>
      <c r="C347" s="149">
        <v>225.0</v>
      </c>
    </row>
    <row r="348">
      <c r="A348" s="2" t="s">
        <v>57</v>
      </c>
      <c r="B348" s="2" t="s">
        <v>45</v>
      </c>
      <c r="C348" s="149">
        <v>569.0</v>
      </c>
    </row>
    <row r="349">
      <c r="A349" s="2" t="s">
        <v>57</v>
      </c>
      <c r="B349" s="2" t="s">
        <v>53</v>
      </c>
      <c r="C349" s="149">
        <v>187.0</v>
      </c>
    </row>
    <row r="350">
      <c r="A350" s="2" t="s">
        <v>57</v>
      </c>
      <c r="B350" s="2" t="s">
        <v>26</v>
      </c>
      <c r="C350" s="149">
        <v>36.0</v>
      </c>
    </row>
    <row r="351">
      <c r="A351" s="2" t="s">
        <v>57</v>
      </c>
      <c r="B351" s="2" t="s">
        <v>28</v>
      </c>
      <c r="C351" s="149">
        <v>262.0</v>
      </c>
    </row>
    <row r="352">
      <c r="A352" s="2" t="s">
        <v>57</v>
      </c>
      <c r="B352" s="2" t="s">
        <v>55</v>
      </c>
      <c r="C352" s="149">
        <v>822.0</v>
      </c>
    </row>
    <row r="353">
      <c r="A353" s="2" t="s">
        <v>57</v>
      </c>
      <c r="B353" s="2" t="s">
        <v>48</v>
      </c>
      <c r="C353" s="149">
        <v>434.0</v>
      </c>
    </row>
    <row r="354">
      <c r="A354" s="2" t="s">
        <v>57</v>
      </c>
      <c r="B354" s="2" t="s">
        <v>2035</v>
      </c>
      <c r="C354" s="149">
        <v>880.0</v>
      </c>
    </row>
    <row r="355">
      <c r="A355" s="2" t="s">
        <v>57</v>
      </c>
      <c r="B355" s="2" t="s">
        <v>59</v>
      </c>
      <c r="C355" s="149">
        <v>39.5</v>
      </c>
    </row>
    <row r="356">
      <c r="A356" s="2" t="s">
        <v>57</v>
      </c>
      <c r="B356" s="2" t="s">
        <v>44</v>
      </c>
      <c r="C356" s="149">
        <v>539.0</v>
      </c>
    </row>
    <row r="357">
      <c r="A357" s="2" t="s">
        <v>57</v>
      </c>
      <c r="B357" s="2" t="s">
        <v>2036</v>
      </c>
      <c r="C357" s="149">
        <v>906.0</v>
      </c>
    </row>
    <row r="358">
      <c r="A358" s="2" t="s">
        <v>57</v>
      </c>
      <c r="B358" s="2" t="s">
        <v>2037</v>
      </c>
      <c r="C358" s="149">
        <v>768.0</v>
      </c>
    </row>
    <row r="359">
      <c r="A359" s="2" t="s">
        <v>37</v>
      </c>
      <c r="B359" s="2" t="s">
        <v>18</v>
      </c>
      <c r="C359" s="149">
        <v>285.0</v>
      </c>
    </row>
    <row r="360">
      <c r="A360" s="2" t="s">
        <v>37</v>
      </c>
      <c r="B360" s="2" t="s">
        <v>49</v>
      </c>
      <c r="C360" s="149">
        <v>438.0</v>
      </c>
    </row>
    <row r="361">
      <c r="A361" s="2" t="s">
        <v>37</v>
      </c>
      <c r="B361" s="2" t="s">
        <v>22</v>
      </c>
      <c r="C361" s="149">
        <v>280.0</v>
      </c>
    </row>
    <row r="362">
      <c r="A362" s="2" t="s">
        <v>37</v>
      </c>
      <c r="B362" s="2" t="s">
        <v>27</v>
      </c>
      <c r="C362" s="149">
        <v>89.2</v>
      </c>
    </row>
    <row r="363">
      <c r="A363" s="2" t="s">
        <v>37</v>
      </c>
      <c r="B363" s="2" t="s">
        <v>35</v>
      </c>
      <c r="C363" s="149">
        <v>583.0</v>
      </c>
    </row>
    <row r="364">
      <c r="A364" s="2" t="s">
        <v>37</v>
      </c>
      <c r="B364" s="2" t="s">
        <v>41</v>
      </c>
      <c r="C364" s="149">
        <v>533.0</v>
      </c>
    </row>
    <row r="365">
      <c r="A365" s="2" t="s">
        <v>37</v>
      </c>
      <c r="B365" s="2" t="s">
        <v>57</v>
      </c>
      <c r="C365" s="149">
        <v>312.0</v>
      </c>
    </row>
    <row r="366">
      <c r="A366" s="2" t="s">
        <v>37</v>
      </c>
      <c r="B366" s="2" t="s">
        <v>37</v>
      </c>
      <c r="C366" s="149">
        <v>0.0</v>
      </c>
    </row>
    <row r="367">
      <c r="A367" s="2" t="s">
        <v>37</v>
      </c>
      <c r="B367" s="2" t="s">
        <v>39</v>
      </c>
      <c r="C367" s="149">
        <v>42.3</v>
      </c>
    </row>
    <row r="368">
      <c r="A368" s="2" t="s">
        <v>37</v>
      </c>
      <c r="B368" s="2" t="s">
        <v>64</v>
      </c>
      <c r="C368" s="149">
        <v>441.0</v>
      </c>
    </row>
    <row r="369">
      <c r="A369" s="2" t="s">
        <v>37</v>
      </c>
      <c r="B369" s="2" t="s">
        <v>65</v>
      </c>
      <c r="C369" s="149">
        <v>353.0</v>
      </c>
    </row>
    <row r="370">
      <c r="A370" s="2" t="s">
        <v>37</v>
      </c>
      <c r="B370" s="2" t="s">
        <v>36</v>
      </c>
      <c r="C370" s="149">
        <v>579.0</v>
      </c>
    </row>
    <row r="371">
      <c r="A371" s="2" t="s">
        <v>37</v>
      </c>
      <c r="B371" s="2" t="s">
        <v>31</v>
      </c>
      <c r="C371" s="149">
        <v>264.0</v>
      </c>
    </row>
    <row r="372">
      <c r="A372" s="2" t="s">
        <v>37</v>
      </c>
      <c r="B372" s="2" t="s">
        <v>43</v>
      </c>
      <c r="C372" s="149">
        <v>400.0</v>
      </c>
    </row>
    <row r="373">
      <c r="A373" s="2" t="s">
        <v>37</v>
      </c>
      <c r="B373" s="2" t="s">
        <v>40</v>
      </c>
      <c r="C373" s="149">
        <v>121.0</v>
      </c>
    </row>
    <row r="374">
      <c r="A374" s="2" t="s">
        <v>37</v>
      </c>
      <c r="B374" s="2" t="s">
        <v>50</v>
      </c>
      <c r="C374" s="149">
        <v>550.0</v>
      </c>
    </row>
    <row r="375">
      <c r="A375" s="2" t="s">
        <v>37</v>
      </c>
      <c r="B375" s="2" t="s">
        <v>51</v>
      </c>
      <c r="C375" s="149">
        <v>143.0</v>
      </c>
    </row>
    <row r="376">
      <c r="A376" s="2" t="s">
        <v>37</v>
      </c>
      <c r="B376" s="2" t="s">
        <v>23</v>
      </c>
      <c r="C376" s="149">
        <v>330.0</v>
      </c>
    </row>
    <row r="377">
      <c r="A377" s="2" t="s">
        <v>37</v>
      </c>
      <c r="B377" s="2" t="s">
        <v>47</v>
      </c>
      <c r="C377" s="149">
        <v>319.0</v>
      </c>
    </row>
    <row r="378">
      <c r="A378" s="2" t="s">
        <v>37</v>
      </c>
      <c r="B378" s="2" t="s">
        <v>62</v>
      </c>
      <c r="C378" s="149">
        <v>259.0</v>
      </c>
    </row>
    <row r="379">
      <c r="A379" s="2" t="s">
        <v>37</v>
      </c>
      <c r="B379" s="2" t="s">
        <v>30</v>
      </c>
      <c r="C379" s="149">
        <v>343.0</v>
      </c>
    </row>
    <row r="380">
      <c r="A380" s="2" t="s">
        <v>37</v>
      </c>
      <c r="B380" s="2" t="s">
        <v>32</v>
      </c>
      <c r="C380" s="149">
        <v>207.0</v>
      </c>
    </row>
    <row r="381">
      <c r="A381" s="2" t="s">
        <v>37</v>
      </c>
      <c r="B381" s="2" t="s">
        <v>46</v>
      </c>
      <c r="C381" s="149">
        <v>350.0</v>
      </c>
    </row>
    <row r="382">
      <c r="A382" s="2" t="s">
        <v>37</v>
      </c>
      <c r="B382" s="2" t="s">
        <v>54</v>
      </c>
      <c r="C382" s="149">
        <v>395.0</v>
      </c>
    </row>
    <row r="383">
      <c r="A383" s="2" t="s">
        <v>37</v>
      </c>
      <c r="B383" s="2" t="s">
        <v>34</v>
      </c>
      <c r="C383" s="149">
        <v>319.0</v>
      </c>
    </row>
    <row r="384">
      <c r="A384" s="2" t="s">
        <v>37</v>
      </c>
      <c r="B384" s="2" t="s">
        <v>20</v>
      </c>
      <c r="C384" s="149">
        <v>290.0</v>
      </c>
    </row>
    <row r="385">
      <c r="A385" s="2" t="s">
        <v>37</v>
      </c>
      <c r="B385" s="2" t="s">
        <v>24</v>
      </c>
      <c r="C385" s="149">
        <v>200.0</v>
      </c>
    </row>
    <row r="386">
      <c r="A386" s="2" t="s">
        <v>37</v>
      </c>
      <c r="B386" s="2" t="s">
        <v>63</v>
      </c>
      <c r="C386" s="149">
        <v>209.0</v>
      </c>
    </row>
    <row r="387">
      <c r="A387" s="2" t="s">
        <v>37</v>
      </c>
      <c r="B387" s="2" t="s">
        <v>58</v>
      </c>
      <c r="C387" s="149">
        <v>328.0</v>
      </c>
    </row>
    <row r="388">
      <c r="A388" s="2" t="s">
        <v>37</v>
      </c>
      <c r="B388" s="2" t="s">
        <v>42</v>
      </c>
      <c r="C388" s="149">
        <v>473.0</v>
      </c>
    </row>
    <row r="389">
      <c r="A389" s="2" t="s">
        <v>37</v>
      </c>
      <c r="B389" s="2" t="s">
        <v>21</v>
      </c>
      <c r="C389" s="149">
        <v>315.0</v>
      </c>
    </row>
    <row r="390">
      <c r="A390" s="2" t="s">
        <v>37</v>
      </c>
      <c r="B390" s="2" t="s">
        <v>33</v>
      </c>
      <c r="C390" s="149">
        <v>180.0</v>
      </c>
    </row>
    <row r="391">
      <c r="A391" s="2" t="s">
        <v>37</v>
      </c>
      <c r="B391" s="2" t="s">
        <v>66</v>
      </c>
      <c r="C391" s="149">
        <v>494.0</v>
      </c>
    </row>
    <row r="392">
      <c r="A392" s="2" t="s">
        <v>37</v>
      </c>
      <c r="B392" s="2" t="s">
        <v>29</v>
      </c>
      <c r="C392" s="149">
        <v>220.0</v>
      </c>
    </row>
    <row r="393">
      <c r="A393" s="2" t="s">
        <v>37</v>
      </c>
      <c r="B393" s="2" t="s">
        <v>60</v>
      </c>
      <c r="C393" s="149">
        <v>251.0</v>
      </c>
    </row>
    <row r="394">
      <c r="A394" s="2" t="s">
        <v>37</v>
      </c>
      <c r="B394" s="2" t="s">
        <v>38</v>
      </c>
      <c r="C394" s="149">
        <v>76.4</v>
      </c>
    </row>
    <row r="395">
      <c r="A395" s="2" t="s">
        <v>37</v>
      </c>
      <c r="B395" s="2" t="s">
        <v>61</v>
      </c>
      <c r="C395" s="149">
        <v>248.0</v>
      </c>
    </row>
    <row r="396">
      <c r="A396" s="2" t="s">
        <v>37</v>
      </c>
      <c r="B396" s="2" t="s">
        <v>52</v>
      </c>
      <c r="C396" s="149">
        <v>171.0</v>
      </c>
    </row>
    <row r="397">
      <c r="A397" s="2" t="s">
        <v>37</v>
      </c>
      <c r="B397" s="2" t="s">
        <v>25</v>
      </c>
      <c r="C397" s="149">
        <v>251.0</v>
      </c>
    </row>
    <row r="398">
      <c r="A398" s="2" t="s">
        <v>37</v>
      </c>
      <c r="B398" s="2" t="s">
        <v>67</v>
      </c>
      <c r="C398" s="149">
        <v>202.0</v>
      </c>
    </row>
    <row r="399">
      <c r="A399" s="2" t="s">
        <v>37</v>
      </c>
      <c r="B399" s="2" t="s">
        <v>45</v>
      </c>
      <c r="C399" s="149">
        <v>350.0</v>
      </c>
    </row>
    <row r="400">
      <c r="A400" s="2" t="s">
        <v>37</v>
      </c>
      <c r="B400" s="2" t="s">
        <v>53</v>
      </c>
      <c r="C400" s="149">
        <v>399.0</v>
      </c>
    </row>
    <row r="401">
      <c r="A401" s="2" t="s">
        <v>37</v>
      </c>
      <c r="B401" s="2" t="s">
        <v>26</v>
      </c>
      <c r="C401" s="149">
        <v>284.0</v>
      </c>
    </row>
    <row r="402">
      <c r="A402" s="2" t="s">
        <v>37</v>
      </c>
      <c r="B402" s="2" t="s">
        <v>28</v>
      </c>
      <c r="C402" s="149">
        <v>56.3</v>
      </c>
    </row>
    <row r="403">
      <c r="A403" s="2" t="s">
        <v>37</v>
      </c>
      <c r="B403" s="2" t="s">
        <v>55</v>
      </c>
      <c r="C403" s="149">
        <v>526.0</v>
      </c>
    </row>
    <row r="404">
      <c r="A404" s="2" t="s">
        <v>37</v>
      </c>
      <c r="B404" s="2" t="s">
        <v>48</v>
      </c>
      <c r="C404" s="149">
        <v>280.0</v>
      </c>
    </row>
    <row r="405">
      <c r="A405" s="2" t="s">
        <v>37</v>
      </c>
      <c r="B405" s="2" t="s">
        <v>2035</v>
      </c>
      <c r="C405" s="149">
        <v>584.0</v>
      </c>
    </row>
    <row r="406">
      <c r="A406" s="2" t="s">
        <v>37</v>
      </c>
      <c r="B406" s="2" t="s">
        <v>59</v>
      </c>
      <c r="C406" s="149">
        <v>278.0</v>
      </c>
    </row>
    <row r="407">
      <c r="A407" s="2" t="s">
        <v>37</v>
      </c>
      <c r="B407" s="2" t="s">
        <v>44</v>
      </c>
      <c r="C407" s="149">
        <v>320.0</v>
      </c>
    </row>
    <row r="408">
      <c r="A408" s="2" t="s">
        <v>37</v>
      </c>
      <c r="B408" s="2" t="s">
        <v>2036</v>
      </c>
      <c r="C408" s="149">
        <v>551.0</v>
      </c>
    </row>
    <row r="409">
      <c r="A409" s="2" t="s">
        <v>37</v>
      </c>
      <c r="B409" s="2" t="s">
        <v>2037</v>
      </c>
      <c r="C409" s="149">
        <v>472.0</v>
      </c>
    </row>
    <row r="410">
      <c r="A410" s="2" t="s">
        <v>39</v>
      </c>
      <c r="B410" s="2" t="s">
        <v>18</v>
      </c>
      <c r="C410" s="149">
        <v>268.0</v>
      </c>
    </row>
    <row r="411">
      <c r="A411" s="2" t="s">
        <v>39</v>
      </c>
      <c r="B411" s="2" t="s">
        <v>49</v>
      </c>
      <c r="C411" s="149">
        <v>395.0</v>
      </c>
    </row>
    <row r="412">
      <c r="A412" s="2" t="s">
        <v>39</v>
      </c>
      <c r="B412" s="2" t="s">
        <v>22</v>
      </c>
      <c r="C412" s="149">
        <v>238.0</v>
      </c>
    </row>
    <row r="413">
      <c r="A413" s="2" t="s">
        <v>39</v>
      </c>
      <c r="B413" s="2" t="s">
        <v>27</v>
      </c>
      <c r="C413" s="149">
        <v>116.0</v>
      </c>
    </row>
    <row r="414">
      <c r="A414" s="2" t="s">
        <v>39</v>
      </c>
      <c r="B414" s="2" t="s">
        <v>35</v>
      </c>
      <c r="C414" s="149">
        <v>566.0</v>
      </c>
    </row>
    <row r="415">
      <c r="A415" s="2" t="s">
        <v>39</v>
      </c>
      <c r="B415" s="2" t="s">
        <v>41</v>
      </c>
      <c r="C415" s="149">
        <v>516.0</v>
      </c>
    </row>
    <row r="416">
      <c r="A416" s="2" t="s">
        <v>39</v>
      </c>
      <c r="B416" s="2" t="s">
        <v>57</v>
      </c>
      <c r="C416" s="149">
        <v>339.0</v>
      </c>
    </row>
    <row r="417">
      <c r="A417" s="2" t="s">
        <v>39</v>
      </c>
      <c r="B417" s="2" t="s">
        <v>37</v>
      </c>
      <c r="C417" s="149">
        <v>42.3</v>
      </c>
    </row>
    <row r="418">
      <c r="A418" s="2" t="s">
        <v>39</v>
      </c>
      <c r="B418" s="2" t="s">
        <v>39</v>
      </c>
      <c r="C418" s="149">
        <v>0.0</v>
      </c>
    </row>
    <row r="419">
      <c r="A419" s="2" t="s">
        <v>39</v>
      </c>
      <c r="B419" s="2" t="s">
        <v>64</v>
      </c>
      <c r="C419" s="149">
        <v>424.0</v>
      </c>
    </row>
    <row r="420">
      <c r="A420" s="2" t="s">
        <v>39</v>
      </c>
      <c r="B420" s="2" t="s">
        <v>65</v>
      </c>
      <c r="C420" s="149">
        <v>337.0</v>
      </c>
    </row>
    <row r="421">
      <c r="A421" s="2" t="s">
        <v>39</v>
      </c>
      <c r="B421" s="2" t="s">
        <v>36</v>
      </c>
      <c r="C421" s="149">
        <v>563.0</v>
      </c>
    </row>
    <row r="422">
      <c r="A422" s="2" t="s">
        <v>39</v>
      </c>
      <c r="B422" s="2" t="s">
        <v>31</v>
      </c>
      <c r="C422" s="149">
        <v>290.0</v>
      </c>
    </row>
    <row r="423">
      <c r="A423" s="2" t="s">
        <v>39</v>
      </c>
      <c r="B423" s="2" t="s">
        <v>43</v>
      </c>
      <c r="C423" s="149">
        <v>383.0</v>
      </c>
    </row>
    <row r="424">
      <c r="A424" s="2" t="s">
        <v>39</v>
      </c>
      <c r="B424" s="2" t="s">
        <v>40</v>
      </c>
      <c r="C424" s="149">
        <v>73.5</v>
      </c>
    </row>
    <row r="425">
      <c r="A425" s="2" t="s">
        <v>39</v>
      </c>
      <c r="B425" s="2" t="s">
        <v>50</v>
      </c>
      <c r="C425" s="149">
        <v>508.0</v>
      </c>
    </row>
    <row r="426">
      <c r="A426" s="2" t="s">
        <v>39</v>
      </c>
      <c r="B426" s="2" t="s">
        <v>51</v>
      </c>
      <c r="C426" s="149">
        <v>170.0</v>
      </c>
    </row>
    <row r="427">
      <c r="A427" s="2" t="s">
        <v>39</v>
      </c>
      <c r="B427" s="2" t="s">
        <v>23</v>
      </c>
      <c r="C427" s="149">
        <v>287.0</v>
      </c>
    </row>
    <row r="428">
      <c r="A428" s="2" t="s">
        <v>39</v>
      </c>
      <c r="B428" s="2" t="s">
        <v>47</v>
      </c>
      <c r="C428" s="149">
        <v>302.0</v>
      </c>
    </row>
    <row r="429">
      <c r="A429" s="2" t="s">
        <v>39</v>
      </c>
      <c r="B429" s="2" t="s">
        <v>62</v>
      </c>
      <c r="C429" s="149">
        <v>243.0</v>
      </c>
    </row>
    <row r="430">
      <c r="A430" s="2" t="s">
        <v>39</v>
      </c>
      <c r="B430" s="2" t="s">
        <v>30</v>
      </c>
      <c r="C430" s="149">
        <v>326.0</v>
      </c>
    </row>
    <row r="431">
      <c r="A431" s="2" t="s">
        <v>39</v>
      </c>
      <c r="B431" s="2" t="s">
        <v>32</v>
      </c>
      <c r="C431" s="149">
        <v>234.0</v>
      </c>
    </row>
    <row r="432">
      <c r="A432" s="2" t="s">
        <v>39</v>
      </c>
      <c r="B432" s="2" t="s">
        <v>46</v>
      </c>
      <c r="C432" s="149">
        <v>333.0</v>
      </c>
    </row>
    <row r="433">
      <c r="A433" s="2" t="s">
        <v>39</v>
      </c>
      <c r="B433" s="2" t="s">
        <v>54</v>
      </c>
      <c r="C433" s="149">
        <v>353.0</v>
      </c>
    </row>
    <row r="434">
      <c r="A434" s="2" t="s">
        <v>39</v>
      </c>
      <c r="B434" s="2" t="s">
        <v>34</v>
      </c>
      <c r="C434" s="149">
        <v>302.0</v>
      </c>
    </row>
    <row r="435">
      <c r="A435" s="2" t="s">
        <v>39</v>
      </c>
      <c r="B435" s="2" t="s">
        <v>20</v>
      </c>
      <c r="C435" s="149">
        <v>247.0</v>
      </c>
    </row>
    <row r="436">
      <c r="A436" s="2" t="s">
        <v>39</v>
      </c>
      <c r="B436" s="2" t="s">
        <v>24</v>
      </c>
      <c r="C436" s="149">
        <v>227.0</v>
      </c>
    </row>
    <row r="437">
      <c r="A437" s="2" t="s">
        <v>39</v>
      </c>
      <c r="B437" s="2" t="s">
        <v>63</v>
      </c>
      <c r="C437" s="149">
        <v>193.0</v>
      </c>
    </row>
    <row r="438">
      <c r="A438" s="2" t="s">
        <v>39</v>
      </c>
      <c r="B438" s="2" t="s">
        <v>58</v>
      </c>
      <c r="C438" s="149">
        <v>354.0</v>
      </c>
    </row>
    <row r="439">
      <c r="A439" s="2" t="s">
        <v>39</v>
      </c>
      <c r="B439" s="2" t="s">
        <v>42</v>
      </c>
      <c r="C439" s="149">
        <v>457.0</v>
      </c>
    </row>
    <row r="440">
      <c r="A440" s="2" t="s">
        <v>39</v>
      </c>
      <c r="B440" s="2" t="s">
        <v>21</v>
      </c>
      <c r="C440" s="149">
        <v>273.0</v>
      </c>
    </row>
    <row r="441">
      <c r="A441" s="2" t="s">
        <v>39</v>
      </c>
      <c r="B441" s="2" t="s">
        <v>33</v>
      </c>
      <c r="C441" s="149">
        <v>138.0</v>
      </c>
    </row>
    <row r="442">
      <c r="A442" s="2" t="s">
        <v>39</v>
      </c>
      <c r="B442" s="2" t="s">
        <v>66</v>
      </c>
      <c r="C442" s="149">
        <v>477.0</v>
      </c>
    </row>
    <row r="443">
      <c r="A443" s="2" t="s">
        <v>39</v>
      </c>
      <c r="B443" s="2" t="s">
        <v>29</v>
      </c>
      <c r="C443" s="149">
        <v>273.0</v>
      </c>
    </row>
    <row r="444">
      <c r="A444" s="2" t="s">
        <v>39</v>
      </c>
      <c r="B444" s="2" t="s">
        <v>60</v>
      </c>
      <c r="C444" s="149">
        <v>191.0</v>
      </c>
    </row>
    <row r="445">
      <c r="A445" s="2" t="s">
        <v>39</v>
      </c>
      <c r="B445" s="2" t="s">
        <v>38</v>
      </c>
      <c r="C445" s="149">
        <v>129.0</v>
      </c>
    </row>
    <row r="446">
      <c r="A446" s="2" t="s">
        <v>39</v>
      </c>
      <c r="B446" s="2" t="s">
        <v>61</v>
      </c>
      <c r="C446" s="149">
        <v>231.0</v>
      </c>
    </row>
    <row r="447">
      <c r="A447" s="2" t="s">
        <v>39</v>
      </c>
      <c r="B447" s="2" t="s">
        <v>52</v>
      </c>
      <c r="C447" s="149">
        <v>197.0</v>
      </c>
    </row>
    <row r="448">
      <c r="A448" s="2" t="s">
        <v>39</v>
      </c>
      <c r="B448" s="2" t="s">
        <v>25</v>
      </c>
      <c r="C448" s="149">
        <v>278.0</v>
      </c>
    </row>
    <row r="449">
      <c r="A449" s="2" t="s">
        <v>39</v>
      </c>
      <c r="B449" s="2" t="s">
        <v>67</v>
      </c>
      <c r="C449" s="149">
        <v>240.0</v>
      </c>
    </row>
    <row r="450">
      <c r="A450" s="2" t="s">
        <v>39</v>
      </c>
      <c r="B450" s="2" t="s">
        <v>45</v>
      </c>
      <c r="C450" s="149">
        <v>333.0</v>
      </c>
    </row>
    <row r="451">
      <c r="A451" s="2" t="s">
        <v>39</v>
      </c>
      <c r="B451" s="2" t="s">
        <v>53</v>
      </c>
      <c r="C451" s="149">
        <v>425.0</v>
      </c>
    </row>
    <row r="452">
      <c r="A452" s="2" t="s">
        <v>39</v>
      </c>
      <c r="B452" s="2" t="s">
        <v>26</v>
      </c>
      <c r="C452" s="149">
        <v>311.0</v>
      </c>
    </row>
    <row r="453">
      <c r="A453" s="2" t="s">
        <v>39</v>
      </c>
      <c r="B453" s="2" t="s">
        <v>28</v>
      </c>
      <c r="C453" s="149">
        <v>82.6</v>
      </c>
    </row>
    <row r="454">
      <c r="A454" s="2" t="s">
        <v>39</v>
      </c>
      <c r="B454" s="2" t="s">
        <v>55</v>
      </c>
      <c r="C454" s="149">
        <v>484.0</v>
      </c>
    </row>
    <row r="455">
      <c r="A455" s="2" t="s">
        <v>39</v>
      </c>
      <c r="B455" s="2" t="s">
        <v>48</v>
      </c>
      <c r="C455" s="149">
        <v>263.0</v>
      </c>
    </row>
    <row r="456">
      <c r="A456" s="2" t="s">
        <v>39</v>
      </c>
      <c r="B456" s="2" t="s">
        <v>2035</v>
      </c>
      <c r="C456" s="149">
        <v>541.0</v>
      </c>
    </row>
    <row r="457">
      <c r="A457" s="2" t="s">
        <v>39</v>
      </c>
      <c r="B457" s="2" t="s">
        <v>59</v>
      </c>
      <c r="C457" s="149">
        <v>304.0</v>
      </c>
    </row>
    <row r="458">
      <c r="A458" s="2" t="s">
        <v>39</v>
      </c>
      <c r="B458" s="2" t="s">
        <v>44</v>
      </c>
      <c r="C458" s="149">
        <v>303.0</v>
      </c>
    </row>
    <row r="459">
      <c r="A459" s="2" t="s">
        <v>39</v>
      </c>
      <c r="B459" s="2" t="s">
        <v>2036</v>
      </c>
      <c r="C459" s="149">
        <v>509.0</v>
      </c>
    </row>
    <row r="460">
      <c r="A460" s="2" t="s">
        <v>39</v>
      </c>
      <c r="B460" s="2" t="s">
        <v>2037</v>
      </c>
      <c r="C460" s="149">
        <v>429.0</v>
      </c>
    </row>
    <row r="461">
      <c r="A461" s="2" t="s">
        <v>64</v>
      </c>
      <c r="B461" s="2" t="s">
        <v>18</v>
      </c>
      <c r="C461" s="149">
        <v>193.0</v>
      </c>
    </row>
    <row r="462">
      <c r="A462" s="2" t="s">
        <v>64</v>
      </c>
      <c r="B462" s="2" t="s">
        <v>49</v>
      </c>
      <c r="C462" s="149">
        <v>677.0</v>
      </c>
    </row>
    <row r="463">
      <c r="A463" s="2" t="s">
        <v>64</v>
      </c>
      <c r="B463" s="2" t="s">
        <v>22</v>
      </c>
      <c r="C463" s="149">
        <v>470.0</v>
      </c>
    </row>
    <row r="464">
      <c r="A464" s="2" t="s">
        <v>64</v>
      </c>
      <c r="B464" s="2" t="s">
        <v>27</v>
      </c>
      <c r="C464" s="149">
        <v>467.0</v>
      </c>
    </row>
    <row r="465">
      <c r="A465" s="2" t="s">
        <v>64</v>
      </c>
      <c r="B465" s="2" t="s">
        <v>35</v>
      </c>
      <c r="C465" s="149">
        <v>152.0</v>
      </c>
    </row>
    <row r="466">
      <c r="A466" s="2" t="s">
        <v>64</v>
      </c>
      <c r="B466" s="2" t="s">
        <v>41</v>
      </c>
      <c r="C466" s="149">
        <v>99.2</v>
      </c>
    </row>
    <row r="467">
      <c r="A467" s="2" t="s">
        <v>64</v>
      </c>
      <c r="B467" s="2" t="s">
        <v>57</v>
      </c>
      <c r="C467" s="149">
        <v>660.0</v>
      </c>
    </row>
    <row r="468">
      <c r="A468" s="2" t="s">
        <v>64</v>
      </c>
      <c r="B468" s="2" t="s">
        <v>37</v>
      </c>
      <c r="C468" s="149">
        <v>441.0</v>
      </c>
    </row>
    <row r="469">
      <c r="A469" s="2" t="s">
        <v>64</v>
      </c>
      <c r="B469" s="2" t="s">
        <v>39</v>
      </c>
      <c r="C469" s="149">
        <v>424.0</v>
      </c>
    </row>
    <row r="470">
      <c r="A470" s="2" t="s">
        <v>64</v>
      </c>
      <c r="B470" s="2" t="s">
        <v>64</v>
      </c>
      <c r="C470" s="149">
        <v>0.0</v>
      </c>
    </row>
    <row r="471">
      <c r="A471" s="2" t="s">
        <v>64</v>
      </c>
      <c r="B471" s="2" t="s">
        <v>65</v>
      </c>
      <c r="C471" s="149">
        <v>65.8</v>
      </c>
    </row>
    <row r="472">
      <c r="A472" s="2" t="s">
        <v>64</v>
      </c>
      <c r="B472" s="2" t="s">
        <v>36</v>
      </c>
      <c r="C472" s="149">
        <v>149.0</v>
      </c>
    </row>
    <row r="473">
      <c r="A473" s="2" t="s">
        <v>64</v>
      </c>
      <c r="B473" s="2" t="s">
        <v>31</v>
      </c>
      <c r="C473" s="149">
        <v>527.0</v>
      </c>
    </row>
    <row r="474">
      <c r="A474" s="2" t="s">
        <v>64</v>
      </c>
      <c r="B474" s="2" t="s">
        <v>43</v>
      </c>
      <c r="C474" s="149">
        <v>41.5</v>
      </c>
    </row>
    <row r="475">
      <c r="A475" s="2" t="s">
        <v>64</v>
      </c>
      <c r="B475" s="2" t="s">
        <v>40</v>
      </c>
      <c r="C475" s="149">
        <v>357.0</v>
      </c>
    </row>
    <row r="476">
      <c r="A476" s="2" t="s">
        <v>64</v>
      </c>
      <c r="B476" s="2" t="s">
        <v>50</v>
      </c>
      <c r="C476" s="149">
        <v>716.0</v>
      </c>
    </row>
    <row r="477">
      <c r="A477" s="2" t="s">
        <v>64</v>
      </c>
      <c r="B477" s="2" t="s">
        <v>51</v>
      </c>
      <c r="C477" s="149">
        <v>491.0</v>
      </c>
    </row>
    <row r="478">
      <c r="A478" s="2" t="s">
        <v>64</v>
      </c>
      <c r="B478" s="2" t="s">
        <v>23</v>
      </c>
      <c r="C478" s="149">
        <v>496.0</v>
      </c>
    </row>
    <row r="479">
      <c r="A479" s="2" t="s">
        <v>64</v>
      </c>
      <c r="B479" s="2" t="s">
        <v>47</v>
      </c>
      <c r="C479" s="149">
        <v>179.0</v>
      </c>
    </row>
    <row r="480">
      <c r="A480" s="2" t="s">
        <v>64</v>
      </c>
      <c r="B480" s="2" t="s">
        <v>62</v>
      </c>
      <c r="C480" s="149">
        <v>182.0</v>
      </c>
    </row>
    <row r="481">
      <c r="A481" s="2" t="s">
        <v>64</v>
      </c>
      <c r="B481" s="2" t="s">
        <v>30</v>
      </c>
      <c r="C481" s="149">
        <v>413.0</v>
      </c>
    </row>
    <row r="482">
      <c r="A482" s="2" t="s">
        <v>64</v>
      </c>
      <c r="B482" s="2" t="s">
        <v>32</v>
      </c>
      <c r="C482" s="149">
        <v>442.0</v>
      </c>
    </row>
    <row r="483">
      <c r="A483" s="2" t="s">
        <v>64</v>
      </c>
      <c r="B483" s="2" t="s">
        <v>46</v>
      </c>
      <c r="C483" s="149">
        <v>92.3</v>
      </c>
    </row>
    <row r="484">
      <c r="A484" s="2" t="s">
        <v>64</v>
      </c>
      <c r="B484" s="2" t="s">
        <v>54</v>
      </c>
      <c r="C484" s="149">
        <v>561.0</v>
      </c>
    </row>
    <row r="485">
      <c r="A485" s="2" t="s">
        <v>64</v>
      </c>
      <c r="B485" s="2" t="s">
        <v>34</v>
      </c>
      <c r="C485" s="149">
        <v>277.0</v>
      </c>
    </row>
    <row r="486">
      <c r="A486" s="2" t="s">
        <v>64</v>
      </c>
      <c r="B486" s="2" t="s">
        <v>20</v>
      </c>
      <c r="C486" s="149">
        <v>493.0</v>
      </c>
    </row>
    <row r="487">
      <c r="A487" s="2" t="s">
        <v>64</v>
      </c>
      <c r="B487" s="2" t="s">
        <v>24</v>
      </c>
      <c r="C487" s="149">
        <v>548.0</v>
      </c>
    </row>
    <row r="488">
      <c r="A488" s="2" t="s">
        <v>64</v>
      </c>
      <c r="B488" s="2" t="s">
        <v>63</v>
      </c>
      <c r="C488" s="149">
        <v>266.0</v>
      </c>
    </row>
    <row r="489">
      <c r="A489" s="2" t="s">
        <v>64</v>
      </c>
      <c r="B489" s="2" t="s">
        <v>58</v>
      </c>
      <c r="C489" s="149">
        <v>676.0</v>
      </c>
    </row>
    <row r="490">
      <c r="A490" s="2" t="s">
        <v>64</v>
      </c>
      <c r="B490" s="2" t="s">
        <v>42</v>
      </c>
      <c r="C490" s="149">
        <v>43.0</v>
      </c>
    </row>
    <row r="491">
      <c r="A491" s="2" t="s">
        <v>64</v>
      </c>
      <c r="B491" s="2" t="s">
        <v>21</v>
      </c>
      <c r="C491" s="149">
        <v>488.0</v>
      </c>
    </row>
    <row r="492">
      <c r="A492" s="2" t="s">
        <v>64</v>
      </c>
      <c r="B492" s="2" t="s">
        <v>33</v>
      </c>
      <c r="C492" s="149">
        <v>493.0</v>
      </c>
    </row>
    <row r="493">
      <c r="A493" s="2" t="s">
        <v>64</v>
      </c>
      <c r="B493" s="2" t="s">
        <v>66</v>
      </c>
      <c r="C493" s="149">
        <v>155.0</v>
      </c>
    </row>
    <row r="494">
      <c r="A494" s="2" t="s">
        <v>64</v>
      </c>
      <c r="B494" s="2" t="s">
        <v>29</v>
      </c>
      <c r="C494" s="149">
        <v>671.0</v>
      </c>
    </row>
    <row r="495">
      <c r="A495" s="2" t="s">
        <v>64</v>
      </c>
      <c r="B495" s="2" t="s">
        <v>60</v>
      </c>
      <c r="C495" s="149">
        <v>338.0</v>
      </c>
    </row>
    <row r="496">
      <c r="A496" s="2" t="s">
        <v>64</v>
      </c>
      <c r="B496" s="2" t="s">
        <v>38</v>
      </c>
      <c r="C496" s="149">
        <v>528.0</v>
      </c>
    </row>
    <row r="497">
      <c r="A497" s="2" t="s">
        <v>64</v>
      </c>
      <c r="B497" s="2" t="s">
        <v>61</v>
      </c>
      <c r="C497" s="149">
        <v>206.0</v>
      </c>
    </row>
    <row r="498">
      <c r="A498" s="2" t="s">
        <v>64</v>
      </c>
      <c r="B498" s="2" t="s">
        <v>52</v>
      </c>
      <c r="C498" s="149">
        <v>518.0</v>
      </c>
    </row>
    <row r="499">
      <c r="A499" s="2" t="s">
        <v>64</v>
      </c>
      <c r="B499" s="2" t="s">
        <v>25</v>
      </c>
      <c r="C499" s="149">
        <v>599.0</v>
      </c>
    </row>
    <row r="500">
      <c r="A500" s="2" t="s">
        <v>64</v>
      </c>
      <c r="B500" s="2" t="s">
        <v>67</v>
      </c>
      <c r="C500" s="149">
        <v>618.0</v>
      </c>
    </row>
    <row r="501">
      <c r="A501" s="2" t="s">
        <v>64</v>
      </c>
      <c r="B501" s="2" t="s">
        <v>45</v>
      </c>
      <c r="C501" s="149">
        <v>92.3</v>
      </c>
    </row>
    <row r="502">
      <c r="A502" s="2" t="s">
        <v>64</v>
      </c>
      <c r="B502" s="2" t="s">
        <v>53</v>
      </c>
      <c r="C502" s="149">
        <v>640.0</v>
      </c>
    </row>
    <row r="503">
      <c r="A503" s="2" t="s">
        <v>64</v>
      </c>
      <c r="B503" s="2" t="s">
        <v>26</v>
      </c>
      <c r="C503" s="149">
        <v>632.0</v>
      </c>
    </row>
    <row r="504">
      <c r="A504" s="2" t="s">
        <v>64</v>
      </c>
      <c r="B504" s="2" t="s">
        <v>28</v>
      </c>
      <c r="C504" s="149">
        <v>481.0</v>
      </c>
    </row>
    <row r="505">
      <c r="A505" s="2" t="s">
        <v>64</v>
      </c>
      <c r="B505" s="2" t="s">
        <v>55</v>
      </c>
      <c r="C505" s="149">
        <v>692.0</v>
      </c>
    </row>
    <row r="506">
      <c r="A506" s="2" t="s">
        <v>64</v>
      </c>
      <c r="B506" s="2" t="s">
        <v>48</v>
      </c>
      <c r="C506" s="149">
        <v>193.0</v>
      </c>
    </row>
    <row r="507">
      <c r="A507" s="2" t="s">
        <v>64</v>
      </c>
      <c r="B507" s="2" t="s">
        <v>2035</v>
      </c>
      <c r="C507" s="149">
        <v>749.0</v>
      </c>
    </row>
    <row r="508">
      <c r="A508" s="2" t="s">
        <v>64</v>
      </c>
      <c r="B508" s="2" t="s">
        <v>59</v>
      </c>
      <c r="C508" s="149">
        <v>626.0</v>
      </c>
    </row>
    <row r="509">
      <c r="A509" s="2" t="s">
        <v>64</v>
      </c>
      <c r="B509" s="2" t="s">
        <v>44</v>
      </c>
      <c r="C509" s="149">
        <v>121.0</v>
      </c>
    </row>
    <row r="510">
      <c r="A510" s="2" t="s">
        <v>64</v>
      </c>
      <c r="B510" s="2" t="s">
        <v>2036</v>
      </c>
      <c r="C510" s="149">
        <v>717.0</v>
      </c>
    </row>
    <row r="511">
      <c r="A511" s="2" t="s">
        <v>64</v>
      </c>
      <c r="B511" s="2" t="s">
        <v>2037</v>
      </c>
      <c r="C511" s="149">
        <v>660.0</v>
      </c>
    </row>
    <row r="512">
      <c r="A512" s="2" t="s">
        <v>65</v>
      </c>
      <c r="B512" s="2" t="s">
        <v>18</v>
      </c>
      <c r="C512" s="149">
        <v>106.0</v>
      </c>
    </row>
    <row r="513">
      <c r="A513" s="2" t="s">
        <v>65</v>
      </c>
      <c r="B513" s="2" t="s">
        <v>49</v>
      </c>
      <c r="C513" s="149">
        <v>589.0</v>
      </c>
    </row>
    <row r="514">
      <c r="A514" s="2" t="s">
        <v>65</v>
      </c>
      <c r="B514" s="2" t="s">
        <v>22</v>
      </c>
      <c r="C514" s="149">
        <v>383.0</v>
      </c>
    </row>
    <row r="515">
      <c r="A515" s="2" t="s">
        <v>65</v>
      </c>
      <c r="B515" s="2" t="s">
        <v>27</v>
      </c>
      <c r="C515" s="149">
        <v>380.0</v>
      </c>
    </row>
    <row r="516">
      <c r="A516" s="2" t="s">
        <v>65</v>
      </c>
      <c r="B516" s="2" t="s">
        <v>35</v>
      </c>
      <c r="C516" s="149">
        <v>208.0</v>
      </c>
    </row>
    <row r="517">
      <c r="A517" s="2" t="s">
        <v>65</v>
      </c>
      <c r="B517" s="2" t="s">
        <v>41</v>
      </c>
      <c r="C517" s="149">
        <v>158.0</v>
      </c>
    </row>
    <row r="518">
      <c r="A518" s="2" t="s">
        <v>65</v>
      </c>
      <c r="B518" s="2" t="s">
        <v>57</v>
      </c>
      <c r="C518" s="149">
        <v>573.0</v>
      </c>
    </row>
    <row r="519">
      <c r="A519" s="2" t="s">
        <v>65</v>
      </c>
      <c r="B519" s="2" t="s">
        <v>37</v>
      </c>
      <c r="C519" s="149">
        <v>353.0</v>
      </c>
    </row>
    <row r="520">
      <c r="A520" s="2" t="s">
        <v>65</v>
      </c>
      <c r="B520" s="2" t="s">
        <v>39</v>
      </c>
      <c r="C520" s="149">
        <v>337.0</v>
      </c>
    </row>
    <row r="521">
      <c r="A521" s="2" t="s">
        <v>65</v>
      </c>
      <c r="B521" s="2" t="s">
        <v>64</v>
      </c>
      <c r="C521" s="149">
        <v>65.8</v>
      </c>
    </row>
    <row r="522">
      <c r="A522" s="2" t="s">
        <v>65</v>
      </c>
      <c r="B522" s="2" t="s">
        <v>65</v>
      </c>
      <c r="C522" s="149">
        <v>0.0</v>
      </c>
    </row>
    <row r="523">
      <c r="A523" s="2" t="s">
        <v>65</v>
      </c>
      <c r="B523" s="2" t="s">
        <v>36</v>
      </c>
      <c r="C523" s="149">
        <v>204.0</v>
      </c>
    </row>
    <row r="524">
      <c r="A524" s="2" t="s">
        <v>65</v>
      </c>
      <c r="B524" s="2" t="s">
        <v>31</v>
      </c>
      <c r="C524" s="149">
        <v>475.0</v>
      </c>
    </row>
    <row r="525">
      <c r="A525" s="2" t="s">
        <v>65</v>
      </c>
      <c r="B525" s="2" t="s">
        <v>43</v>
      </c>
      <c r="C525" s="149">
        <v>67.3</v>
      </c>
    </row>
    <row r="526">
      <c r="A526" s="2" t="s">
        <v>65</v>
      </c>
      <c r="B526" s="2" t="s">
        <v>40</v>
      </c>
      <c r="C526" s="149">
        <v>269.0</v>
      </c>
    </row>
    <row r="527">
      <c r="A527" s="2" t="s">
        <v>65</v>
      </c>
      <c r="B527" s="2" t="s">
        <v>50</v>
      </c>
      <c r="C527" s="149">
        <v>629.0</v>
      </c>
    </row>
    <row r="528">
      <c r="A528" s="2" t="s">
        <v>65</v>
      </c>
      <c r="B528" s="2" t="s">
        <v>51</v>
      </c>
      <c r="C528" s="149">
        <v>403.0</v>
      </c>
    </row>
    <row r="529">
      <c r="A529" s="2" t="s">
        <v>65</v>
      </c>
      <c r="B529" s="2" t="s">
        <v>23</v>
      </c>
      <c r="C529" s="149">
        <v>408.0</v>
      </c>
    </row>
    <row r="530">
      <c r="A530" s="2" t="s">
        <v>65</v>
      </c>
      <c r="B530" s="2" t="s">
        <v>47</v>
      </c>
      <c r="C530" s="149">
        <v>126.0</v>
      </c>
    </row>
    <row r="531">
      <c r="A531" s="2" t="s">
        <v>65</v>
      </c>
      <c r="B531" s="2" t="s">
        <v>62</v>
      </c>
      <c r="C531" s="149">
        <v>94.5</v>
      </c>
    </row>
    <row r="532">
      <c r="A532" s="2" t="s">
        <v>65</v>
      </c>
      <c r="B532" s="2" t="s">
        <v>30</v>
      </c>
      <c r="C532" s="149">
        <v>361.0</v>
      </c>
    </row>
    <row r="533">
      <c r="A533" s="2" t="s">
        <v>65</v>
      </c>
      <c r="B533" s="2" t="s">
        <v>32</v>
      </c>
      <c r="C533" s="149">
        <v>390.0</v>
      </c>
    </row>
    <row r="534">
      <c r="A534" s="2" t="s">
        <v>65</v>
      </c>
      <c r="B534" s="2" t="s">
        <v>46</v>
      </c>
      <c r="C534" s="149">
        <v>39.9</v>
      </c>
    </row>
    <row r="535">
      <c r="A535" s="2" t="s">
        <v>65</v>
      </c>
      <c r="B535" s="2" t="s">
        <v>54</v>
      </c>
      <c r="C535" s="149">
        <v>473.0</v>
      </c>
    </row>
    <row r="536">
      <c r="A536" s="2" t="s">
        <v>65</v>
      </c>
      <c r="B536" s="2" t="s">
        <v>34</v>
      </c>
      <c r="C536" s="149">
        <v>190.0</v>
      </c>
    </row>
    <row r="537">
      <c r="A537" s="2" t="s">
        <v>65</v>
      </c>
      <c r="B537" s="2" t="s">
        <v>20</v>
      </c>
      <c r="C537" s="149">
        <v>406.0</v>
      </c>
    </row>
    <row r="538">
      <c r="A538" s="2" t="s">
        <v>65</v>
      </c>
      <c r="B538" s="2" t="s">
        <v>24</v>
      </c>
      <c r="C538" s="149">
        <v>460.0</v>
      </c>
    </row>
    <row r="539">
      <c r="A539" s="2" t="s">
        <v>65</v>
      </c>
      <c r="B539" s="2" t="s">
        <v>63</v>
      </c>
      <c r="C539" s="149">
        <v>213.0</v>
      </c>
    </row>
    <row r="540">
      <c r="A540" s="2" t="s">
        <v>65</v>
      </c>
      <c r="B540" s="2" t="s">
        <v>58</v>
      </c>
      <c r="C540" s="149">
        <v>588.0</v>
      </c>
    </row>
    <row r="541">
      <c r="A541" s="2" t="s">
        <v>65</v>
      </c>
      <c r="B541" s="2" t="s">
        <v>42</v>
      </c>
      <c r="C541" s="149">
        <v>98.3</v>
      </c>
    </row>
    <row r="542">
      <c r="A542" s="2" t="s">
        <v>65</v>
      </c>
      <c r="B542" s="2" t="s">
        <v>21</v>
      </c>
      <c r="C542" s="149">
        <v>400.0</v>
      </c>
    </row>
    <row r="543">
      <c r="A543" s="2" t="s">
        <v>65</v>
      </c>
      <c r="B543" s="2" t="s">
        <v>33</v>
      </c>
      <c r="C543" s="149">
        <v>405.0</v>
      </c>
    </row>
    <row r="544">
      <c r="A544" s="2" t="s">
        <v>65</v>
      </c>
      <c r="B544" s="2" t="s">
        <v>66</v>
      </c>
      <c r="C544" s="149">
        <v>181.0</v>
      </c>
    </row>
    <row r="545">
      <c r="A545" s="2" t="s">
        <v>65</v>
      </c>
      <c r="B545" s="2" t="s">
        <v>29</v>
      </c>
      <c r="C545" s="149">
        <v>584.0</v>
      </c>
    </row>
    <row r="546">
      <c r="A546" s="2" t="s">
        <v>65</v>
      </c>
      <c r="B546" s="2" t="s">
        <v>60</v>
      </c>
      <c r="C546" s="149">
        <v>250.0</v>
      </c>
    </row>
    <row r="547">
      <c r="A547" s="2" t="s">
        <v>65</v>
      </c>
      <c r="B547" s="2" t="s">
        <v>38</v>
      </c>
      <c r="C547" s="149">
        <v>440.0</v>
      </c>
    </row>
    <row r="548">
      <c r="A548" s="2" t="s">
        <v>65</v>
      </c>
      <c r="B548" s="2" t="s">
        <v>61</v>
      </c>
      <c r="C548" s="149">
        <v>119.0</v>
      </c>
    </row>
    <row r="549">
      <c r="A549" s="2" t="s">
        <v>65</v>
      </c>
      <c r="B549" s="2" t="s">
        <v>52</v>
      </c>
      <c r="C549" s="149">
        <v>431.0</v>
      </c>
    </row>
    <row r="550">
      <c r="A550" s="2" t="s">
        <v>65</v>
      </c>
      <c r="B550" s="2" t="s">
        <v>25</v>
      </c>
      <c r="C550" s="149">
        <v>511.0</v>
      </c>
    </row>
    <row r="551">
      <c r="A551" s="2" t="s">
        <v>65</v>
      </c>
      <c r="B551" s="2" t="s">
        <v>67</v>
      </c>
      <c r="C551" s="149">
        <v>530.0</v>
      </c>
    </row>
    <row r="552">
      <c r="A552" s="2" t="s">
        <v>65</v>
      </c>
      <c r="B552" s="2" t="s">
        <v>45</v>
      </c>
      <c r="C552" s="149">
        <v>39.9</v>
      </c>
    </row>
    <row r="553">
      <c r="A553" s="2" t="s">
        <v>65</v>
      </c>
      <c r="B553" s="2" t="s">
        <v>53</v>
      </c>
      <c r="C553" s="149">
        <v>587.0</v>
      </c>
    </row>
    <row r="554">
      <c r="A554" s="2" t="s">
        <v>65</v>
      </c>
      <c r="B554" s="2" t="s">
        <v>26</v>
      </c>
      <c r="C554" s="149">
        <v>544.0</v>
      </c>
    </row>
    <row r="555">
      <c r="A555" s="2" t="s">
        <v>65</v>
      </c>
      <c r="B555" s="2" t="s">
        <v>28</v>
      </c>
      <c r="C555" s="149">
        <v>393.0</v>
      </c>
    </row>
    <row r="556">
      <c r="A556" s="2" t="s">
        <v>65</v>
      </c>
      <c r="B556" s="2" t="s">
        <v>55</v>
      </c>
      <c r="C556" s="149">
        <v>604.0</v>
      </c>
    </row>
    <row r="557">
      <c r="A557" s="2" t="s">
        <v>65</v>
      </c>
      <c r="B557" s="2" t="s">
        <v>48</v>
      </c>
      <c r="C557" s="149">
        <v>141.0</v>
      </c>
    </row>
    <row r="558">
      <c r="A558" s="2" t="s">
        <v>65</v>
      </c>
      <c r="B558" s="2" t="s">
        <v>2035</v>
      </c>
      <c r="C558" s="149">
        <v>662.0</v>
      </c>
    </row>
    <row r="559">
      <c r="A559" s="2" t="s">
        <v>65</v>
      </c>
      <c r="B559" s="2" t="s">
        <v>59</v>
      </c>
      <c r="C559" s="149">
        <v>538.0</v>
      </c>
    </row>
    <row r="560">
      <c r="A560" s="2" t="s">
        <v>65</v>
      </c>
      <c r="B560" s="2" t="s">
        <v>44</v>
      </c>
      <c r="C560" s="149">
        <v>150.0</v>
      </c>
    </row>
    <row r="561">
      <c r="A561" s="2" t="s">
        <v>65</v>
      </c>
      <c r="B561" s="2" t="s">
        <v>2036</v>
      </c>
      <c r="C561" s="149">
        <v>665.0</v>
      </c>
    </row>
    <row r="562">
      <c r="A562" s="2" t="s">
        <v>65</v>
      </c>
      <c r="B562" s="2" t="s">
        <v>2037</v>
      </c>
      <c r="C562" s="149">
        <v>607.0</v>
      </c>
    </row>
    <row r="563">
      <c r="A563" s="2" t="s">
        <v>36</v>
      </c>
      <c r="B563" s="2" t="s">
        <v>18</v>
      </c>
      <c r="C563" s="149">
        <v>332.0</v>
      </c>
    </row>
    <row r="564">
      <c r="A564" s="2" t="s">
        <v>36</v>
      </c>
      <c r="B564" s="2" t="s">
        <v>49</v>
      </c>
      <c r="C564" s="149">
        <v>815.0</v>
      </c>
    </row>
    <row r="565">
      <c r="A565" s="2" t="s">
        <v>36</v>
      </c>
      <c r="B565" s="2" t="s">
        <v>22</v>
      </c>
      <c r="C565" s="149">
        <v>609.0</v>
      </c>
    </row>
    <row r="566">
      <c r="A566" s="2" t="s">
        <v>36</v>
      </c>
      <c r="B566" s="2" t="s">
        <v>27</v>
      </c>
      <c r="C566" s="149">
        <v>606.0</v>
      </c>
    </row>
    <row r="567">
      <c r="A567" s="2" t="s">
        <v>36</v>
      </c>
      <c r="B567" s="2" t="s">
        <v>35</v>
      </c>
      <c r="C567" s="149">
        <v>4.2</v>
      </c>
    </row>
    <row r="568">
      <c r="A568" s="2" t="s">
        <v>36</v>
      </c>
      <c r="B568" s="2" t="s">
        <v>41</v>
      </c>
      <c r="C568" s="149">
        <v>69.7</v>
      </c>
    </row>
    <row r="569">
      <c r="A569" s="2" t="s">
        <v>36</v>
      </c>
      <c r="B569" s="2" t="s">
        <v>57</v>
      </c>
      <c r="C569" s="149">
        <v>799.0</v>
      </c>
    </row>
    <row r="570">
      <c r="A570" s="2" t="s">
        <v>36</v>
      </c>
      <c r="B570" s="2" t="s">
        <v>37</v>
      </c>
      <c r="C570" s="149">
        <v>579.0</v>
      </c>
    </row>
    <row r="571">
      <c r="A571" s="2" t="s">
        <v>36</v>
      </c>
      <c r="B571" s="2" t="s">
        <v>39</v>
      </c>
      <c r="C571" s="149">
        <v>563.0</v>
      </c>
    </row>
    <row r="572">
      <c r="A572" s="2" t="s">
        <v>36</v>
      </c>
      <c r="B572" s="2" t="s">
        <v>64</v>
      </c>
      <c r="C572" s="149">
        <v>149.0</v>
      </c>
    </row>
    <row r="573">
      <c r="A573" s="2" t="s">
        <v>36</v>
      </c>
      <c r="B573" s="2" t="s">
        <v>65</v>
      </c>
      <c r="C573" s="149">
        <v>204.0</v>
      </c>
    </row>
    <row r="574">
      <c r="A574" s="2" t="s">
        <v>36</v>
      </c>
      <c r="B574" s="2" t="s">
        <v>36</v>
      </c>
      <c r="C574" s="149">
        <v>0.0</v>
      </c>
    </row>
    <row r="575">
      <c r="A575" s="2" t="s">
        <v>36</v>
      </c>
      <c r="B575" s="2" t="s">
        <v>31</v>
      </c>
      <c r="C575" s="149">
        <v>666.0</v>
      </c>
    </row>
    <row r="576">
      <c r="A576" s="2" t="s">
        <v>36</v>
      </c>
      <c r="B576" s="2" t="s">
        <v>43</v>
      </c>
      <c r="C576" s="149">
        <v>195.0</v>
      </c>
    </row>
    <row r="577">
      <c r="A577" s="2" t="s">
        <v>36</v>
      </c>
      <c r="B577" s="2" t="s">
        <v>40</v>
      </c>
      <c r="C577" s="149">
        <v>496.0</v>
      </c>
    </row>
    <row r="578">
      <c r="A578" s="2" t="s">
        <v>36</v>
      </c>
      <c r="B578" s="2" t="s">
        <v>50</v>
      </c>
      <c r="C578" s="149">
        <v>855.0</v>
      </c>
    </row>
    <row r="579">
      <c r="A579" s="2" t="s">
        <v>36</v>
      </c>
      <c r="B579" s="2" t="s">
        <v>51</v>
      </c>
      <c r="C579" s="149">
        <v>630.0</v>
      </c>
    </row>
    <row r="580">
      <c r="A580" s="2" t="s">
        <v>36</v>
      </c>
      <c r="B580" s="2" t="s">
        <v>23</v>
      </c>
      <c r="C580" s="149">
        <v>635.0</v>
      </c>
    </row>
    <row r="581">
      <c r="A581" s="2" t="s">
        <v>36</v>
      </c>
      <c r="B581" s="2" t="s">
        <v>47</v>
      </c>
      <c r="C581" s="149">
        <v>318.0</v>
      </c>
    </row>
    <row r="582">
      <c r="A582" s="2" t="s">
        <v>36</v>
      </c>
      <c r="B582" s="2" t="s">
        <v>62</v>
      </c>
      <c r="C582" s="149">
        <v>321.0</v>
      </c>
    </row>
    <row r="583">
      <c r="A583" s="2" t="s">
        <v>36</v>
      </c>
      <c r="B583" s="2" t="s">
        <v>30</v>
      </c>
      <c r="C583" s="149">
        <v>552.0</v>
      </c>
    </row>
    <row r="584">
      <c r="A584" s="2" t="s">
        <v>36</v>
      </c>
      <c r="B584" s="2" t="s">
        <v>32</v>
      </c>
      <c r="C584" s="149">
        <v>581.0</v>
      </c>
    </row>
    <row r="585">
      <c r="A585" s="2" t="s">
        <v>36</v>
      </c>
      <c r="B585" s="2" t="s">
        <v>46</v>
      </c>
      <c r="C585" s="149">
        <v>231.0</v>
      </c>
    </row>
    <row r="586">
      <c r="A586" s="2" t="s">
        <v>36</v>
      </c>
      <c r="B586" s="2" t="s">
        <v>54</v>
      </c>
      <c r="C586" s="149">
        <v>700.0</v>
      </c>
    </row>
    <row r="587">
      <c r="A587" s="2" t="s">
        <v>36</v>
      </c>
      <c r="B587" s="2" t="s">
        <v>34</v>
      </c>
      <c r="C587" s="149">
        <v>416.0</v>
      </c>
    </row>
    <row r="588">
      <c r="A588" s="2" t="s">
        <v>36</v>
      </c>
      <c r="B588" s="2" t="s">
        <v>20</v>
      </c>
      <c r="C588" s="149">
        <v>632.0</v>
      </c>
    </row>
    <row r="589">
      <c r="A589" s="2" t="s">
        <v>36</v>
      </c>
      <c r="B589" s="2" t="s">
        <v>24</v>
      </c>
      <c r="C589" s="149">
        <v>687.0</v>
      </c>
    </row>
    <row r="590">
      <c r="A590" s="2" t="s">
        <v>36</v>
      </c>
      <c r="B590" s="2" t="s">
        <v>63</v>
      </c>
      <c r="C590" s="149">
        <v>405.0</v>
      </c>
    </row>
    <row r="591">
      <c r="A591" s="2" t="s">
        <v>36</v>
      </c>
      <c r="B591" s="2" t="s">
        <v>58</v>
      </c>
      <c r="C591" s="149">
        <v>814.0</v>
      </c>
    </row>
    <row r="592">
      <c r="A592" s="2" t="s">
        <v>36</v>
      </c>
      <c r="B592" s="2" t="s">
        <v>42</v>
      </c>
      <c r="C592" s="149">
        <v>112.0</v>
      </c>
    </row>
    <row r="593">
      <c r="A593" s="2" t="s">
        <v>36</v>
      </c>
      <c r="B593" s="2" t="s">
        <v>21</v>
      </c>
      <c r="C593" s="149">
        <v>627.0</v>
      </c>
    </row>
    <row r="594">
      <c r="A594" s="2" t="s">
        <v>36</v>
      </c>
      <c r="B594" s="2" t="s">
        <v>33</v>
      </c>
      <c r="C594" s="149">
        <v>631.0</v>
      </c>
    </row>
    <row r="595">
      <c r="A595" s="2" t="s">
        <v>36</v>
      </c>
      <c r="B595" s="2" t="s">
        <v>66</v>
      </c>
      <c r="C595" s="149">
        <v>132.0</v>
      </c>
    </row>
    <row r="596">
      <c r="A596" s="2" t="s">
        <v>36</v>
      </c>
      <c r="B596" s="2" t="s">
        <v>29</v>
      </c>
      <c r="C596" s="149">
        <v>810.0</v>
      </c>
    </row>
    <row r="597">
      <c r="A597" s="2" t="s">
        <v>36</v>
      </c>
      <c r="B597" s="2" t="s">
        <v>60</v>
      </c>
      <c r="C597" s="149">
        <v>477.0</v>
      </c>
    </row>
    <row r="598">
      <c r="A598" s="2" t="s">
        <v>36</v>
      </c>
      <c r="B598" s="2" t="s">
        <v>38</v>
      </c>
      <c r="C598" s="149">
        <v>667.0</v>
      </c>
    </row>
    <row r="599">
      <c r="A599" s="2" t="s">
        <v>36</v>
      </c>
      <c r="B599" s="2" t="s">
        <v>61</v>
      </c>
      <c r="C599" s="149">
        <v>345.0</v>
      </c>
    </row>
    <row r="600">
      <c r="A600" s="2" t="s">
        <v>36</v>
      </c>
      <c r="B600" s="2" t="s">
        <v>52</v>
      </c>
      <c r="C600" s="149">
        <v>657.0</v>
      </c>
    </row>
    <row r="601">
      <c r="A601" s="2" t="s">
        <v>36</v>
      </c>
      <c r="B601" s="2" t="s">
        <v>25</v>
      </c>
      <c r="C601" s="149">
        <v>738.0</v>
      </c>
    </row>
    <row r="602">
      <c r="A602" s="2" t="s">
        <v>36</v>
      </c>
      <c r="B602" s="2" t="s">
        <v>67</v>
      </c>
      <c r="C602" s="149">
        <v>757.0</v>
      </c>
    </row>
    <row r="603">
      <c r="A603" s="2" t="s">
        <v>36</v>
      </c>
      <c r="B603" s="2" t="s">
        <v>45</v>
      </c>
      <c r="C603" s="149">
        <v>231.0</v>
      </c>
    </row>
    <row r="604">
      <c r="A604" s="2" t="s">
        <v>36</v>
      </c>
      <c r="B604" s="2" t="s">
        <v>53</v>
      </c>
      <c r="C604" s="149">
        <v>779.0</v>
      </c>
    </row>
    <row r="605">
      <c r="A605" s="2" t="s">
        <v>36</v>
      </c>
      <c r="B605" s="2" t="s">
        <v>26</v>
      </c>
      <c r="C605" s="149">
        <v>771.0</v>
      </c>
    </row>
    <row r="606">
      <c r="A606" s="2" t="s">
        <v>36</v>
      </c>
      <c r="B606" s="2" t="s">
        <v>28</v>
      </c>
      <c r="C606" s="149">
        <v>620.0</v>
      </c>
    </row>
    <row r="607">
      <c r="A607" s="2" t="s">
        <v>36</v>
      </c>
      <c r="B607" s="2" t="s">
        <v>55</v>
      </c>
      <c r="C607" s="149">
        <v>831.0</v>
      </c>
    </row>
    <row r="608">
      <c r="A608" s="2" t="s">
        <v>36</v>
      </c>
      <c r="B608" s="2" t="s">
        <v>48</v>
      </c>
      <c r="C608" s="149">
        <v>332.0</v>
      </c>
    </row>
    <row r="609">
      <c r="A609" s="2" t="s">
        <v>36</v>
      </c>
      <c r="B609" s="2" t="s">
        <v>2035</v>
      </c>
      <c r="C609" s="149">
        <v>888.0</v>
      </c>
    </row>
    <row r="610">
      <c r="A610" s="2" t="s">
        <v>36</v>
      </c>
      <c r="B610" s="2" t="s">
        <v>59</v>
      </c>
      <c r="C610" s="149">
        <v>764.0</v>
      </c>
    </row>
    <row r="611">
      <c r="A611" s="2" t="s">
        <v>36</v>
      </c>
      <c r="B611" s="2" t="s">
        <v>44</v>
      </c>
      <c r="C611" s="149">
        <v>274.0</v>
      </c>
    </row>
    <row r="612">
      <c r="A612" s="2" t="s">
        <v>36</v>
      </c>
      <c r="B612" s="2" t="s">
        <v>2036</v>
      </c>
      <c r="C612" s="149">
        <v>856.0</v>
      </c>
    </row>
    <row r="613">
      <c r="A613" s="2" t="s">
        <v>36</v>
      </c>
      <c r="B613" s="2" t="s">
        <v>2037</v>
      </c>
      <c r="C613" s="149">
        <v>799.0</v>
      </c>
    </row>
    <row r="614">
      <c r="A614" s="2" t="s">
        <v>31</v>
      </c>
      <c r="B614" s="2" t="s">
        <v>18</v>
      </c>
      <c r="C614" s="149">
        <v>464.0</v>
      </c>
    </row>
    <row r="615">
      <c r="A615" s="2" t="s">
        <v>31</v>
      </c>
      <c r="B615" s="2" t="s">
        <v>49</v>
      </c>
      <c r="C615" s="149">
        <v>766.0</v>
      </c>
    </row>
    <row r="616">
      <c r="A616" s="2" t="s">
        <v>31</v>
      </c>
      <c r="B616" s="2" t="s">
        <v>22</v>
      </c>
      <c r="C616" s="149">
        <v>609.0</v>
      </c>
    </row>
    <row r="617">
      <c r="A617" s="2" t="s">
        <v>31</v>
      </c>
      <c r="B617" s="2" t="s">
        <v>27</v>
      </c>
      <c r="C617" s="149">
        <v>179.0</v>
      </c>
    </row>
    <row r="618">
      <c r="A618" s="2" t="s">
        <v>31</v>
      </c>
      <c r="B618" s="2" t="s">
        <v>35</v>
      </c>
      <c r="C618" s="149">
        <v>669.0</v>
      </c>
    </row>
    <row r="619">
      <c r="A619" s="2" t="s">
        <v>31</v>
      </c>
      <c r="B619" s="2" t="s">
        <v>41</v>
      </c>
      <c r="C619" s="149">
        <v>619.0</v>
      </c>
    </row>
    <row r="620">
      <c r="A620" s="2" t="s">
        <v>31</v>
      </c>
      <c r="B620" s="2" t="s">
        <v>57</v>
      </c>
      <c r="C620" s="149">
        <v>112.0</v>
      </c>
    </row>
    <row r="621">
      <c r="A621" s="2" t="s">
        <v>31</v>
      </c>
      <c r="B621" s="2" t="s">
        <v>37</v>
      </c>
      <c r="C621" s="149">
        <v>264.0</v>
      </c>
    </row>
    <row r="622">
      <c r="A622" s="2" t="s">
        <v>31</v>
      </c>
      <c r="B622" s="2" t="s">
        <v>39</v>
      </c>
      <c r="C622" s="149">
        <v>290.0</v>
      </c>
    </row>
    <row r="623">
      <c r="A623" s="2" t="s">
        <v>31</v>
      </c>
      <c r="B623" s="2" t="s">
        <v>64</v>
      </c>
      <c r="C623" s="149">
        <v>527.0</v>
      </c>
    </row>
    <row r="624">
      <c r="A624" s="2" t="s">
        <v>31</v>
      </c>
      <c r="B624" s="2" t="s">
        <v>65</v>
      </c>
      <c r="C624" s="149">
        <v>475.0</v>
      </c>
    </row>
    <row r="625">
      <c r="A625" s="2" t="s">
        <v>31</v>
      </c>
      <c r="B625" s="2" t="s">
        <v>36</v>
      </c>
      <c r="C625" s="149">
        <v>666.0</v>
      </c>
    </row>
    <row r="626">
      <c r="A626" s="2" t="s">
        <v>31</v>
      </c>
      <c r="B626" s="2" t="s">
        <v>31</v>
      </c>
      <c r="C626" s="149">
        <v>0.0</v>
      </c>
    </row>
    <row r="627">
      <c r="A627" s="2" t="s">
        <v>31</v>
      </c>
      <c r="B627" s="2" t="s">
        <v>43</v>
      </c>
      <c r="C627" s="149">
        <v>557.0</v>
      </c>
    </row>
    <row r="628">
      <c r="A628" s="2" t="s">
        <v>31</v>
      </c>
      <c r="B628" s="2" t="s">
        <v>40</v>
      </c>
      <c r="C628" s="149">
        <v>373.0</v>
      </c>
    </row>
    <row r="629">
      <c r="A629" s="2" t="s">
        <v>31</v>
      </c>
      <c r="B629" s="2" t="s">
        <v>50</v>
      </c>
      <c r="C629" s="149">
        <v>865.0</v>
      </c>
    </row>
    <row r="630">
      <c r="A630" s="2" t="s">
        <v>31</v>
      </c>
      <c r="B630" s="2" t="s">
        <v>51</v>
      </c>
      <c r="C630" s="149">
        <v>126.0</v>
      </c>
    </row>
    <row r="631">
      <c r="A631" s="2" t="s">
        <v>31</v>
      </c>
      <c r="B631" s="2" t="s">
        <v>23</v>
      </c>
      <c r="C631" s="149">
        <v>645.0</v>
      </c>
    </row>
    <row r="632">
      <c r="A632" s="2" t="s">
        <v>31</v>
      </c>
      <c r="B632" s="2" t="s">
        <v>47</v>
      </c>
      <c r="C632" s="149">
        <v>363.0</v>
      </c>
    </row>
    <row r="633">
      <c r="A633" s="2" t="s">
        <v>31</v>
      </c>
      <c r="B633" s="2" t="s">
        <v>62</v>
      </c>
      <c r="C633" s="149">
        <v>438.0</v>
      </c>
    </row>
    <row r="634">
      <c r="A634" s="2" t="s">
        <v>31</v>
      </c>
      <c r="B634" s="2" t="s">
        <v>30</v>
      </c>
      <c r="C634" s="149">
        <v>133.0</v>
      </c>
    </row>
    <row r="635">
      <c r="A635" s="2" t="s">
        <v>31</v>
      </c>
      <c r="B635" s="2" t="s">
        <v>32</v>
      </c>
      <c r="C635" s="149">
        <v>83.7</v>
      </c>
    </row>
    <row r="636">
      <c r="A636" s="2" t="s">
        <v>31</v>
      </c>
      <c r="B636" s="2" t="s">
        <v>46</v>
      </c>
      <c r="C636" s="149">
        <v>436.0</v>
      </c>
    </row>
    <row r="637">
      <c r="A637" s="2" t="s">
        <v>31</v>
      </c>
      <c r="B637" s="2" t="s">
        <v>54</v>
      </c>
      <c r="C637" s="149">
        <v>710.0</v>
      </c>
    </row>
    <row r="638">
      <c r="A638" s="2" t="s">
        <v>31</v>
      </c>
      <c r="B638" s="2" t="s">
        <v>34</v>
      </c>
      <c r="C638" s="149">
        <v>498.0</v>
      </c>
    </row>
    <row r="639">
      <c r="A639" s="2" t="s">
        <v>31</v>
      </c>
      <c r="B639" s="2" t="s">
        <v>20</v>
      </c>
      <c r="C639" s="149">
        <v>618.0</v>
      </c>
    </row>
    <row r="640">
      <c r="A640" s="2" t="s">
        <v>31</v>
      </c>
      <c r="B640" s="2" t="s">
        <v>24</v>
      </c>
      <c r="C640" s="149">
        <v>124.0</v>
      </c>
    </row>
    <row r="641">
      <c r="A641" s="2" t="s">
        <v>31</v>
      </c>
      <c r="B641" s="2" t="s">
        <v>63</v>
      </c>
      <c r="C641" s="149">
        <v>266.0</v>
      </c>
    </row>
    <row r="642">
      <c r="A642" s="2" t="s">
        <v>31</v>
      </c>
      <c r="B642" s="2" t="s">
        <v>58</v>
      </c>
      <c r="C642" s="149">
        <v>127.0</v>
      </c>
    </row>
    <row r="643">
      <c r="A643" s="2" t="s">
        <v>31</v>
      </c>
      <c r="B643" s="2" t="s">
        <v>42</v>
      </c>
      <c r="C643" s="149">
        <v>559.0</v>
      </c>
    </row>
    <row r="644">
      <c r="A644" s="2" t="s">
        <v>31</v>
      </c>
      <c r="B644" s="2" t="s">
        <v>21</v>
      </c>
      <c r="C644" s="149">
        <v>637.0</v>
      </c>
    </row>
    <row r="645">
      <c r="A645" s="2" t="s">
        <v>31</v>
      </c>
      <c r="B645" s="2" t="s">
        <v>33</v>
      </c>
      <c r="C645" s="149">
        <v>508.0</v>
      </c>
    </row>
    <row r="646">
      <c r="A646" s="2" t="s">
        <v>31</v>
      </c>
      <c r="B646" s="2" t="s">
        <v>66</v>
      </c>
      <c r="C646" s="149">
        <v>673.0</v>
      </c>
    </row>
    <row r="647">
      <c r="A647" s="2" t="s">
        <v>31</v>
      </c>
      <c r="B647" s="2" t="s">
        <v>29</v>
      </c>
      <c r="C647" s="149">
        <v>479.0</v>
      </c>
    </row>
    <row r="648">
      <c r="A648" s="2" t="s">
        <v>31</v>
      </c>
      <c r="B648" s="2" t="s">
        <v>60</v>
      </c>
      <c r="C648" s="149">
        <v>502.0</v>
      </c>
    </row>
    <row r="649">
      <c r="A649" s="2" t="s">
        <v>31</v>
      </c>
      <c r="B649" s="2" t="s">
        <v>38</v>
      </c>
      <c r="C649" s="149">
        <v>335.0</v>
      </c>
    </row>
    <row r="650">
      <c r="A650" s="2" t="s">
        <v>31</v>
      </c>
      <c r="B650" s="2" t="s">
        <v>61</v>
      </c>
      <c r="C650" s="149">
        <v>427.0</v>
      </c>
    </row>
    <row r="651">
      <c r="A651" s="2" t="s">
        <v>31</v>
      </c>
      <c r="B651" s="2" t="s">
        <v>52</v>
      </c>
      <c r="C651" s="149">
        <v>97.2</v>
      </c>
    </row>
    <row r="652">
      <c r="A652" s="2" t="s">
        <v>31</v>
      </c>
      <c r="B652" s="2" t="s">
        <v>25</v>
      </c>
      <c r="C652" s="149">
        <v>80.3</v>
      </c>
    </row>
    <row r="653">
      <c r="A653" s="2" t="s">
        <v>31</v>
      </c>
      <c r="B653" s="2" t="s">
        <v>67</v>
      </c>
      <c r="C653" s="149">
        <v>237.0</v>
      </c>
    </row>
    <row r="654">
      <c r="A654" s="2" t="s">
        <v>31</v>
      </c>
      <c r="B654" s="2" t="s">
        <v>45</v>
      </c>
      <c r="C654" s="149">
        <v>436.0</v>
      </c>
    </row>
    <row r="655">
      <c r="A655" s="2" t="s">
        <v>31</v>
      </c>
      <c r="B655" s="2" t="s">
        <v>53</v>
      </c>
      <c r="C655" s="149">
        <v>131.0</v>
      </c>
    </row>
    <row r="656">
      <c r="A656" s="2" t="s">
        <v>31</v>
      </c>
      <c r="B656" s="2" t="s">
        <v>26</v>
      </c>
      <c r="C656" s="149">
        <v>116.0</v>
      </c>
    </row>
    <row r="657">
      <c r="A657" s="2" t="s">
        <v>31</v>
      </c>
      <c r="B657" s="2" t="s">
        <v>28</v>
      </c>
      <c r="C657" s="149">
        <v>215.0</v>
      </c>
    </row>
    <row r="658">
      <c r="A658" s="2" t="s">
        <v>31</v>
      </c>
      <c r="B658" s="2" t="s">
        <v>55</v>
      </c>
      <c r="C658" s="149">
        <v>841.0</v>
      </c>
    </row>
    <row r="659">
      <c r="A659" s="2" t="s">
        <v>31</v>
      </c>
      <c r="B659" s="2" t="s">
        <v>48</v>
      </c>
      <c r="C659" s="149">
        <v>340.0</v>
      </c>
    </row>
    <row r="660">
      <c r="A660" s="2" t="s">
        <v>31</v>
      </c>
      <c r="B660" s="2" t="s">
        <v>2035</v>
      </c>
      <c r="C660" s="149">
        <v>898.0</v>
      </c>
    </row>
    <row r="661">
      <c r="A661" s="2" t="s">
        <v>31</v>
      </c>
      <c r="B661" s="2" t="s">
        <v>59</v>
      </c>
      <c r="C661" s="149">
        <v>78.0</v>
      </c>
    </row>
    <row r="662">
      <c r="A662" s="2" t="s">
        <v>31</v>
      </c>
      <c r="B662" s="2" t="s">
        <v>44</v>
      </c>
      <c r="C662" s="149">
        <v>499.0</v>
      </c>
    </row>
    <row r="663">
      <c r="A663" s="2" t="s">
        <v>31</v>
      </c>
      <c r="B663" s="2" t="s">
        <v>2036</v>
      </c>
      <c r="C663" s="149">
        <v>866.0</v>
      </c>
    </row>
    <row r="664">
      <c r="A664" s="2" t="s">
        <v>31</v>
      </c>
      <c r="B664" s="2" t="s">
        <v>2037</v>
      </c>
      <c r="C664" s="149">
        <v>800.0</v>
      </c>
    </row>
    <row r="665">
      <c r="A665" s="2" t="s">
        <v>43</v>
      </c>
      <c r="B665" s="2" t="s">
        <v>18</v>
      </c>
      <c r="C665" s="149">
        <v>116.0</v>
      </c>
    </row>
    <row r="666">
      <c r="A666" s="2" t="s">
        <v>43</v>
      </c>
      <c r="B666" s="2" t="s">
        <v>49</v>
      </c>
      <c r="C666" s="149">
        <v>636.0</v>
      </c>
    </row>
    <row r="667">
      <c r="A667" s="2" t="s">
        <v>43</v>
      </c>
      <c r="B667" s="2" t="s">
        <v>22</v>
      </c>
      <c r="C667" s="149">
        <v>429.0</v>
      </c>
    </row>
    <row r="668">
      <c r="A668" s="2" t="s">
        <v>43</v>
      </c>
      <c r="B668" s="2" t="s">
        <v>27</v>
      </c>
      <c r="C668" s="149">
        <v>426.0</v>
      </c>
    </row>
    <row r="669">
      <c r="A669" s="2" t="s">
        <v>43</v>
      </c>
      <c r="B669" s="2" t="s">
        <v>35</v>
      </c>
      <c r="C669" s="149">
        <v>198.0</v>
      </c>
    </row>
    <row r="670">
      <c r="A670" s="2" t="s">
        <v>43</v>
      </c>
      <c r="B670" s="2" t="s">
        <v>41</v>
      </c>
      <c r="C670" s="149">
        <v>119.0</v>
      </c>
    </row>
    <row r="671">
      <c r="A671" s="2" t="s">
        <v>43</v>
      </c>
      <c r="B671" s="2" t="s">
        <v>57</v>
      </c>
      <c r="C671" s="149">
        <v>619.0</v>
      </c>
    </row>
    <row r="672">
      <c r="A672" s="2" t="s">
        <v>43</v>
      </c>
      <c r="B672" s="2" t="s">
        <v>37</v>
      </c>
      <c r="C672" s="149">
        <v>400.0</v>
      </c>
    </row>
    <row r="673">
      <c r="A673" s="2" t="s">
        <v>43</v>
      </c>
      <c r="B673" s="2" t="s">
        <v>39</v>
      </c>
      <c r="C673" s="149">
        <v>383.0</v>
      </c>
    </row>
    <row r="674">
      <c r="A674" s="2" t="s">
        <v>43</v>
      </c>
      <c r="B674" s="2" t="s">
        <v>64</v>
      </c>
      <c r="C674" s="149">
        <v>41.5</v>
      </c>
    </row>
    <row r="675">
      <c r="A675" s="2" t="s">
        <v>43</v>
      </c>
      <c r="B675" s="2" t="s">
        <v>65</v>
      </c>
      <c r="C675" s="149">
        <v>67.3</v>
      </c>
    </row>
    <row r="676">
      <c r="A676" s="2" t="s">
        <v>43</v>
      </c>
      <c r="B676" s="2" t="s">
        <v>36</v>
      </c>
      <c r="C676" s="149">
        <v>195.0</v>
      </c>
    </row>
    <row r="677">
      <c r="A677" s="2" t="s">
        <v>43</v>
      </c>
      <c r="B677" s="2" t="s">
        <v>31</v>
      </c>
      <c r="C677" s="149">
        <v>557.0</v>
      </c>
    </row>
    <row r="678">
      <c r="A678" s="2" t="s">
        <v>43</v>
      </c>
      <c r="B678" s="2" t="s">
        <v>43</v>
      </c>
      <c r="C678" s="149">
        <v>0.0</v>
      </c>
    </row>
    <row r="679">
      <c r="A679" s="2" t="s">
        <v>43</v>
      </c>
      <c r="B679" s="2" t="s">
        <v>40</v>
      </c>
      <c r="C679" s="149">
        <v>317.0</v>
      </c>
    </row>
    <row r="680">
      <c r="A680" s="2" t="s">
        <v>43</v>
      </c>
      <c r="B680" s="2" t="s">
        <v>50</v>
      </c>
      <c r="C680" s="149">
        <v>676.0</v>
      </c>
    </row>
    <row r="681">
      <c r="A681" s="2" t="s">
        <v>43</v>
      </c>
      <c r="B681" s="2" t="s">
        <v>51</v>
      </c>
      <c r="C681" s="149">
        <v>451.0</v>
      </c>
    </row>
    <row r="682">
      <c r="A682" s="2" t="s">
        <v>43</v>
      </c>
      <c r="B682" s="2" t="s">
        <v>23</v>
      </c>
      <c r="C682" s="149">
        <v>456.0</v>
      </c>
    </row>
    <row r="683">
      <c r="A683" s="2" t="s">
        <v>43</v>
      </c>
      <c r="B683" s="2" t="s">
        <v>47</v>
      </c>
      <c r="C683" s="149">
        <v>209.0</v>
      </c>
    </row>
    <row r="684">
      <c r="A684" s="2" t="s">
        <v>43</v>
      </c>
      <c r="B684" s="2" t="s">
        <v>62</v>
      </c>
      <c r="C684" s="149">
        <v>141.0</v>
      </c>
    </row>
    <row r="685">
      <c r="A685" s="2" t="s">
        <v>43</v>
      </c>
      <c r="B685" s="2" t="s">
        <v>30</v>
      </c>
      <c r="C685" s="149">
        <v>443.0</v>
      </c>
    </row>
    <row r="686">
      <c r="A686" s="2" t="s">
        <v>43</v>
      </c>
      <c r="B686" s="2" t="s">
        <v>32</v>
      </c>
      <c r="C686" s="149">
        <v>472.0</v>
      </c>
    </row>
    <row r="687">
      <c r="A687" s="2" t="s">
        <v>43</v>
      </c>
      <c r="B687" s="2" t="s">
        <v>46</v>
      </c>
      <c r="C687" s="149">
        <v>122.0</v>
      </c>
    </row>
    <row r="688">
      <c r="A688" s="2" t="s">
        <v>43</v>
      </c>
      <c r="B688" s="2" t="s">
        <v>54</v>
      </c>
      <c r="C688" s="149">
        <v>521.0</v>
      </c>
    </row>
    <row r="689">
      <c r="A689" s="2" t="s">
        <v>43</v>
      </c>
      <c r="B689" s="2" t="s">
        <v>34</v>
      </c>
      <c r="C689" s="149">
        <v>238.0</v>
      </c>
    </row>
    <row r="690">
      <c r="A690" s="2" t="s">
        <v>43</v>
      </c>
      <c r="B690" s="2" t="s">
        <v>20</v>
      </c>
      <c r="C690" s="149">
        <v>453.0</v>
      </c>
    </row>
    <row r="691">
      <c r="A691" s="2" t="s">
        <v>43</v>
      </c>
      <c r="B691" s="2" t="s">
        <v>24</v>
      </c>
      <c r="C691" s="149">
        <v>508.0</v>
      </c>
    </row>
    <row r="692">
      <c r="A692" s="2" t="s">
        <v>43</v>
      </c>
      <c r="B692" s="2" t="s">
        <v>63</v>
      </c>
      <c r="C692" s="149">
        <v>296.0</v>
      </c>
    </row>
    <row r="693">
      <c r="A693" s="2" t="s">
        <v>43</v>
      </c>
      <c r="B693" s="2" t="s">
        <v>58</v>
      </c>
      <c r="C693" s="149">
        <v>636.0</v>
      </c>
    </row>
    <row r="694">
      <c r="A694" s="2" t="s">
        <v>43</v>
      </c>
      <c r="B694" s="2" t="s">
        <v>42</v>
      </c>
      <c r="C694" s="149">
        <v>76.2</v>
      </c>
    </row>
    <row r="695">
      <c r="A695" s="2" t="s">
        <v>43</v>
      </c>
      <c r="B695" s="2" t="s">
        <v>21</v>
      </c>
      <c r="C695" s="149">
        <v>448.0</v>
      </c>
    </row>
    <row r="696">
      <c r="A696" s="2" t="s">
        <v>43</v>
      </c>
      <c r="B696" s="2" t="s">
        <v>33</v>
      </c>
      <c r="C696" s="149">
        <v>453.0</v>
      </c>
    </row>
    <row r="697">
      <c r="A697" s="2" t="s">
        <v>43</v>
      </c>
      <c r="B697" s="2" t="s">
        <v>66</v>
      </c>
      <c r="C697" s="149">
        <v>115.0</v>
      </c>
    </row>
    <row r="698">
      <c r="A698" s="2" t="s">
        <v>43</v>
      </c>
      <c r="B698" s="2" t="s">
        <v>29</v>
      </c>
      <c r="C698" s="149">
        <v>632.0</v>
      </c>
    </row>
    <row r="699">
      <c r="A699" s="2" t="s">
        <v>43</v>
      </c>
      <c r="B699" s="2" t="s">
        <v>60</v>
      </c>
      <c r="C699" s="149">
        <v>298.0</v>
      </c>
    </row>
    <row r="700">
      <c r="A700" s="2" t="s">
        <v>43</v>
      </c>
      <c r="B700" s="2" t="s">
        <v>38</v>
      </c>
      <c r="C700" s="149">
        <v>488.0</v>
      </c>
    </row>
    <row r="701">
      <c r="A701" s="2" t="s">
        <v>43</v>
      </c>
      <c r="B701" s="2" t="s">
        <v>61</v>
      </c>
      <c r="C701" s="149">
        <v>167.0</v>
      </c>
    </row>
    <row r="702">
      <c r="A702" s="2" t="s">
        <v>43</v>
      </c>
      <c r="B702" s="2" t="s">
        <v>52</v>
      </c>
      <c r="C702" s="149">
        <v>478.0</v>
      </c>
    </row>
    <row r="703">
      <c r="A703" s="2" t="s">
        <v>43</v>
      </c>
      <c r="B703" s="2" t="s">
        <v>25</v>
      </c>
      <c r="C703" s="149">
        <v>559.0</v>
      </c>
    </row>
    <row r="704">
      <c r="A704" s="2" t="s">
        <v>43</v>
      </c>
      <c r="B704" s="2" t="s">
        <v>67</v>
      </c>
      <c r="C704" s="149">
        <v>578.0</v>
      </c>
    </row>
    <row r="705">
      <c r="A705" s="2" t="s">
        <v>43</v>
      </c>
      <c r="B705" s="2" t="s">
        <v>45</v>
      </c>
      <c r="C705" s="149">
        <v>122.0</v>
      </c>
    </row>
    <row r="706">
      <c r="A706" s="2" t="s">
        <v>43</v>
      </c>
      <c r="B706" s="2" t="s">
        <v>53</v>
      </c>
      <c r="C706" s="149">
        <v>670.0</v>
      </c>
    </row>
    <row r="707">
      <c r="A707" s="2" t="s">
        <v>43</v>
      </c>
      <c r="B707" s="2" t="s">
        <v>26</v>
      </c>
      <c r="C707" s="149">
        <v>592.0</v>
      </c>
    </row>
    <row r="708">
      <c r="A708" s="2" t="s">
        <v>43</v>
      </c>
      <c r="B708" s="2" t="s">
        <v>28</v>
      </c>
      <c r="C708" s="149">
        <v>441.0</v>
      </c>
    </row>
    <row r="709">
      <c r="A709" s="2" t="s">
        <v>43</v>
      </c>
      <c r="B709" s="2" t="s">
        <v>55</v>
      </c>
      <c r="C709" s="149">
        <v>652.0</v>
      </c>
    </row>
    <row r="710">
      <c r="A710" s="2" t="s">
        <v>43</v>
      </c>
      <c r="B710" s="2" t="s">
        <v>48</v>
      </c>
      <c r="C710" s="149">
        <v>223.0</v>
      </c>
    </row>
    <row r="711">
      <c r="A711" s="2" t="s">
        <v>43</v>
      </c>
      <c r="B711" s="2" t="s">
        <v>2035</v>
      </c>
      <c r="C711" s="149">
        <v>710.0</v>
      </c>
    </row>
    <row r="712">
      <c r="A712" s="2" t="s">
        <v>43</v>
      </c>
      <c r="B712" s="2" t="s">
        <v>59</v>
      </c>
      <c r="C712" s="149">
        <v>585.0</v>
      </c>
    </row>
    <row r="713">
      <c r="A713" s="2" t="s">
        <v>43</v>
      </c>
      <c r="B713" s="2" t="s">
        <v>44</v>
      </c>
      <c r="C713" s="149">
        <v>81.4</v>
      </c>
    </row>
    <row r="714">
      <c r="A714" s="2" t="s">
        <v>43</v>
      </c>
      <c r="B714" s="2" t="s">
        <v>2036</v>
      </c>
      <c r="C714" s="149">
        <v>747.0</v>
      </c>
    </row>
    <row r="715">
      <c r="A715" s="2" t="s">
        <v>43</v>
      </c>
      <c r="B715" s="2" t="s">
        <v>2037</v>
      </c>
      <c r="C715" s="149">
        <v>690.0</v>
      </c>
    </row>
    <row r="716">
      <c r="A716" s="2" t="s">
        <v>40</v>
      </c>
      <c r="B716" s="2" t="s">
        <v>18</v>
      </c>
      <c r="C716" s="149">
        <v>201.0</v>
      </c>
    </row>
    <row r="717">
      <c r="A717" s="2" t="s">
        <v>40</v>
      </c>
      <c r="B717" s="2" t="s">
        <v>49</v>
      </c>
      <c r="C717" s="149">
        <v>395.0</v>
      </c>
    </row>
    <row r="718">
      <c r="A718" s="2" t="s">
        <v>40</v>
      </c>
      <c r="B718" s="2" t="s">
        <v>22</v>
      </c>
      <c r="C718" s="149">
        <v>238.0</v>
      </c>
    </row>
    <row r="719">
      <c r="A719" s="2" t="s">
        <v>40</v>
      </c>
      <c r="B719" s="2" t="s">
        <v>27</v>
      </c>
      <c r="C719" s="149">
        <v>195.0</v>
      </c>
    </row>
    <row r="720">
      <c r="A720" s="2" t="s">
        <v>40</v>
      </c>
      <c r="B720" s="2" t="s">
        <v>35</v>
      </c>
      <c r="C720" s="149">
        <v>499.0</v>
      </c>
    </row>
    <row r="721">
      <c r="A721" s="2" t="s">
        <v>40</v>
      </c>
      <c r="B721" s="2" t="s">
        <v>41</v>
      </c>
      <c r="C721" s="149">
        <v>449.0</v>
      </c>
    </row>
    <row r="722">
      <c r="A722" s="2" t="s">
        <v>40</v>
      </c>
      <c r="B722" s="2" t="s">
        <v>57</v>
      </c>
      <c r="C722" s="149">
        <v>413.0</v>
      </c>
    </row>
    <row r="723">
      <c r="A723" s="2" t="s">
        <v>40</v>
      </c>
      <c r="B723" s="2" t="s">
        <v>37</v>
      </c>
      <c r="C723" s="149">
        <v>121.0</v>
      </c>
    </row>
    <row r="724">
      <c r="A724" s="2" t="s">
        <v>40</v>
      </c>
      <c r="B724" s="2" t="s">
        <v>39</v>
      </c>
      <c r="C724" s="149">
        <v>73.5</v>
      </c>
    </row>
    <row r="725">
      <c r="A725" s="2" t="s">
        <v>40</v>
      </c>
      <c r="B725" s="2" t="s">
        <v>64</v>
      </c>
      <c r="C725" s="149">
        <v>357.0</v>
      </c>
    </row>
    <row r="726">
      <c r="A726" s="2" t="s">
        <v>40</v>
      </c>
      <c r="B726" s="2" t="s">
        <v>65</v>
      </c>
      <c r="C726" s="149">
        <v>269.0</v>
      </c>
    </row>
    <row r="727">
      <c r="A727" s="2" t="s">
        <v>40</v>
      </c>
      <c r="B727" s="2" t="s">
        <v>36</v>
      </c>
      <c r="C727" s="149">
        <v>496.0</v>
      </c>
    </row>
    <row r="728">
      <c r="A728" s="2" t="s">
        <v>40</v>
      </c>
      <c r="B728" s="2" t="s">
        <v>31</v>
      </c>
      <c r="C728" s="149">
        <v>373.0</v>
      </c>
    </row>
    <row r="729">
      <c r="A729" s="2" t="s">
        <v>40</v>
      </c>
      <c r="B729" s="2" t="s">
        <v>43</v>
      </c>
      <c r="C729" s="149">
        <v>317.0</v>
      </c>
    </row>
    <row r="730">
      <c r="A730" s="2" t="s">
        <v>40</v>
      </c>
      <c r="B730" s="2" t="s">
        <v>40</v>
      </c>
      <c r="C730" s="149">
        <v>0.0</v>
      </c>
    </row>
    <row r="731">
      <c r="A731" s="2" t="s">
        <v>40</v>
      </c>
      <c r="B731" s="2" t="s">
        <v>50</v>
      </c>
      <c r="C731" s="149">
        <v>493.0</v>
      </c>
    </row>
    <row r="732">
      <c r="A732" s="2" t="s">
        <v>40</v>
      </c>
      <c r="B732" s="2" t="s">
        <v>51</v>
      </c>
      <c r="C732" s="149">
        <v>244.0</v>
      </c>
    </row>
    <row r="733">
      <c r="A733" s="2" t="s">
        <v>40</v>
      </c>
      <c r="B733" s="2" t="s">
        <v>23</v>
      </c>
      <c r="C733" s="149">
        <v>272.0</v>
      </c>
    </row>
    <row r="734">
      <c r="A734" s="2" t="s">
        <v>40</v>
      </c>
      <c r="B734" s="2" t="s">
        <v>47</v>
      </c>
      <c r="C734" s="149">
        <v>235.0</v>
      </c>
    </row>
    <row r="735">
      <c r="A735" s="2" t="s">
        <v>40</v>
      </c>
      <c r="B735" s="2" t="s">
        <v>62</v>
      </c>
      <c r="C735" s="149">
        <v>175.0</v>
      </c>
    </row>
    <row r="736">
      <c r="A736" s="2" t="s">
        <v>40</v>
      </c>
      <c r="B736" s="2" t="s">
        <v>30</v>
      </c>
      <c r="C736" s="149">
        <v>259.0</v>
      </c>
    </row>
    <row r="737">
      <c r="A737" s="2" t="s">
        <v>40</v>
      </c>
      <c r="B737" s="2" t="s">
        <v>32</v>
      </c>
      <c r="C737" s="149">
        <v>288.0</v>
      </c>
    </row>
    <row r="738">
      <c r="A738" s="2" t="s">
        <v>40</v>
      </c>
      <c r="B738" s="2" t="s">
        <v>46</v>
      </c>
      <c r="C738" s="149">
        <v>266.0</v>
      </c>
    </row>
    <row r="739">
      <c r="A739" s="2" t="s">
        <v>40</v>
      </c>
      <c r="B739" s="2" t="s">
        <v>54</v>
      </c>
      <c r="C739" s="149">
        <v>337.0</v>
      </c>
    </row>
    <row r="740">
      <c r="A740" s="2" t="s">
        <v>40</v>
      </c>
      <c r="B740" s="2" t="s">
        <v>34</v>
      </c>
      <c r="C740" s="149">
        <v>235.0</v>
      </c>
    </row>
    <row r="741">
      <c r="A741" s="2" t="s">
        <v>40</v>
      </c>
      <c r="B741" s="2" t="s">
        <v>20</v>
      </c>
      <c r="C741" s="149">
        <v>245.0</v>
      </c>
    </row>
    <row r="742">
      <c r="A742" s="2" t="s">
        <v>40</v>
      </c>
      <c r="B742" s="2" t="s">
        <v>24</v>
      </c>
      <c r="C742" s="149">
        <v>301.0</v>
      </c>
    </row>
    <row r="743">
      <c r="A743" s="2" t="s">
        <v>40</v>
      </c>
      <c r="B743" s="2" t="s">
        <v>63</v>
      </c>
      <c r="C743" s="149">
        <v>125.0</v>
      </c>
    </row>
    <row r="744">
      <c r="A744" s="2" t="s">
        <v>40</v>
      </c>
      <c r="B744" s="2" t="s">
        <v>58</v>
      </c>
      <c r="C744" s="149">
        <v>428.0</v>
      </c>
    </row>
    <row r="745">
      <c r="A745" s="2" t="s">
        <v>40</v>
      </c>
      <c r="B745" s="2" t="s">
        <v>42</v>
      </c>
      <c r="C745" s="149">
        <v>389.0</v>
      </c>
    </row>
    <row r="746">
      <c r="A746" s="2" t="s">
        <v>40</v>
      </c>
      <c r="B746" s="2" t="s">
        <v>21</v>
      </c>
      <c r="C746" s="149">
        <v>264.0</v>
      </c>
    </row>
    <row r="747">
      <c r="A747" s="2" t="s">
        <v>40</v>
      </c>
      <c r="B747" s="2" t="s">
        <v>33</v>
      </c>
      <c r="C747" s="149">
        <v>135.0</v>
      </c>
    </row>
    <row r="748">
      <c r="A748" s="2" t="s">
        <v>40</v>
      </c>
      <c r="B748" s="2" t="s">
        <v>66</v>
      </c>
      <c r="C748" s="149">
        <v>410.0</v>
      </c>
    </row>
    <row r="749">
      <c r="A749" s="2" t="s">
        <v>40</v>
      </c>
      <c r="B749" s="2" t="s">
        <v>29</v>
      </c>
      <c r="C749" s="149">
        <v>352.0</v>
      </c>
    </row>
    <row r="750">
      <c r="A750" s="2" t="s">
        <v>40</v>
      </c>
      <c r="B750" s="2" t="s">
        <v>60</v>
      </c>
      <c r="C750" s="149">
        <v>129.0</v>
      </c>
    </row>
    <row r="751">
      <c r="A751" s="2" t="s">
        <v>40</v>
      </c>
      <c r="B751" s="2" t="s">
        <v>38</v>
      </c>
      <c r="C751" s="149">
        <v>208.0</v>
      </c>
    </row>
    <row r="752">
      <c r="A752" s="2" t="s">
        <v>40</v>
      </c>
      <c r="B752" s="2" t="s">
        <v>61</v>
      </c>
      <c r="C752" s="149">
        <v>164.0</v>
      </c>
    </row>
    <row r="753">
      <c r="A753" s="2" t="s">
        <v>40</v>
      </c>
      <c r="B753" s="2" t="s">
        <v>52</v>
      </c>
      <c r="C753" s="149">
        <v>271.0</v>
      </c>
    </row>
    <row r="754">
      <c r="A754" s="2" t="s">
        <v>40</v>
      </c>
      <c r="B754" s="2" t="s">
        <v>25</v>
      </c>
      <c r="C754" s="149">
        <v>352.0</v>
      </c>
    </row>
    <row r="755">
      <c r="A755" s="2" t="s">
        <v>40</v>
      </c>
      <c r="B755" s="2" t="s">
        <v>67</v>
      </c>
      <c r="C755" s="149">
        <v>319.0</v>
      </c>
    </row>
    <row r="756">
      <c r="A756" s="2" t="s">
        <v>40</v>
      </c>
      <c r="B756" s="2" t="s">
        <v>45</v>
      </c>
      <c r="C756" s="149">
        <v>266.0</v>
      </c>
    </row>
    <row r="757">
      <c r="A757" s="2" t="s">
        <v>40</v>
      </c>
      <c r="B757" s="2" t="s">
        <v>53</v>
      </c>
      <c r="C757" s="149">
        <v>486.0</v>
      </c>
    </row>
    <row r="758">
      <c r="A758" s="2" t="s">
        <v>40</v>
      </c>
      <c r="B758" s="2" t="s">
        <v>26</v>
      </c>
      <c r="C758" s="149">
        <v>385.0</v>
      </c>
    </row>
    <row r="759">
      <c r="A759" s="2" t="s">
        <v>40</v>
      </c>
      <c r="B759" s="2" t="s">
        <v>28</v>
      </c>
      <c r="C759" s="149">
        <v>161.0</v>
      </c>
    </row>
    <row r="760">
      <c r="A760" s="2" t="s">
        <v>40</v>
      </c>
      <c r="B760" s="2" t="s">
        <v>55</v>
      </c>
      <c r="C760" s="149">
        <v>468.0</v>
      </c>
    </row>
    <row r="761">
      <c r="A761" s="2" t="s">
        <v>40</v>
      </c>
      <c r="B761" s="2" t="s">
        <v>48</v>
      </c>
      <c r="C761" s="149">
        <v>196.0</v>
      </c>
    </row>
    <row r="762">
      <c r="A762" s="2" t="s">
        <v>40</v>
      </c>
      <c r="B762" s="2" t="s">
        <v>2035</v>
      </c>
      <c r="C762" s="149">
        <v>526.0</v>
      </c>
    </row>
    <row r="763">
      <c r="A763" s="2" t="s">
        <v>40</v>
      </c>
      <c r="B763" s="2" t="s">
        <v>59</v>
      </c>
      <c r="C763" s="149">
        <v>379.0</v>
      </c>
    </row>
    <row r="764">
      <c r="A764" s="2" t="s">
        <v>40</v>
      </c>
      <c r="B764" s="2" t="s">
        <v>44</v>
      </c>
      <c r="C764" s="149">
        <v>236.0</v>
      </c>
    </row>
    <row r="765">
      <c r="A765" s="2" t="s">
        <v>40</v>
      </c>
      <c r="B765" s="2" t="s">
        <v>2036</v>
      </c>
      <c r="C765" s="149">
        <v>493.0</v>
      </c>
    </row>
    <row r="766">
      <c r="A766" s="2" t="s">
        <v>40</v>
      </c>
      <c r="B766" s="2" t="s">
        <v>2037</v>
      </c>
      <c r="C766" s="149">
        <v>426.0</v>
      </c>
    </row>
    <row r="767">
      <c r="A767" s="2" t="s">
        <v>50</v>
      </c>
      <c r="B767" s="2" t="s">
        <v>18</v>
      </c>
      <c r="C767" s="149">
        <v>560.0</v>
      </c>
    </row>
    <row r="768">
      <c r="A768" s="2" t="s">
        <v>50</v>
      </c>
      <c r="B768" s="2" t="s">
        <v>49</v>
      </c>
      <c r="C768" s="149">
        <v>338.0</v>
      </c>
    </row>
    <row r="769">
      <c r="A769" s="2" t="s">
        <v>50</v>
      </c>
      <c r="B769" s="2" t="s">
        <v>22</v>
      </c>
      <c r="C769" s="149">
        <v>248.0</v>
      </c>
    </row>
    <row r="770">
      <c r="A770" s="2" t="s">
        <v>50</v>
      </c>
      <c r="B770" s="2" t="s">
        <v>27</v>
      </c>
      <c r="C770" s="149">
        <v>624.0</v>
      </c>
    </row>
    <row r="771">
      <c r="A771" s="2" t="s">
        <v>50</v>
      </c>
      <c r="B771" s="2" t="s">
        <v>35</v>
      </c>
      <c r="C771" s="149">
        <v>858.0</v>
      </c>
    </row>
    <row r="772">
      <c r="A772" s="2" t="s">
        <v>50</v>
      </c>
      <c r="B772" s="2" t="s">
        <v>41</v>
      </c>
      <c r="C772" s="149">
        <v>808.0</v>
      </c>
    </row>
    <row r="773">
      <c r="A773" s="2" t="s">
        <v>50</v>
      </c>
      <c r="B773" s="2" t="s">
        <v>57</v>
      </c>
      <c r="C773" s="149">
        <v>847.0</v>
      </c>
    </row>
    <row r="774">
      <c r="A774" s="2" t="s">
        <v>50</v>
      </c>
      <c r="B774" s="2" t="s">
        <v>37</v>
      </c>
      <c r="C774" s="149">
        <v>550.0</v>
      </c>
    </row>
    <row r="775">
      <c r="A775" s="2" t="s">
        <v>50</v>
      </c>
      <c r="B775" s="2" t="s">
        <v>39</v>
      </c>
      <c r="C775" s="149">
        <v>508.0</v>
      </c>
    </row>
    <row r="776">
      <c r="A776" s="2" t="s">
        <v>50</v>
      </c>
      <c r="B776" s="2" t="s">
        <v>64</v>
      </c>
      <c r="C776" s="149">
        <v>716.0</v>
      </c>
    </row>
    <row r="777">
      <c r="A777" s="2" t="s">
        <v>50</v>
      </c>
      <c r="B777" s="2" t="s">
        <v>65</v>
      </c>
      <c r="C777" s="149">
        <v>629.0</v>
      </c>
    </row>
    <row r="778">
      <c r="A778" s="2" t="s">
        <v>50</v>
      </c>
      <c r="B778" s="2" t="s">
        <v>36</v>
      </c>
      <c r="C778" s="149">
        <v>855.0</v>
      </c>
    </row>
    <row r="779">
      <c r="A779" s="2" t="s">
        <v>50</v>
      </c>
      <c r="B779" s="2" t="s">
        <v>31</v>
      </c>
      <c r="C779" s="149">
        <v>865.0</v>
      </c>
    </row>
    <row r="780">
      <c r="A780" s="2" t="s">
        <v>50</v>
      </c>
      <c r="B780" s="2" t="s">
        <v>43</v>
      </c>
      <c r="C780" s="149">
        <v>676.0</v>
      </c>
    </row>
    <row r="781">
      <c r="A781" s="2" t="s">
        <v>50</v>
      </c>
      <c r="B781" s="2" t="s">
        <v>40</v>
      </c>
      <c r="C781" s="149">
        <v>493.0</v>
      </c>
    </row>
    <row r="782">
      <c r="A782" s="2" t="s">
        <v>50</v>
      </c>
      <c r="B782" s="2" t="s">
        <v>50</v>
      </c>
      <c r="C782" s="149">
        <v>0.0</v>
      </c>
    </row>
    <row r="783">
      <c r="A783" s="2" t="s">
        <v>50</v>
      </c>
      <c r="B783" s="2" t="s">
        <v>51</v>
      </c>
      <c r="C783" s="149">
        <v>653.0</v>
      </c>
    </row>
    <row r="784">
      <c r="A784" s="2" t="s">
        <v>50</v>
      </c>
      <c r="B784" s="2" t="s">
        <v>23</v>
      </c>
      <c r="C784" s="149">
        <v>230.0</v>
      </c>
    </row>
    <row r="785">
      <c r="A785" s="2" t="s">
        <v>50</v>
      </c>
      <c r="B785" s="2" t="s">
        <v>47</v>
      </c>
      <c r="C785" s="149">
        <v>594.0</v>
      </c>
    </row>
    <row r="786">
      <c r="A786" s="2" t="s">
        <v>50</v>
      </c>
      <c r="B786" s="2" t="s">
        <v>62</v>
      </c>
      <c r="C786" s="149">
        <v>535.0</v>
      </c>
    </row>
    <row r="787">
      <c r="A787" s="2" t="s">
        <v>50</v>
      </c>
      <c r="B787" s="2" t="s">
        <v>30</v>
      </c>
      <c r="C787" s="149">
        <v>741.0</v>
      </c>
    </row>
    <row r="788">
      <c r="A788" s="2" t="s">
        <v>50</v>
      </c>
      <c r="B788" s="2" t="s">
        <v>32</v>
      </c>
      <c r="C788" s="149">
        <v>770.0</v>
      </c>
    </row>
    <row r="789">
      <c r="A789" s="2" t="s">
        <v>50</v>
      </c>
      <c r="B789" s="2" t="s">
        <v>46</v>
      </c>
      <c r="C789" s="149">
        <v>625.0</v>
      </c>
    </row>
    <row r="790">
      <c r="A790" s="2" t="s">
        <v>50</v>
      </c>
      <c r="B790" s="2" t="s">
        <v>54</v>
      </c>
      <c r="C790" s="149">
        <v>157.0</v>
      </c>
    </row>
    <row r="791">
      <c r="A791" s="2" t="s">
        <v>50</v>
      </c>
      <c r="B791" s="2" t="s">
        <v>34</v>
      </c>
      <c r="C791" s="149">
        <v>445.0</v>
      </c>
    </row>
    <row r="792">
      <c r="A792" s="2" t="s">
        <v>50</v>
      </c>
      <c r="B792" s="2" t="s">
        <v>20</v>
      </c>
      <c r="C792" s="149">
        <v>276.0</v>
      </c>
    </row>
    <row r="793">
      <c r="A793" s="2" t="s">
        <v>50</v>
      </c>
      <c r="B793" s="2" t="s">
        <v>24</v>
      </c>
      <c r="C793" s="149">
        <v>710.0</v>
      </c>
    </row>
    <row r="794">
      <c r="A794" s="2" t="s">
        <v>50</v>
      </c>
      <c r="B794" s="2" t="s">
        <v>63</v>
      </c>
      <c r="C794" s="149">
        <v>607.0</v>
      </c>
    </row>
    <row r="795">
      <c r="A795" s="2" t="s">
        <v>50</v>
      </c>
      <c r="B795" s="2" t="s">
        <v>58</v>
      </c>
      <c r="C795" s="149">
        <v>838.0</v>
      </c>
    </row>
    <row r="796">
      <c r="A796" s="2" t="s">
        <v>50</v>
      </c>
      <c r="B796" s="2" t="s">
        <v>42</v>
      </c>
      <c r="C796" s="149">
        <v>749.0</v>
      </c>
    </row>
    <row r="797">
      <c r="A797" s="2" t="s">
        <v>50</v>
      </c>
      <c r="B797" s="2" t="s">
        <v>21</v>
      </c>
      <c r="C797" s="149">
        <v>238.0</v>
      </c>
    </row>
    <row r="798">
      <c r="A798" s="2" t="s">
        <v>50</v>
      </c>
      <c r="B798" s="2" t="s">
        <v>33</v>
      </c>
      <c r="C798" s="149">
        <v>372.0</v>
      </c>
    </row>
    <row r="799">
      <c r="A799" s="2" t="s">
        <v>50</v>
      </c>
      <c r="B799" s="2" t="s">
        <v>66</v>
      </c>
      <c r="C799" s="149">
        <v>786.0</v>
      </c>
    </row>
    <row r="800">
      <c r="A800" s="2" t="s">
        <v>50</v>
      </c>
      <c r="B800" s="2" t="s">
        <v>29</v>
      </c>
      <c r="C800" s="149">
        <v>541.0</v>
      </c>
    </row>
    <row r="801">
      <c r="A801" s="2" t="s">
        <v>50</v>
      </c>
      <c r="B801" s="2" t="s">
        <v>60</v>
      </c>
      <c r="C801" s="149">
        <v>381.0</v>
      </c>
    </row>
    <row r="802">
      <c r="A802" s="2" t="s">
        <v>50</v>
      </c>
      <c r="B802" s="2" t="s">
        <v>38</v>
      </c>
      <c r="C802" s="149">
        <v>613.0</v>
      </c>
    </row>
    <row r="803">
      <c r="A803" s="2" t="s">
        <v>50</v>
      </c>
      <c r="B803" s="2" t="s">
        <v>61</v>
      </c>
      <c r="C803" s="149">
        <v>516.0</v>
      </c>
    </row>
    <row r="804">
      <c r="A804" s="2" t="s">
        <v>50</v>
      </c>
      <c r="B804" s="2" t="s">
        <v>52</v>
      </c>
      <c r="C804" s="149">
        <v>680.0</v>
      </c>
    </row>
    <row r="805">
      <c r="A805" s="2" t="s">
        <v>50</v>
      </c>
      <c r="B805" s="2" t="s">
        <v>25</v>
      </c>
      <c r="C805" s="149">
        <v>761.0</v>
      </c>
    </row>
    <row r="806">
      <c r="A806" s="2" t="s">
        <v>50</v>
      </c>
      <c r="B806" s="2" t="s">
        <v>67</v>
      </c>
      <c r="C806" s="149">
        <v>724.0</v>
      </c>
    </row>
    <row r="807">
      <c r="A807" s="2" t="s">
        <v>50</v>
      </c>
      <c r="B807" s="2" t="s">
        <v>45</v>
      </c>
      <c r="C807" s="149">
        <v>625.0</v>
      </c>
    </row>
    <row r="808">
      <c r="A808" s="2" t="s">
        <v>50</v>
      </c>
      <c r="B808" s="2" t="s">
        <v>53</v>
      </c>
      <c r="C808" s="149">
        <v>909.0</v>
      </c>
    </row>
    <row r="809">
      <c r="A809" s="2" t="s">
        <v>50</v>
      </c>
      <c r="B809" s="2" t="s">
        <v>26</v>
      </c>
      <c r="C809" s="149">
        <v>794.0</v>
      </c>
    </row>
    <row r="810">
      <c r="A810" s="2" t="s">
        <v>50</v>
      </c>
      <c r="B810" s="2" t="s">
        <v>28</v>
      </c>
      <c r="C810" s="149">
        <v>566.0</v>
      </c>
    </row>
    <row r="811">
      <c r="A811" s="2" t="s">
        <v>50</v>
      </c>
      <c r="B811" s="2" t="s">
        <v>55</v>
      </c>
      <c r="C811" s="149">
        <v>40.5</v>
      </c>
    </row>
    <row r="812">
      <c r="A812" s="2" t="s">
        <v>50</v>
      </c>
      <c r="B812" s="2" t="s">
        <v>48</v>
      </c>
      <c r="C812" s="149">
        <v>634.0</v>
      </c>
    </row>
    <row r="813">
      <c r="A813" s="2" t="s">
        <v>50</v>
      </c>
      <c r="B813" s="2" t="s">
        <v>2035</v>
      </c>
      <c r="C813" s="149">
        <v>56.5</v>
      </c>
    </row>
    <row r="814">
      <c r="A814" s="2" t="s">
        <v>50</v>
      </c>
      <c r="B814" s="2" t="s">
        <v>59</v>
      </c>
      <c r="C814" s="149">
        <v>812.0</v>
      </c>
    </row>
    <row r="815">
      <c r="A815" s="2" t="s">
        <v>50</v>
      </c>
      <c r="B815" s="2" t="s">
        <v>44</v>
      </c>
      <c r="C815" s="149">
        <v>595.0</v>
      </c>
    </row>
    <row r="816">
      <c r="A816" s="2" t="s">
        <v>50</v>
      </c>
      <c r="B816" s="2" t="s">
        <v>2036</v>
      </c>
      <c r="C816" s="149">
        <v>12.7</v>
      </c>
    </row>
    <row r="817">
      <c r="A817" s="2" t="s">
        <v>50</v>
      </c>
      <c r="B817" s="2" t="s">
        <v>2037</v>
      </c>
      <c r="C817" s="149">
        <v>345.0</v>
      </c>
    </row>
    <row r="818">
      <c r="A818" s="2" t="s">
        <v>51</v>
      </c>
      <c r="B818" s="2" t="s">
        <v>18</v>
      </c>
      <c r="C818" s="149">
        <v>333.0</v>
      </c>
    </row>
    <row r="819">
      <c r="A819" s="2" t="s">
        <v>51</v>
      </c>
      <c r="B819" s="2" t="s">
        <v>49</v>
      </c>
      <c r="C819" s="149">
        <v>565.0</v>
      </c>
    </row>
    <row r="820">
      <c r="A820" s="2" t="s">
        <v>51</v>
      </c>
      <c r="B820" s="2" t="s">
        <v>22</v>
      </c>
      <c r="C820" s="149">
        <v>407.0</v>
      </c>
    </row>
    <row r="821">
      <c r="A821" s="2" t="s">
        <v>51</v>
      </c>
      <c r="B821" s="2" t="s">
        <v>27</v>
      </c>
      <c r="C821" s="149">
        <v>58.9</v>
      </c>
    </row>
    <row r="822">
      <c r="A822" s="2" t="s">
        <v>51</v>
      </c>
      <c r="B822" s="2" t="s">
        <v>35</v>
      </c>
      <c r="C822" s="149">
        <v>633.0</v>
      </c>
    </row>
    <row r="823">
      <c r="A823" s="2" t="s">
        <v>51</v>
      </c>
      <c r="B823" s="2" t="s">
        <v>41</v>
      </c>
      <c r="C823" s="149">
        <v>583.0</v>
      </c>
    </row>
    <row r="824">
      <c r="A824" s="2" t="s">
        <v>51</v>
      </c>
      <c r="B824" s="2" t="s">
        <v>57</v>
      </c>
      <c r="C824" s="149">
        <v>172.0</v>
      </c>
    </row>
    <row r="825">
      <c r="A825" s="2" t="s">
        <v>51</v>
      </c>
      <c r="B825" s="2" t="s">
        <v>37</v>
      </c>
      <c r="C825" s="149">
        <v>143.0</v>
      </c>
    </row>
    <row r="826">
      <c r="A826" s="2" t="s">
        <v>51</v>
      </c>
      <c r="B826" s="2" t="s">
        <v>39</v>
      </c>
      <c r="C826" s="149">
        <v>170.0</v>
      </c>
    </row>
    <row r="827">
      <c r="A827" s="2" t="s">
        <v>51</v>
      </c>
      <c r="B827" s="2" t="s">
        <v>64</v>
      </c>
      <c r="C827" s="149">
        <v>491.0</v>
      </c>
    </row>
    <row r="828">
      <c r="A828" s="2" t="s">
        <v>51</v>
      </c>
      <c r="B828" s="2" t="s">
        <v>65</v>
      </c>
      <c r="C828" s="149">
        <v>403.0</v>
      </c>
    </row>
    <row r="829">
      <c r="A829" s="2" t="s">
        <v>51</v>
      </c>
      <c r="B829" s="2" t="s">
        <v>36</v>
      </c>
      <c r="C829" s="149">
        <v>630.0</v>
      </c>
    </row>
    <row r="830">
      <c r="A830" s="2" t="s">
        <v>51</v>
      </c>
      <c r="B830" s="2" t="s">
        <v>31</v>
      </c>
      <c r="C830" s="149">
        <v>126.0</v>
      </c>
    </row>
    <row r="831">
      <c r="A831" s="2" t="s">
        <v>51</v>
      </c>
      <c r="B831" s="2" t="s">
        <v>43</v>
      </c>
      <c r="C831" s="149">
        <v>451.0</v>
      </c>
    </row>
    <row r="832">
      <c r="A832" s="2" t="s">
        <v>51</v>
      </c>
      <c r="B832" s="2" t="s">
        <v>40</v>
      </c>
      <c r="C832" s="149">
        <v>244.0</v>
      </c>
    </row>
    <row r="833">
      <c r="A833" s="2" t="s">
        <v>51</v>
      </c>
      <c r="B833" s="2" t="s">
        <v>50</v>
      </c>
      <c r="C833" s="149">
        <v>653.0</v>
      </c>
    </row>
    <row r="834">
      <c r="A834" s="2" t="s">
        <v>51</v>
      </c>
      <c r="B834" s="2" t="s">
        <v>51</v>
      </c>
      <c r="C834" s="149">
        <v>0.0</v>
      </c>
    </row>
    <row r="835">
      <c r="A835" s="2" t="s">
        <v>51</v>
      </c>
      <c r="B835" s="2" t="s">
        <v>23</v>
      </c>
      <c r="C835" s="149">
        <v>454.0</v>
      </c>
    </row>
    <row r="836">
      <c r="A836" s="2" t="s">
        <v>51</v>
      </c>
      <c r="B836" s="2" t="s">
        <v>47</v>
      </c>
      <c r="C836" s="149">
        <v>268.0</v>
      </c>
    </row>
    <row r="837">
      <c r="A837" s="2" t="s">
        <v>51</v>
      </c>
      <c r="B837" s="2" t="s">
        <v>62</v>
      </c>
      <c r="C837" s="149">
        <v>307.0</v>
      </c>
    </row>
    <row r="838">
      <c r="A838" s="2" t="s">
        <v>51</v>
      </c>
      <c r="B838" s="2" t="s">
        <v>30</v>
      </c>
      <c r="C838" s="149">
        <v>108.0</v>
      </c>
    </row>
    <row r="839">
      <c r="A839" s="2" t="s">
        <v>51</v>
      </c>
      <c r="B839" s="2" t="s">
        <v>32</v>
      </c>
      <c r="C839" s="149">
        <v>68.9</v>
      </c>
    </row>
    <row r="840">
      <c r="A840" s="2" t="s">
        <v>51</v>
      </c>
      <c r="B840" s="2" t="s">
        <v>46</v>
      </c>
      <c r="C840" s="149">
        <v>397.0</v>
      </c>
    </row>
    <row r="841">
      <c r="A841" s="2" t="s">
        <v>51</v>
      </c>
      <c r="B841" s="2" t="s">
        <v>54</v>
      </c>
      <c r="C841" s="149">
        <v>520.0</v>
      </c>
    </row>
    <row r="842">
      <c r="A842" s="2" t="s">
        <v>51</v>
      </c>
      <c r="B842" s="2" t="s">
        <v>34</v>
      </c>
      <c r="C842" s="149">
        <v>367.0</v>
      </c>
    </row>
    <row r="843">
      <c r="A843" s="2" t="s">
        <v>51</v>
      </c>
      <c r="B843" s="2" t="s">
        <v>20</v>
      </c>
      <c r="C843" s="149">
        <v>414.0</v>
      </c>
    </row>
    <row r="844">
      <c r="A844" s="2" t="s">
        <v>51</v>
      </c>
      <c r="B844" s="2" t="s">
        <v>24</v>
      </c>
      <c r="C844" s="149">
        <v>61.9</v>
      </c>
    </row>
    <row r="845">
      <c r="A845" s="2" t="s">
        <v>51</v>
      </c>
      <c r="B845" s="2" t="s">
        <v>63</v>
      </c>
      <c r="C845" s="149">
        <v>174.0</v>
      </c>
    </row>
    <row r="846">
      <c r="A846" s="2" t="s">
        <v>51</v>
      </c>
      <c r="B846" s="2" t="s">
        <v>58</v>
      </c>
      <c r="C846" s="149">
        <v>190.0</v>
      </c>
    </row>
    <row r="847">
      <c r="A847" s="2" t="s">
        <v>51</v>
      </c>
      <c r="B847" s="2" t="s">
        <v>42</v>
      </c>
      <c r="C847" s="149">
        <v>521.0</v>
      </c>
    </row>
    <row r="848">
      <c r="A848" s="2" t="s">
        <v>51</v>
      </c>
      <c r="B848" s="2" t="s">
        <v>21</v>
      </c>
      <c r="C848" s="149">
        <v>440.0</v>
      </c>
    </row>
    <row r="849">
      <c r="A849" s="2" t="s">
        <v>51</v>
      </c>
      <c r="B849" s="2" t="s">
        <v>33</v>
      </c>
      <c r="C849" s="149">
        <v>305.0</v>
      </c>
    </row>
    <row r="850">
      <c r="A850" s="2" t="s">
        <v>51</v>
      </c>
      <c r="B850" s="2" t="s">
        <v>66</v>
      </c>
      <c r="C850" s="149">
        <v>542.0</v>
      </c>
    </row>
    <row r="851">
      <c r="A851" s="2" t="s">
        <v>51</v>
      </c>
      <c r="B851" s="2" t="s">
        <v>29</v>
      </c>
      <c r="C851" s="149">
        <v>354.0</v>
      </c>
    </row>
    <row r="852">
      <c r="A852" s="2" t="s">
        <v>51</v>
      </c>
      <c r="B852" s="2" t="s">
        <v>60</v>
      </c>
      <c r="C852" s="149">
        <v>371.0</v>
      </c>
    </row>
    <row r="853">
      <c r="A853" s="2" t="s">
        <v>51</v>
      </c>
      <c r="B853" s="2" t="s">
        <v>38</v>
      </c>
      <c r="C853" s="149">
        <v>211.0</v>
      </c>
    </row>
    <row r="854">
      <c r="A854" s="2" t="s">
        <v>51</v>
      </c>
      <c r="B854" s="2" t="s">
        <v>61</v>
      </c>
      <c r="C854" s="149">
        <v>296.0</v>
      </c>
    </row>
    <row r="855">
      <c r="A855" s="2" t="s">
        <v>51</v>
      </c>
      <c r="B855" s="2" t="s">
        <v>52</v>
      </c>
      <c r="C855" s="150">
        <v>100000.0</v>
      </c>
    </row>
    <row r="856">
      <c r="A856" s="2" t="s">
        <v>51</v>
      </c>
      <c r="B856" s="2" t="s">
        <v>25</v>
      </c>
      <c r="C856" s="149">
        <v>113.0</v>
      </c>
    </row>
    <row r="857">
      <c r="A857" s="2" t="s">
        <v>51</v>
      </c>
      <c r="B857" s="2" t="s">
        <v>67</v>
      </c>
      <c r="C857" s="149">
        <v>132.0</v>
      </c>
    </row>
    <row r="858">
      <c r="A858" s="2" t="s">
        <v>51</v>
      </c>
      <c r="B858" s="2" t="s">
        <v>45</v>
      </c>
      <c r="C858" s="149">
        <v>397.0</v>
      </c>
    </row>
    <row r="859">
      <c r="A859" s="2" t="s">
        <v>51</v>
      </c>
      <c r="B859" s="2" t="s">
        <v>53</v>
      </c>
      <c r="C859" s="149">
        <v>261.0</v>
      </c>
    </row>
    <row r="860">
      <c r="A860" s="2" t="s">
        <v>51</v>
      </c>
      <c r="B860" s="2" t="s">
        <v>26</v>
      </c>
      <c r="C860" s="149">
        <v>146.0</v>
      </c>
    </row>
    <row r="861">
      <c r="A861" s="2" t="s">
        <v>51</v>
      </c>
      <c r="B861" s="2" t="s">
        <v>28</v>
      </c>
      <c r="C861" s="149">
        <v>90.8</v>
      </c>
    </row>
    <row r="862">
      <c r="A862" s="2" t="s">
        <v>51</v>
      </c>
      <c r="B862" s="2" t="s">
        <v>55</v>
      </c>
      <c r="C862" s="149">
        <v>651.0</v>
      </c>
    </row>
    <row r="863">
      <c r="A863" s="2" t="s">
        <v>51</v>
      </c>
      <c r="B863" s="2" t="s">
        <v>48</v>
      </c>
      <c r="C863" s="149">
        <v>245.0</v>
      </c>
    </row>
    <row r="864">
      <c r="A864" s="2" t="s">
        <v>51</v>
      </c>
      <c r="B864" s="2" t="s">
        <v>2035</v>
      </c>
      <c r="C864" s="149">
        <v>708.0</v>
      </c>
    </row>
    <row r="865">
      <c r="A865" s="2" t="s">
        <v>51</v>
      </c>
      <c r="B865" s="2" t="s">
        <v>59</v>
      </c>
      <c r="C865" s="149">
        <v>137.0</v>
      </c>
    </row>
    <row r="866">
      <c r="A866" s="2" t="s">
        <v>51</v>
      </c>
      <c r="B866" s="2" t="s">
        <v>44</v>
      </c>
      <c r="C866" s="149">
        <v>369.0</v>
      </c>
    </row>
    <row r="867">
      <c r="A867" s="2" t="s">
        <v>51</v>
      </c>
      <c r="B867" s="2" t="s">
        <v>2036</v>
      </c>
      <c r="C867" s="149">
        <v>735.0</v>
      </c>
    </row>
    <row r="868">
      <c r="A868" s="2" t="s">
        <v>51</v>
      </c>
      <c r="B868" s="2" t="s">
        <v>2037</v>
      </c>
      <c r="C868" s="149">
        <v>596.0</v>
      </c>
    </row>
    <row r="869">
      <c r="A869" s="2" t="s">
        <v>23</v>
      </c>
      <c r="B869" s="2" t="s">
        <v>18</v>
      </c>
      <c r="C869" s="149">
        <v>340.0</v>
      </c>
    </row>
    <row r="870">
      <c r="A870" s="2" t="s">
        <v>23</v>
      </c>
      <c r="B870" s="2" t="s">
        <v>49</v>
      </c>
      <c r="C870" s="149">
        <v>216.0</v>
      </c>
    </row>
    <row r="871">
      <c r="A871" s="2" t="s">
        <v>23</v>
      </c>
      <c r="B871" s="2" t="s">
        <v>22</v>
      </c>
      <c r="C871" s="149">
        <v>27.7</v>
      </c>
    </row>
    <row r="872">
      <c r="A872" s="2" t="s">
        <v>23</v>
      </c>
      <c r="B872" s="2" t="s">
        <v>27</v>
      </c>
      <c r="C872" s="149">
        <v>403.0</v>
      </c>
    </row>
    <row r="873">
      <c r="A873" s="2" t="s">
        <v>23</v>
      </c>
      <c r="B873" s="2" t="s">
        <v>35</v>
      </c>
      <c r="C873" s="149">
        <v>637.0</v>
      </c>
    </row>
    <row r="874">
      <c r="A874" s="2" t="s">
        <v>23</v>
      </c>
      <c r="B874" s="2" t="s">
        <v>41</v>
      </c>
      <c r="C874" s="149">
        <v>587.0</v>
      </c>
    </row>
    <row r="875">
      <c r="A875" s="2" t="s">
        <v>23</v>
      </c>
      <c r="B875" s="2" t="s">
        <v>57</v>
      </c>
      <c r="C875" s="149">
        <v>626.0</v>
      </c>
    </row>
    <row r="876">
      <c r="A876" s="2" t="s">
        <v>23</v>
      </c>
      <c r="B876" s="2" t="s">
        <v>37</v>
      </c>
      <c r="C876" s="149">
        <v>330.0</v>
      </c>
    </row>
    <row r="877">
      <c r="A877" s="2" t="s">
        <v>23</v>
      </c>
      <c r="B877" s="2" t="s">
        <v>39</v>
      </c>
      <c r="C877" s="149">
        <v>287.0</v>
      </c>
    </row>
    <row r="878">
      <c r="A878" s="2" t="s">
        <v>23</v>
      </c>
      <c r="B878" s="2" t="s">
        <v>64</v>
      </c>
      <c r="C878" s="149">
        <v>496.0</v>
      </c>
    </row>
    <row r="879">
      <c r="A879" s="2" t="s">
        <v>23</v>
      </c>
      <c r="B879" s="2" t="s">
        <v>65</v>
      </c>
      <c r="C879" s="149">
        <v>408.0</v>
      </c>
    </row>
    <row r="880">
      <c r="A880" s="2" t="s">
        <v>23</v>
      </c>
      <c r="B880" s="2" t="s">
        <v>36</v>
      </c>
      <c r="C880" s="149">
        <v>635.0</v>
      </c>
    </row>
    <row r="881">
      <c r="A881" s="2" t="s">
        <v>23</v>
      </c>
      <c r="B881" s="2" t="s">
        <v>31</v>
      </c>
      <c r="C881" s="149">
        <v>645.0</v>
      </c>
    </row>
    <row r="882">
      <c r="A882" s="2" t="s">
        <v>23</v>
      </c>
      <c r="B882" s="2" t="s">
        <v>43</v>
      </c>
      <c r="C882" s="149">
        <v>456.0</v>
      </c>
    </row>
    <row r="883">
      <c r="A883" s="2" t="s">
        <v>23</v>
      </c>
      <c r="B883" s="2" t="s">
        <v>40</v>
      </c>
      <c r="C883" s="149">
        <v>272.0</v>
      </c>
    </row>
    <row r="884">
      <c r="A884" s="2" t="s">
        <v>23</v>
      </c>
      <c r="B884" s="2" t="s">
        <v>50</v>
      </c>
      <c r="C884" s="149">
        <v>230.0</v>
      </c>
    </row>
    <row r="885">
      <c r="A885" s="2" t="s">
        <v>23</v>
      </c>
      <c r="B885" s="2" t="s">
        <v>51</v>
      </c>
      <c r="C885" s="149">
        <v>454.0</v>
      </c>
    </row>
    <row r="886">
      <c r="A886" s="2" t="s">
        <v>23</v>
      </c>
      <c r="B886" s="2" t="s">
        <v>23</v>
      </c>
      <c r="C886" s="149">
        <v>0.0</v>
      </c>
    </row>
    <row r="887">
      <c r="A887" s="2" t="s">
        <v>23</v>
      </c>
      <c r="B887" s="2" t="s">
        <v>47</v>
      </c>
      <c r="C887" s="149">
        <v>373.0</v>
      </c>
    </row>
    <row r="888">
      <c r="A888" s="2" t="s">
        <v>23</v>
      </c>
      <c r="B888" s="2" t="s">
        <v>62</v>
      </c>
      <c r="C888" s="149">
        <v>314.0</v>
      </c>
    </row>
    <row r="889">
      <c r="A889" s="2" t="s">
        <v>23</v>
      </c>
      <c r="B889" s="2" t="s">
        <v>30</v>
      </c>
      <c r="C889" s="149">
        <v>520.0</v>
      </c>
    </row>
    <row r="890">
      <c r="A890" s="2" t="s">
        <v>23</v>
      </c>
      <c r="B890" s="2" t="s">
        <v>32</v>
      </c>
      <c r="C890" s="149">
        <v>549.0</v>
      </c>
    </row>
    <row r="891">
      <c r="A891" s="2" t="s">
        <v>23</v>
      </c>
      <c r="B891" s="2" t="s">
        <v>46</v>
      </c>
      <c r="C891" s="149">
        <v>404.0</v>
      </c>
    </row>
    <row r="892">
      <c r="A892" s="2" t="s">
        <v>23</v>
      </c>
      <c r="B892" s="2" t="s">
        <v>54</v>
      </c>
      <c r="C892" s="149">
        <v>74.3</v>
      </c>
    </row>
    <row r="893">
      <c r="A893" s="2" t="s">
        <v>23</v>
      </c>
      <c r="B893" s="2" t="s">
        <v>34</v>
      </c>
      <c r="C893" s="149">
        <v>224.0</v>
      </c>
    </row>
    <row r="894">
      <c r="A894" s="2" t="s">
        <v>23</v>
      </c>
      <c r="B894" s="2" t="s">
        <v>20</v>
      </c>
      <c r="C894" s="149">
        <v>55.2</v>
      </c>
    </row>
    <row r="895">
      <c r="A895" s="2" t="s">
        <v>23</v>
      </c>
      <c r="B895" s="2" t="s">
        <v>24</v>
      </c>
      <c r="C895" s="149">
        <v>490.0</v>
      </c>
    </row>
    <row r="896">
      <c r="A896" s="2" t="s">
        <v>23</v>
      </c>
      <c r="B896" s="2" t="s">
        <v>63</v>
      </c>
      <c r="C896" s="149">
        <v>386.0</v>
      </c>
    </row>
    <row r="897">
      <c r="A897" s="2" t="s">
        <v>23</v>
      </c>
      <c r="B897" s="2" t="s">
        <v>58</v>
      </c>
      <c r="C897" s="149">
        <v>617.0</v>
      </c>
    </row>
    <row r="898">
      <c r="A898" s="2" t="s">
        <v>23</v>
      </c>
      <c r="B898" s="2" t="s">
        <v>42</v>
      </c>
      <c r="C898" s="149">
        <v>528.0</v>
      </c>
    </row>
    <row r="899">
      <c r="A899" s="2" t="s">
        <v>23</v>
      </c>
      <c r="B899" s="2" t="s">
        <v>21</v>
      </c>
      <c r="C899" s="149">
        <v>37.5</v>
      </c>
    </row>
    <row r="900">
      <c r="A900" s="2" t="s">
        <v>23</v>
      </c>
      <c r="B900" s="2" t="s">
        <v>33</v>
      </c>
      <c r="C900" s="149">
        <v>152.0</v>
      </c>
    </row>
    <row r="901">
      <c r="A901" s="2" t="s">
        <v>23</v>
      </c>
      <c r="B901" s="2" t="s">
        <v>66</v>
      </c>
      <c r="C901" s="149">
        <v>566.0</v>
      </c>
    </row>
    <row r="902">
      <c r="A902" s="2" t="s">
        <v>23</v>
      </c>
      <c r="B902" s="2" t="s">
        <v>29</v>
      </c>
      <c r="C902" s="149">
        <v>320.0</v>
      </c>
    </row>
    <row r="903">
      <c r="A903" s="2" t="s">
        <v>23</v>
      </c>
      <c r="B903" s="2" t="s">
        <v>60</v>
      </c>
      <c r="C903" s="149">
        <v>160.0</v>
      </c>
    </row>
    <row r="904">
      <c r="A904" s="2" t="s">
        <v>23</v>
      </c>
      <c r="B904" s="2" t="s">
        <v>38</v>
      </c>
      <c r="C904" s="149">
        <v>393.0</v>
      </c>
    </row>
    <row r="905">
      <c r="A905" s="2" t="s">
        <v>23</v>
      </c>
      <c r="B905" s="2" t="s">
        <v>61</v>
      </c>
      <c r="C905" s="149">
        <v>296.0</v>
      </c>
    </row>
    <row r="906">
      <c r="A906" s="2" t="s">
        <v>23</v>
      </c>
      <c r="B906" s="2" t="s">
        <v>52</v>
      </c>
      <c r="C906" s="149">
        <v>460.0</v>
      </c>
    </row>
    <row r="907">
      <c r="A907" s="2" t="s">
        <v>23</v>
      </c>
      <c r="B907" s="2" t="s">
        <v>25</v>
      </c>
      <c r="C907" s="149">
        <v>541.0</v>
      </c>
    </row>
    <row r="908">
      <c r="A908" s="2" t="s">
        <v>23</v>
      </c>
      <c r="B908" s="2" t="s">
        <v>67</v>
      </c>
      <c r="C908" s="149">
        <v>503.0</v>
      </c>
    </row>
    <row r="909">
      <c r="A909" s="2" t="s">
        <v>23</v>
      </c>
      <c r="B909" s="2" t="s">
        <v>45</v>
      </c>
      <c r="C909" s="149">
        <v>404.0</v>
      </c>
    </row>
    <row r="910">
      <c r="A910" s="2" t="s">
        <v>23</v>
      </c>
      <c r="B910" s="2" t="s">
        <v>53</v>
      </c>
      <c r="C910" s="149">
        <v>688.0</v>
      </c>
    </row>
    <row r="911">
      <c r="A911" s="2" t="s">
        <v>23</v>
      </c>
      <c r="B911" s="2" t="s">
        <v>26</v>
      </c>
      <c r="C911" s="149">
        <v>574.0</v>
      </c>
    </row>
    <row r="912">
      <c r="A912" s="2" t="s">
        <v>23</v>
      </c>
      <c r="B912" s="2" t="s">
        <v>28</v>
      </c>
      <c r="C912" s="149">
        <v>346.0</v>
      </c>
    </row>
    <row r="913">
      <c r="A913" s="2" t="s">
        <v>23</v>
      </c>
      <c r="B913" s="2" t="s">
        <v>55</v>
      </c>
      <c r="C913" s="149">
        <v>205.0</v>
      </c>
    </row>
    <row r="914">
      <c r="A914" s="2" t="s">
        <v>23</v>
      </c>
      <c r="B914" s="2" t="s">
        <v>48</v>
      </c>
      <c r="C914" s="149">
        <v>414.0</v>
      </c>
    </row>
    <row r="915">
      <c r="A915" s="2" t="s">
        <v>23</v>
      </c>
      <c r="B915" s="2" t="s">
        <v>2035</v>
      </c>
      <c r="C915" s="149">
        <v>263.0</v>
      </c>
    </row>
    <row r="916">
      <c r="A916" s="2" t="s">
        <v>23</v>
      </c>
      <c r="B916" s="2" t="s">
        <v>59</v>
      </c>
      <c r="C916" s="149">
        <v>592.0</v>
      </c>
    </row>
    <row r="917">
      <c r="A917" s="2" t="s">
        <v>23</v>
      </c>
      <c r="B917" s="2" t="s">
        <v>44</v>
      </c>
      <c r="C917" s="149">
        <v>374.0</v>
      </c>
    </row>
    <row r="918">
      <c r="A918" s="2" t="s">
        <v>23</v>
      </c>
      <c r="B918" s="2" t="s">
        <v>2036</v>
      </c>
      <c r="C918" s="149">
        <v>230.0</v>
      </c>
    </row>
    <row r="919">
      <c r="A919" s="2" t="s">
        <v>23</v>
      </c>
      <c r="B919" s="2" t="s">
        <v>2037</v>
      </c>
      <c r="C919" s="149">
        <v>226.0</v>
      </c>
    </row>
    <row r="920">
      <c r="A920" s="2" t="s">
        <v>47</v>
      </c>
      <c r="B920" s="2" t="s">
        <v>18</v>
      </c>
      <c r="C920" s="149">
        <v>70.9</v>
      </c>
    </row>
    <row r="921">
      <c r="A921" s="2" t="s">
        <v>47</v>
      </c>
      <c r="B921" s="2" t="s">
        <v>49</v>
      </c>
      <c r="C921" s="149">
        <v>555.0</v>
      </c>
    </row>
    <row r="922">
      <c r="A922" s="2" t="s">
        <v>47</v>
      </c>
      <c r="B922" s="2" t="s">
        <v>22</v>
      </c>
      <c r="C922" s="149">
        <v>348.0</v>
      </c>
    </row>
    <row r="923">
      <c r="A923" s="2" t="s">
        <v>47</v>
      </c>
      <c r="B923" s="2" t="s">
        <v>27</v>
      </c>
      <c r="C923" s="149">
        <v>246.0</v>
      </c>
    </row>
    <row r="924">
      <c r="A924" s="2" t="s">
        <v>47</v>
      </c>
      <c r="B924" s="2" t="s">
        <v>35</v>
      </c>
      <c r="C924" s="149">
        <v>321.0</v>
      </c>
    </row>
    <row r="925">
      <c r="A925" s="2" t="s">
        <v>47</v>
      </c>
      <c r="B925" s="2" t="s">
        <v>41</v>
      </c>
      <c r="C925" s="149">
        <v>271.0</v>
      </c>
    </row>
    <row r="926">
      <c r="A926" s="2" t="s">
        <v>47</v>
      </c>
      <c r="B926" s="2" t="s">
        <v>57</v>
      </c>
      <c r="C926" s="149">
        <v>456.0</v>
      </c>
    </row>
    <row r="927">
      <c r="A927" s="2" t="s">
        <v>47</v>
      </c>
      <c r="B927" s="2" t="s">
        <v>37</v>
      </c>
      <c r="C927" s="149">
        <v>319.0</v>
      </c>
    </row>
    <row r="928">
      <c r="A928" s="2" t="s">
        <v>47</v>
      </c>
      <c r="B928" s="2" t="s">
        <v>39</v>
      </c>
      <c r="C928" s="149">
        <v>302.0</v>
      </c>
    </row>
    <row r="929">
      <c r="A929" s="2" t="s">
        <v>47</v>
      </c>
      <c r="B929" s="2" t="s">
        <v>64</v>
      </c>
      <c r="C929" s="149">
        <v>179.0</v>
      </c>
    </row>
    <row r="930">
      <c r="A930" s="2" t="s">
        <v>47</v>
      </c>
      <c r="B930" s="2" t="s">
        <v>65</v>
      </c>
      <c r="C930" s="149">
        <v>126.0</v>
      </c>
    </row>
    <row r="931">
      <c r="A931" s="2" t="s">
        <v>47</v>
      </c>
      <c r="B931" s="2" t="s">
        <v>36</v>
      </c>
      <c r="C931" s="149">
        <v>318.0</v>
      </c>
    </row>
    <row r="932">
      <c r="A932" s="2" t="s">
        <v>47</v>
      </c>
      <c r="B932" s="2" t="s">
        <v>31</v>
      </c>
      <c r="C932" s="149">
        <v>363.0</v>
      </c>
    </row>
    <row r="933">
      <c r="A933" s="2" t="s">
        <v>47</v>
      </c>
      <c r="B933" s="2" t="s">
        <v>43</v>
      </c>
      <c r="C933" s="149">
        <v>209.0</v>
      </c>
    </row>
    <row r="934">
      <c r="A934" s="2" t="s">
        <v>47</v>
      </c>
      <c r="B934" s="2" t="s">
        <v>40</v>
      </c>
      <c r="C934" s="149">
        <v>235.0</v>
      </c>
    </row>
    <row r="935">
      <c r="A935" s="2" t="s">
        <v>47</v>
      </c>
      <c r="B935" s="2" t="s">
        <v>50</v>
      </c>
      <c r="C935" s="149">
        <v>594.0</v>
      </c>
    </row>
    <row r="936">
      <c r="A936" s="2" t="s">
        <v>47</v>
      </c>
      <c r="B936" s="2" t="s">
        <v>51</v>
      </c>
      <c r="C936" s="149">
        <v>268.0</v>
      </c>
    </row>
    <row r="937">
      <c r="A937" s="2" t="s">
        <v>47</v>
      </c>
      <c r="B937" s="2" t="s">
        <v>23</v>
      </c>
      <c r="C937" s="149">
        <v>373.0</v>
      </c>
    </row>
    <row r="938">
      <c r="A938" s="2" t="s">
        <v>47</v>
      </c>
      <c r="B938" s="2" t="s">
        <v>47</v>
      </c>
      <c r="C938" s="149">
        <v>0.0</v>
      </c>
    </row>
    <row r="939">
      <c r="A939" s="2" t="s">
        <v>47</v>
      </c>
      <c r="B939" s="2" t="s">
        <v>62</v>
      </c>
      <c r="C939" s="149">
        <v>59.7</v>
      </c>
    </row>
    <row r="940">
      <c r="A940" s="2" t="s">
        <v>47</v>
      </c>
      <c r="B940" s="2" t="s">
        <v>30</v>
      </c>
      <c r="C940" s="149">
        <v>249.0</v>
      </c>
    </row>
    <row r="941">
      <c r="A941" s="2" t="s">
        <v>47</v>
      </c>
      <c r="B941" s="2" t="s">
        <v>32</v>
      </c>
      <c r="C941" s="149">
        <v>279.0</v>
      </c>
    </row>
    <row r="942">
      <c r="A942" s="2" t="s">
        <v>47</v>
      </c>
      <c r="B942" s="2" t="s">
        <v>46</v>
      </c>
      <c r="C942" s="149">
        <v>87.6</v>
      </c>
    </row>
    <row r="943">
      <c r="A943" s="2" t="s">
        <v>47</v>
      </c>
      <c r="B943" s="2" t="s">
        <v>54</v>
      </c>
      <c r="C943" s="149">
        <v>438.0</v>
      </c>
    </row>
    <row r="944">
      <c r="A944" s="2" t="s">
        <v>47</v>
      </c>
      <c r="B944" s="2" t="s">
        <v>34</v>
      </c>
      <c r="C944" s="149">
        <v>155.0</v>
      </c>
    </row>
    <row r="945">
      <c r="A945" s="2" t="s">
        <v>47</v>
      </c>
      <c r="B945" s="2" t="s">
        <v>20</v>
      </c>
      <c r="C945" s="149">
        <v>371.0</v>
      </c>
    </row>
    <row r="946">
      <c r="A946" s="2" t="s">
        <v>47</v>
      </c>
      <c r="B946" s="2" t="s">
        <v>24</v>
      </c>
      <c r="C946" s="149">
        <v>327.0</v>
      </c>
    </row>
    <row r="947">
      <c r="A947" s="2" t="s">
        <v>47</v>
      </c>
      <c r="B947" s="2" t="s">
        <v>63</v>
      </c>
      <c r="C947" s="149">
        <v>102.0</v>
      </c>
    </row>
    <row r="948">
      <c r="A948" s="2" t="s">
        <v>47</v>
      </c>
      <c r="B948" s="2" t="s">
        <v>58</v>
      </c>
      <c r="C948" s="149">
        <v>472.0</v>
      </c>
    </row>
    <row r="949">
      <c r="A949" s="2" t="s">
        <v>47</v>
      </c>
      <c r="B949" s="2" t="s">
        <v>42</v>
      </c>
      <c r="C949" s="149">
        <v>211.0</v>
      </c>
    </row>
    <row r="950">
      <c r="A950" s="2" t="s">
        <v>47</v>
      </c>
      <c r="B950" s="2" t="s">
        <v>21</v>
      </c>
      <c r="C950" s="149">
        <v>366.0</v>
      </c>
    </row>
    <row r="951">
      <c r="A951" s="2" t="s">
        <v>47</v>
      </c>
      <c r="B951" s="2" t="s">
        <v>33</v>
      </c>
      <c r="C951" s="149">
        <v>370.0</v>
      </c>
    </row>
    <row r="952">
      <c r="A952" s="2" t="s">
        <v>47</v>
      </c>
      <c r="B952" s="2" t="s">
        <v>66</v>
      </c>
      <c r="C952" s="149">
        <v>323.0</v>
      </c>
    </row>
    <row r="953">
      <c r="A953" s="2" t="s">
        <v>47</v>
      </c>
      <c r="B953" s="2" t="s">
        <v>29</v>
      </c>
      <c r="C953" s="149">
        <v>549.0</v>
      </c>
    </row>
    <row r="954">
      <c r="A954" s="2" t="s">
        <v>47</v>
      </c>
      <c r="B954" s="2" t="s">
        <v>60</v>
      </c>
      <c r="C954" s="149">
        <v>215.0</v>
      </c>
    </row>
    <row r="955">
      <c r="A955" s="2" t="s">
        <v>47</v>
      </c>
      <c r="B955" s="2" t="s">
        <v>38</v>
      </c>
      <c r="C955" s="149">
        <v>406.0</v>
      </c>
    </row>
    <row r="956">
      <c r="A956" s="2" t="s">
        <v>47</v>
      </c>
      <c r="B956" s="2" t="s">
        <v>61</v>
      </c>
      <c r="C956" s="149">
        <v>84.1</v>
      </c>
    </row>
    <row r="957">
      <c r="A957" s="2" t="s">
        <v>47</v>
      </c>
      <c r="B957" s="2" t="s">
        <v>52</v>
      </c>
      <c r="C957" s="149">
        <v>297.0</v>
      </c>
    </row>
    <row r="958">
      <c r="A958" s="2" t="s">
        <v>47</v>
      </c>
      <c r="B958" s="2" t="s">
        <v>25</v>
      </c>
      <c r="C958" s="149">
        <v>378.0</v>
      </c>
    </row>
    <row r="959">
      <c r="A959" s="2" t="s">
        <v>47</v>
      </c>
      <c r="B959" s="2" t="s">
        <v>67</v>
      </c>
      <c r="C959" s="149">
        <v>397.0</v>
      </c>
    </row>
    <row r="960">
      <c r="A960" s="2" t="s">
        <v>47</v>
      </c>
      <c r="B960" s="2" t="s">
        <v>45</v>
      </c>
      <c r="C960" s="149">
        <v>87.6</v>
      </c>
    </row>
    <row r="961">
      <c r="A961" s="2" t="s">
        <v>47</v>
      </c>
      <c r="B961" s="2" t="s">
        <v>53</v>
      </c>
      <c r="C961" s="149">
        <v>476.0</v>
      </c>
    </row>
    <row r="962">
      <c r="A962" s="2" t="s">
        <v>47</v>
      </c>
      <c r="B962" s="2" t="s">
        <v>26</v>
      </c>
      <c r="C962" s="149">
        <v>411.0</v>
      </c>
    </row>
    <row r="963">
      <c r="A963" s="2" t="s">
        <v>47</v>
      </c>
      <c r="B963" s="2" t="s">
        <v>28</v>
      </c>
      <c r="C963" s="149">
        <v>270.0</v>
      </c>
    </row>
    <row r="964">
      <c r="A964" s="2" t="s">
        <v>47</v>
      </c>
      <c r="B964" s="2" t="s">
        <v>55</v>
      </c>
      <c r="C964" s="149">
        <v>570.0</v>
      </c>
    </row>
    <row r="965">
      <c r="A965" s="2" t="s">
        <v>47</v>
      </c>
      <c r="B965" s="2" t="s">
        <v>48</v>
      </c>
      <c r="C965" s="149">
        <v>44.6</v>
      </c>
    </row>
    <row r="966">
      <c r="A966" s="2" t="s">
        <v>47</v>
      </c>
      <c r="B966" s="2" t="s">
        <v>2035</v>
      </c>
      <c r="C966" s="149">
        <v>627.0</v>
      </c>
    </row>
    <row r="967">
      <c r="A967" s="2" t="s">
        <v>47</v>
      </c>
      <c r="B967" s="2" t="s">
        <v>59</v>
      </c>
      <c r="C967" s="149">
        <v>422.0</v>
      </c>
    </row>
    <row r="968">
      <c r="A968" s="2" t="s">
        <v>47</v>
      </c>
      <c r="B968" s="2" t="s">
        <v>44</v>
      </c>
      <c r="C968" s="149">
        <v>103.0</v>
      </c>
    </row>
    <row r="969">
      <c r="A969" s="2" t="s">
        <v>47</v>
      </c>
      <c r="B969" s="2" t="s">
        <v>2036</v>
      </c>
      <c r="C969" s="149">
        <v>595.0</v>
      </c>
    </row>
    <row r="970">
      <c r="A970" s="2" t="s">
        <v>47</v>
      </c>
      <c r="B970" s="2" t="s">
        <v>2037</v>
      </c>
      <c r="C970" s="149">
        <v>537.0</v>
      </c>
    </row>
    <row r="971">
      <c r="A971" s="2" t="s">
        <v>62</v>
      </c>
      <c r="B971" s="2" t="s">
        <v>18</v>
      </c>
      <c r="C971" s="149">
        <v>25.9</v>
      </c>
    </row>
    <row r="972">
      <c r="A972" s="2" t="s">
        <v>62</v>
      </c>
      <c r="B972" s="2" t="s">
        <v>49</v>
      </c>
      <c r="C972" s="149">
        <v>495.0</v>
      </c>
    </row>
    <row r="973">
      <c r="A973" s="2" t="s">
        <v>62</v>
      </c>
      <c r="B973" s="2" t="s">
        <v>22</v>
      </c>
      <c r="C973" s="149">
        <v>289.0</v>
      </c>
    </row>
    <row r="974">
      <c r="A974" s="2" t="s">
        <v>62</v>
      </c>
      <c r="B974" s="2" t="s">
        <v>27</v>
      </c>
      <c r="C974" s="149">
        <v>286.0</v>
      </c>
    </row>
    <row r="975">
      <c r="A975" s="2" t="s">
        <v>62</v>
      </c>
      <c r="B975" s="2" t="s">
        <v>35</v>
      </c>
      <c r="C975" s="149">
        <v>324.0</v>
      </c>
    </row>
    <row r="976">
      <c r="A976" s="2" t="s">
        <v>62</v>
      </c>
      <c r="B976" s="2" t="s">
        <v>41</v>
      </c>
      <c r="C976" s="149">
        <v>274.0</v>
      </c>
    </row>
    <row r="977">
      <c r="A977" s="2" t="s">
        <v>62</v>
      </c>
      <c r="B977" s="2" t="s">
        <v>57</v>
      </c>
      <c r="C977" s="149">
        <v>479.0</v>
      </c>
    </row>
    <row r="978">
      <c r="A978" s="2" t="s">
        <v>62</v>
      </c>
      <c r="B978" s="2" t="s">
        <v>37</v>
      </c>
      <c r="C978" s="149">
        <v>259.0</v>
      </c>
    </row>
    <row r="979">
      <c r="A979" s="2" t="s">
        <v>62</v>
      </c>
      <c r="B979" s="2" t="s">
        <v>39</v>
      </c>
      <c r="C979" s="149">
        <v>243.0</v>
      </c>
    </row>
    <row r="980">
      <c r="A980" s="2" t="s">
        <v>62</v>
      </c>
      <c r="B980" s="2" t="s">
        <v>64</v>
      </c>
      <c r="C980" s="149">
        <v>182.0</v>
      </c>
    </row>
    <row r="981">
      <c r="A981" s="2" t="s">
        <v>62</v>
      </c>
      <c r="B981" s="2" t="s">
        <v>65</v>
      </c>
      <c r="C981" s="149">
        <v>94.5</v>
      </c>
    </row>
    <row r="982">
      <c r="A982" s="2" t="s">
        <v>62</v>
      </c>
      <c r="B982" s="2" t="s">
        <v>36</v>
      </c>
      <c r="C982" s="149">
        <v>321.0</v>
      </c>
    </row>
    <row r="983">
      <c r="A983" s="2" t="s">
        <v>62</v>
      </c>
      <c r="B983" s="2" t="s">
        <v>31</v>
      </c>
      <c r="C983" s="149">
        <v>438.0</v>
      </c>
    </row>
    <row r="984">
      <c r="A984" s="2" t="s">
        <v>62</v>
      </c>
      <c r="B984" s="2" t="s">
        <v>43</v>
      </c>
      <c r="C984" s="149">
        <v>141.0</v>
      </c>
    </row>
    <row r="985">
      <c r="A985" s="2" t="s">
        <v>62</v>
      </c>
      <c r="B985" s="2" t="s">
        <v>40</v>
      </c>
      <c r="C985" s="149">
        <v>175.0</v>
      </c>
    </row>
    <row r="986">
      <c r="A986" s="2" t="s">
        <v>62</v>
      </c>
      <c r="B986" s="2" t="s">
        <v>50</v>
      </c>
      <c r="C986" s="149">
        <v>535.0</v>
      </c>
    </row>
    <row r="987">
      <c r="A987" s="2" t="s">
        <v>62</v>
      </c>
      <c r="B987" s="2" t="s">
        <v>51</v>
      </c>
      <c r="C987" s="149">
        <v>307.0</v>
      </c>
    </row>
    <row r="988">
      <c r="A988" s="2" t="s">
        <v>62</v>
      </c>
      <c r="B988" s="2" t="s">
        <v>23</v>
      </c>
      <c r="C988" s="149">
        <v>314.0</v>
      </c>
    </row>
    <row r="989">
      <c r="A989" s="2" t="s">
        <v>62</v>
      </c>
      <c r="B989" s="2" t="s">
        <v>47</v>
      </c>
      <c r="C989" s="149">
        <v>59.7</v>
      </c>
    </row>
    <row r="990">
      <c r="A990" s="2" t="s">
        <v>62</v>
      </c>
      <c r="B990" s="2" t="s">
        <v>62</v>
      </c>
      <c r="C990" s="149">
        <v>0.0</v>
      </c>
    </row>
    <row r="991">
      <c r="A991" s="2" t="s">
        <v>62</v>
      </c>
      <c r="B991" s="2" t="s">
        <v>30</v>
      </c>
      <c r="C991" s="149">
        <v>324.0</v>
      </c>
    </row>
    <row r="992">
      <c r="A992" s="2" t="s">
        <v>62</v>
      </c>
      <c r="B992" s="2" t="s">
        <v>32</v>
      </c>
      <c r="C992" s="149">
        <v>353.0</v>
      </c>
    </row>
    <row r="993">
      <c r="A993" s="2" t="s">
        <v>62</v>
      </c>
      <c r="B993" s="2" t="s">
        <v>46</v>
      </c>
      <c r="C993" s="149">
        <v>91.1</v>
      </c>
    </row>
    <row r="994">
      <c r="A994" s="2" t="s">
        <v>62</v>
      </c>
      <c r="B994" s="2" t="s">
        <v>54</v>
      </c>
      <c r="C994" s="149">
        <v>379.0</v>
      </c>
    </row>
    <row r="995">
      <c r="A995" s="2" t="s">
        <v>62</v>
      </c>
      <c r="B995" s="2" t="s">
        <v>34</v>
      </c>
      <c r="C995" s="149">
        <v>95.7</v>
      </c>
    </row>
    <row r="996">
      <c r="A996" s="2" t="s">
        <v>62</v>
      </c>
      <c r="B996" s="2" t="s">
        <v>20</v>
      </c>
      <c r="C996" s="149">
        <v>311.0</v>
      </c>
    </row>
    <row r="997">
      <c r="A997" s="2" t="s">
        <v>62</v>
      </c>
      <c r="B997" s="2" t="s">
        <v>24</v>
      </c>
      <c r="C997" s="149">
        <v>366.0</v>
      </c>
    </row>
    <row r="998">
      <c r="A998" s="2" t="s">
        <v>62</v>
      </c>
      <c r="B998" s="2" t="s">
        <v>63</v>
      </c>
      <c r="C998" s="149">
        <v>191.0</v>
      </c>
    </row>
    <row r="999">
      <c r="A999" s="2" t="s">
        <v>62</v>
      </c>
      <c r="B999" s="2" t="s">
        <v>58</v>
      </c>
      <c r="C999" s="149">
        <v>494.0</v>
      </c>
    </row>
    <row r="1000">
      <c r="A1000" s="2" t="s">
        <v>62</v>
      </c>
      <c r="B1000" s="2" t="s">
        <v>42</v>
      </c>
      <c r="C1000" s="149">
        <v>215.0</v>
      </c>
    </row>
    <row r="1001">
      <c r="A1001" s="2" t="s">
        <v>62</v>
      </c>
      <c r="B1001" s="2" t="s">
        <v>21</v>
      </c>
      <c r="C1001" s="149">
        <v>306.0</v>
      </c>
    </row>
    <row r="1002">
      <c r="A1002" s="2" t="s">
        <v>62</v>
      </c>
      <c r="B1002" s="2" t="s">
        <v>33</v>
      </c>
      <c r="C1002" s="149">
        <v>311.0</v>
      </c>
    </row>
    <row r="1003">
      <c r="A1003" s="2" t="s">
        <v>62</v>
      </c>
      <c r="B1003" s="2" t="s">
        <v>66</v>
      </c>
      <c r="C1003" s="149">
        <v>235.0</v>
      </c>
    </row>
    <row r="1004">
      <c r="A1004" s="2" t="s">
        <v>62</v>
      </c>
      <c r="B1004" s="2" t="s">
        <v>29</v>
      </c>
      <c r="C1004" s="149">
        <v>490.0</v>
      </c>
    </row>
    <row r="1005">
      <c r="A1005" s="2" t="s">
        <v>62</v>
      </c>
      <c r="B1005" s="2" t="s">
        <v>60</v>
      </c>
      <c r="C1005" s="149">
        <v>156.0</v>
      </c>
    </row>
    <row r="1006">
      <c r="A1006" s="2" t="s">
        <v>62</v>
      </c>
      <c r="B1006" s="2" t="s">
        <v>38</v>
      </c>
      <c r="C1006" s="149">
        <v>346.0</v>
      </c>
    </row>
    <row r="1007">
      <c r="A1007" s="2" t="s">
        <v>62</v>
      </c>
      <c r="B1007" s="2" t="s">
        <v>61</v>
      </c>
      <c r="C1007" s="149">
        <v>24.7</v>
      </c>
    </row>
    <row r="1008">
      <c r="A1008" s="2" t="s">
        <v>62</v>
      </c>
      <c r="B1008" s="2" t="s">
        <v>52</v>
      </c>
      <c r="C1008" s="149">
        <v>336.0</v>
      </c>
    </row>
    <row r="1009">
      <c r="A1009" s="2" t="s">
        <v>62</v>
      </c>
      <c r="B1009" s="2" t="s">
        <v>25</v>
      </c>
      <c r="C1009" s="149">
        <v>417.0</v>
      </c>
    </row>
    <row r="1010">
      <c r="A1010" s="2" t="s">
        <v>62</v>
      </c>
      <c r="B1010" s="2" t="s">
        <v>67</v>
      </c>
      <c r="C1010" s="149">
        <v>436.0</v>
      </c>
    </row>
    <row r="1011">
      <c r="A1011" s="2" t="s">
        <v>62</v>
      </c>
      <c r="B1011" s="2" t="s">
        <v>45</v>
      </c>
      <c r="C1011" s="149">
        <v>91.1</v>
      </c>
    </row>
    <row r="1012">
      <c r="A1012" s="2" t="s">
        <v>62</v>
      </c>
      <c r="B1012" s="2" t="s">
        <v>53</v>
      </c>
      <c r="C1012" s="149">
        <v>551.0</v>
      </c>
    </row>
    <row r="1013">
      <c r="A1013" s="2" t="s">
        <v>62</v>
      </c>
      <c r="B1013" s="2" t="s">
        <v>26</v>
      </c>
      <c r="C1013" s="149">
        <v>450.0</v>
      </c>
    </row>
    <row r="1014">
      <c r="A1014" s="2" t="s">
        <v>62</v>
      </c>
      <c r="B1014" s="2" t="s">
        <v>28</v>
      </c>
      <c r="C1014" s="149">
        <v>299.0</v>
      </c>
    </row>
    <row r="1015">
      <c r="A1015" s="2" t="s">
        <v>62</v>
      </c>
      <c r="B1015" s="2" t="s">
        <v>55</v>
      </c>
      <c r="C1015" s="149">
        <v>510.0</v>
      </c>
    </row>
    <row r="1016">
      <c r="A1016" s="2" t="s">
        <v>62</v>
      </c>
      <c r="B1016" s="2" t="s">
        <v>48</v>
      </c>
      <c r="C1016" s="149">
        <v>101.0</v>
      </c>
    </row>
    <row r="1017">
      <c r="A1017" s="2" t="s">
        <v>62</v>
      </c>
      <c r="B1017" s="2" t="s">
        <v>2035</v>
      </c>
      <c r="C1017" s="149">
        <v>568.0</v>
      </c>
    </row>
    <row r="1018">
      <c r="A1018" s="2" t="s">
        <v>62</v>
      </c>
      <c r="B1018" s="2" t="s">
        <v>59</v>
      </c>
      <c r="C1018" s="149">
        <v>444.0</v>
      </c>
    </row>
    <row r="1019">
      <c r="A1019" s="2" t="s">
        <v>62</v>
      </c>
      <c r="B1019" s="2" t="s">
        <v>44</v>
      </c>
      <c r="C1019" s="149">
        <v>59.4</v>
      </c>
    </row>
    <row r="1020">
      <c r="A1020" s="2" t="s">
        <v>62</v>
      </c>
      <c r="B1020" s="2" t="s">
        <v>2036</v>
      </c>
      <c r="C1020" s="149">
        <v>535.0</v>
      </c>
    </row>
    <row r="1021">
      <c r="A1021" s="2" t="s">
        <v>62</v>
      </c>
      <c r="B1021" s="2" t="s">
        <v>2037</v>
      </c>
      <c r="C1021" s="149">
        <v>478.0</v>
      </c>
    </row>
    <row r="1022">
      <c r="A1022" s="2" t="s">
        <v>30</v>
      </c>
      <c r="B1022" s="2" t="s">
        <v>18</v>
      </c>
      <c r="C1022" s="149">
        <v>350.0</v>
      </c>
    </row>
    <row r="1023">
      <c r="A1023" s="2" t="s">
        <v>30</v>
      </c>
      <c r="B1023" s="2" t="s">
        <v>49</v>
      </c>
      <c r="C1023" s="149">
        <v>652.0</v>
      </c>
    </row>
    <row r="1024">
      <c r="A1024" s="2" t="s">
        <v>30</v>
      </c>
      <c r="B1024" s="2" t="s">
        <v>22</v>
      </c>
      <c r="C1024" s="149">
        <v>495.0</v>
      </c>
    </row>
    <row r="1025">
      <c r="A1025" s="2" t="s">
        <v>30</v>
      </c>
      <c r="B1025" s="2" t="s">
        <v>27</v>
      </c>
      <c r="C1025" s="149">
        <v>162.0</v>
      </c>
    </row>
    <row r="1026">
      <c r="A1026" s="2" t="s">
        <v>30</v>
      </c>
      <c r="B1026" s="2" t="s">
        <v>35</v>
      </c>
      <c r="C1026" s="149">
        <v>555.0</v>
      </c>
    </row>
    <row r="1027">
      <c r="A1027" s="2" t="s">
        <v>30</v>
      </c>
      <c r="B1027" s="2" t="s">
        <v>41</v>
      </c>
      <c r="C1027" s="149">
        <v>505.0</v>
      </c>
    </row>
    <row r="1028">
      <c r="A1028" s="2" t="s">
        <v>30</v>
      </c>
      <c r="B1028" s="2" t="s">
        <v>57</v>
      </c>
      <c r="C1028" s="149">
        <v>227.0</v>
      </c>
    </row>
    <row r="1029">
      <c r="A1029" s="2" t="s">
        <v>30</v>
      </c>
      <c r="B1029" s="2" t="s">
        <v>37</v>
      </c>
      <c r="C1029" s="149">
        <v>343.0</v>
      </c>
    </row>
    <row r="1030">
      <c r="A1030" s="2" t="s">
        <v>30</v>
      </c>
      <c r="B1030" s="2" t="s">
        <v>39</v>
      </c>
      <c r="C1030" s="149">
        <v>326.0</v>
      </c>
    </row>
    <row r="1031">
      <c r="A1031" s="2" t="s">
        <v>30</v>
      </c>
      <c r="B1031" s="2" t="s">
        <v>64</v>
      </c>
      <c r="C1031" s="149">
        <v>413.0</v>
      </c>
    </row>
    <row r="1032">
      <c r="A1032" s="2" t="s">
        <v>30</v>
      </c>
      <c r="B1032" s="2" t="s">
        <v>65</v>
      </c>
      <c r="C1032" s="149">
        <v>361.0</v>
      </c>
    </row>
    <row r="1033">
      <c r="A1033" s="2" t="s">
        <v>30</v>
      </c>
      <c r="B1033" s="2" t="s">
        <v>36</v>
      </c>
      <c r="C1033" s="149">
        <v>552.0</v>
      </c>
    </row>
    <row r="1034">
      <c r="A1034" s="2" t="s">
        <v>30</v>
      </c>
      <c r="B1034" s="2" t="s">
        <v>31</v>
      </c>
      <c r="C1034" s="149">
        <v>133.0</v>
      </c>
    </row>
    <row r="1035">
      <c r="A1035" s="2" t="s">
        <v>30</v>
      </c>
      <c r="B1035" s="2" t="s">
        <v>43</v>
      </c>
      <c r="C1035" s="149">
        <v>443.0</v>
      </c>
    </row>
    <row r="1036">
      <c r="A1036" s="2" t="s">
        <v>30</v>
      </c>
      <c r="B1036" s="2" t="s">
        <v>40</v>
      </c>
      <c r="C1036" s="149">
        <v>259.0</v>
      </c>
    </row>
    <row r="1037">
      <c r="A1037" s="2" t="s">
        <v>30</v>
      </c>
      <c r="B1037" s="2" t="s">
        <v>50</v>
      </c>
      <c r="C1037" s="149">
        <v>741.0</v>
      </c>
    </row>
    <row r="1038">
      <c r="A1038" s="2" t="s">
        <v>30</v>
      </c>
      <c r="B1038" s="2" t="s">
        <v>51</v>
      </c>
      <c r="C1038" s="149">
        <v>108.0</v>
      </c>
    </row>
    <row r="1039">
      <c r="A1039" s="2" t="s">
        <v>30</v>
      </c>
      <c r="B1039" s="2" t="s">
        <v>23</v>
      </c>
      <c r="C1039" s="149">
        <v>520.0</v>
      </c>
    </row>
    <row r="1040">
      <c r="A1040" s="2" t="s">
        <v>30</v>
      </c>
      <c r="B1040" s="2" t="s">
        <v>47</v>
      </c>
      <c r="C1040" s="149">
        <v>249.0</v>
      </c>
    </row>
    <row r="1041">
      <c r="A1041" s="2" t="s">
        <v>30</v>
      </c>
      <c r="B1041" s="2" t="s">
        <v>62</v>
      </c>
      <c r="C1041" s="149">
        <v>324.0</v>
      </c>
    </row>
    <row r="1042">
      <c r="A1042" s="2" t="s">
        <v>30</v>
      </c>
      <c r="B1042" s="2" t="s">
        <v>30</v>
      </c>
      <c r="C1042" s="149">
        <v>0.0</v>
      </c>
    </row>
    <row r="1043">
      <c r="A1043" s="2" t="s">
        <v>30</v>
      </c>
      <c r="B1043" s="2" t="s">
        <v>32</v>
      </c>
      <c r="C1043" s="149">
        <v>48.0</v>
      </c>
    </row>
    <row r="1044">
      <c r="A1044" s="2" t="s">
        <v>30</v>
      </c>
      <c r="B1044" s="2" t="s">
        <v>46</v>
      </c>
      <c r="C1044" s="149">
        <v>322.0</v>
      </c>
    </row>
    <row r="1045">
      <c r="A1045" s="2" t="s">
        <v>30</v>
      </c>
      <c r="B1045" s="2" t="s">
        <v>54</v>
      </c>
      <c r="C1045" s="149">
        <v>596.0</v>
      </c>
    </row>
    <row r="1046">
      <c r="A1046" s="2" t="s">
        <v>30</v>
      </c>
      <c r="B1046" s="2" t="s">
        <v>34</v>
      </c>
      <c r="C1046" s="149">
        <v>384.0</v>
      </c>
    </row>
    <row r="1047">
      <c r="A1047" s="2" t="s">
        <v>30</v>
      </c>
      <c r="B1047" s="2" t="s">
        <v>20</v>
      </c>
      <c r="C1047" s="149">
        <v>504.0</v>
      </c>
    </row>
    <row r="1048">
      <c r="A1048" s="2" t="s">
        <v>30</v>
      </c>
      <c r="B1048" s="2" t="s">
        <v>24</v>
      </c>
      <c r="C1048" s="149">
        <v>239.0</v>
      </c>
    </row>
    <row r="1049">
      <c r="A1049" s="2" t="s">
        <v>30</v>
      </c>
      <c r="B1049" s="2" t="s">
        <v>63</v>
      </c>
      <c r="C1049" s="149">
        <v>152.0</v>
      </c>
    </row>
    <row r="1050">
      <c r="A1050" s="2" t="s">
        <v>30</v>
      </c>
      <c r="B1050" s="2" t="s">
        <v>58</v>
      </c>
      <c r="C1050" s="149">
        <v>242.0</v>
      </c>
    </row>
    <row r="1051">
      <c r="A1051" s="2" t="s">
        <v>30</v>
      </c>
      <c r="B1051" s="2" t="s">
        <v>42</v>
      </c>
      <c r="C1051" s="149">
        <v>446.0</v>
      </c>
    </row>
    <row r="1052">
      <c r="A1052" s="2" t="s">
        <v>30</v>
      </c>
      <c r="B1052" s="2" t="s">
        <v>21</v>
      </c>
      <c r="C1052" s="149">
        <v>523.0</v>
      </c>
    </row>
    <row r="1053">
      <c r="A1053" s="2" t="s">
        <v>30</v>
      </c>
      <c r="B1053" s="2" t="s">
        <v>33</v>
      </c>
      <c r="C1053" s="149">
        <v>394.0</v>
      </c>
    </row>
    <row r="1054">
      <c r="A1054" s="2" t="s">
        <v>30</v>
      </c>
      <c r="B1054" s="2" t="s">
        <v>66</v>
      </c>
      <c r="C1054" s="149">
        <v>559.0</v>
      </c>
    </row>
    <row r="1055">
      <c r="A1055" s="2" t="s">
        <v>30</v>
      </c>
      <c r="B1055" s="2" t="s">
        <v>29</v>
      </c>
      <c r="C1055" s="149">
        <v>573.0</v>
      </c>
    </row>
    <row r="1056">
      <c r="A1056" s="2" t="s">
        <v>30</v>
      </c>
      <c r="B1056" s="2" t="s">
        <v>60</v>
      </c>
      <c r="C1056" s="149">
        <v>388.0</v>
      </c>
    </row>
    <row r="1057">
      <c r="A1057" s="2" t="s">
        <v>30</v>
      </c>
      <c r="B1057" s="2" t="s">
        <v>38</v>
      </c>
      <c r="C1057" s="149">
        <v>430.0</v>
      </c>
    </row>
    <row r="1058">
      <c r="A1058" s="2" t="s">
        <v>30</v>
      </c>
      <c r="B1058" s="2" t="s">
        <v>61</v>
      </c>
      <c r="C1058" s="149">
        <v>313.0</v>
      </c>
    </row>
    <row r="1059">
      <c r="A1059" s="2" t="s">
        <v>30</v>
      </c>
      <c r="B1059" s="2" t="s">
        <v>52</v>
      </c>
      <c r="C1059" s="149">
        <v>75.9</v>
      </c>
    </row>
    <row r="1060">
      <c r="A1060" s="2" t="s">
        <v>30</v>
      </c>
      <c r="B1060" s="2" t="s">
        <v>25</v>
      </c>
      <c r="C1060" s="149">
        <v>195.0</v>
      </c>
    </row>
    <row r="1061">
      <c r="A1061" s="2" t="s">
        <v>30</v>
      </c>
      <c r="B1061" s="2" t="s">
        <v>67</v>
      </c>
      <c r="C1061" s="149">
        <v>228.0</v>
      </c>
    </row>
    <row r="1062">
      <c r="A1062" s="2" t="s">
        <v>30</v>
      </c>
      <c r="B1062" s="2" t="s">
        <v>45</v>
      </c>
      <c r="C1062" s="149">
        <v>322.0</v>
      </c>
    </row>
    <row r="1063">
      <c r="A1063" s="2" t="s">
        <v>30</v>
      </c>
      <c r="B1063" s="2" t="s">
        <v>53</v>
      </c>
      <c r="C1063" s="149">
        <v>246.0</v>
      </c>
    </row>
    <row r="1064">
      <c r="A1064" s="2" t="s">
        <v>30</v>
      </c>
      <c r="B1064" s="2" t="s">
        <v>26</v>
      </c>
      <c r="C1064" s="149">
        <v>230.0</v>
      </c>
    </row>
    <row r="1065">
      <c r="A1065" s="2" t="s">
        <v>30</v>
      </c>
      <c r="B1065" s="2" t="s">
        <v>28</v>
      </c>
      <c r="C1065" s="149">
        <v>196.0</v>
      </c>
    </row>
    <row r="1066">
      <c r="A1066" s="2" t="s">
        <v>30</v>
      </c>
      <c r="B1066" s="2" t="s">
        <v>55</v>
      </c>
      <c r="C1066" s="149">
        <v>727.0</v>
      </c>
    </row>
    <row r="1067">
      <c r="A1067" s="2" t="s">
        <v>30</v>
      </c>
      <c r="B1067" s="2" t="s">
        <v>48</v>
      </c>
      <c r="C1067" s="149">
        <v>226.0</v>
      </c>
    </row>
    <row r="1068">
      <c r="A1068" s="2" t="s">
        <v>30</v>
      </c>
      <c r="B1068" s="2" t="s">
        <v>2035</v>
      </c>
      <c r="C1068" s="149">
        <v>785.0</v>
      </c>
    </row>
    <row r="1069">
      <c r="A1069" s="2" t="s">
        <v>30</v>
      </c>
      <c r="B1069" s="2" t="s">
        <v>59</v>
      </c>
      <c r="C1069" s="149">
        <v>192.0</v>
      </c>
    </row>
    <row r="1070">
      <c r="A1070" s="2" t="s">
        <v>30</v>
      </c>
      <c r="B1070" s="2" t="s">
        <v>44</v>
      </c>
      <c r="C1070" s="149">
        <v>385.0</v>
      </c>
    </row>
    <row r="1071">
      <c r="A1071" s="2" t="s">
        <v>30</v>
      </c>
      <c r="B1071" s="2" t="s">
        <v>2036</v>
      </c>
      <c r="C1071" s="149">
        <v>752.0</v>
      </c>
    </row>
    <row r="1072">
      <c r="A1072" s="2" t="s">
        <v>30</v>
      </c>
      <c r="B1072" s="2" t="s">
        <v>2037</v>
      </c>
      <c r="C1072" s="149">
        <v>686.0</v>
      </c>
    </row>
    <row r="1073">
      <c r="A1073" s="2" t="s">
        <v>32</v>
      </c>
      <c r="B1073" s="2" t="s">
        <v>18</v>
      </c>
      <c r="C1073" s="149">
        <v>378.0</v>
      </c>
    </row>
    <row r="1074">
      <c r="A1074" s="2" t="s">
        <v>32</v>
      </c>
      <c r="B1074" s="2" t="s">
        <v>49</v>
      </c>
      <c r="C1074" s="149">
        <v>681.0</v>
      </c>
    </row>
    <row r="1075">
      <c r="A1075" s="2" t="s">
        <v>32</v>
      </c>
      <c r="B1075" s="2" t="s">
        <v>22</v>
      </c>
      <c r="C1075" s="149">
        <v>524.0</v>
      </c>
    </row>
    <row r="1076">
      <c r="A1076" s="2" t="s">
        <v>32</v>
      </c>
      <c r="B1076" s="2" t="s">
        <v>27</v>
      </c>
      <c r="C1076" s="149">
        <v>123.0</v>
      </c>
    </row>
    <row r="1077">
      <c r="A1077" s="2" t="s">
        <v>32</v>
      </c>
      <c r="B1077" s="2" t="s">
        <v>35</v>
      </c>
      <c r="C1077" s="149">
        <v>584.0</v>
      </c>
    </row>
    <row r="1078">
      <c r="A1078" s="2" t="s">
        <v>32</v>
      </c>
      <c r="B1078" s="2" t="s">
        <v>41</v>
      </c>
      <c r="C1078" s="149">
        <v>534.0</v>
      </c>
    </row>
    <row r="1079">
      <c r="A1079" s="2" t="s">
        <v>32</v>
      </c>
      <c r="B1079" s="2" t="s">
        <v>57</v>
      </c>
      <c r="C1079" s="149">
        <v>177.0</v>
      </c>
    </row>
    <row r="1080">
      <c r="A1080" s="2" t="s">
        <v>32</v>
      </c>
      <c r="B1080" s="2" t="s">
        <v>37</v>
      </c>
      <c r="C1080" s="149">
        <v>207.0</v>
      </c>
    </row>
    <row r="1081">
      <c r="A1081" s="2" t="s">
        <v>32</v>
      </c>
      <c r="B1081" s="2" t="s">
        <v>39</v>
      </c>
      <c r="C1081" s="149">
        <v>234.0</v>
      </c>
    </row>
    <row r="1082">
      <c r="A1082" s="2" t="s">
        <v>32</v>
      </c>
      <c r="B1082" s="2" t="s">
        <v>64</v>
      </c>
      <c r="C1082" s="149">
        <v>442.0</v>
      </c>
    </row>
    <row r="1083">
      <c r="A1083" s="2" t="s">
        <v>32</v>
      </c>
      <c r="B1083" s="2" t="s">
        <v>65</v>
      </c>
      <c r="C1083" s="149">
        <v>390.0</v>
      </c>
    </row>
    <row r="1084">
      <c r="A1084" s="2" t="s">
        <v>32</v>
      </c>
      <c r="B1084" s="2" t="s">
        <v>36</v>
      </c>
      <c r="C1084" s="149">
        <v>581.0</v>
      </c>
    </row>
    <row r="1085">
      <c r="A1085" s="2" t="s">
        <v>32</v>
      </c>
      <c r="B1085" s="2" t="s">
        <v>31</v>
      </c>
      <c r="C1085" s="149">
        <v>83.7</v>
      </c>
    </row>
    <row r="1086">
      <c r="A1086" s="2" t="s">
        <v>32</v>
      </c>
      <c r="B1086" s="2" t="s">
        <v>43</v>
      </c>
      <c r="C1086" s="149">
        <v>472.0</v>
      </c>
    </row>
    <row r="1087">
      <c r="A1087" s="2" t="s">
        <v>32</v>
      </c>
      <c r="B1087" s="2" t="s">
        <v>40</v>
      </c>
      <c r="C1087" s="149">
        <v>288.0</v>
      </c>
    </row>
    <row r="1088">
      <c r="A1088" s="2" t="s">
        <v>32</v>
      </c>
      <c r="B1088" s="2" t="s">
        <v>50</v>
      </c>
      <c r="C1088" s="149">
        <v>770.0</v>
      </c>
    </row>
    <row r="1089">
      <c r="A1089" s="2" t="s">
        <v>32</v>
      </c>
      <c r="B1089" s="2" t="s">
        <v>51</v>
      </c>
      <c r="C1089" s="149">
        <v>68.9</v>
      </c>
    </row>
    <row r="1090">
      <c r="A1090" s="2" t="s">
        <v>32</v>
      </c>
      <c r="B1090" s="2" t="s">
        <v>23</v>
      </c>
      <c r="C1090" s="149">
        <v>549.0</v>
      </c>
    </row>
    <row r="1091">
      <c r="A1091" s="2" t="s">
        <v>32</v>
      </c>
      <c r="B1091" s="2" t="s">
        <v>47</v>
      </c>
      <c r="C1091" s="149">
        <v>279.0</v>
      </c>
    </row>
    <row r="1092">
      <c r="A1092" s="2" t="s">
        <v>32</v>
      </c>
      <c r="B1092" s="2" t="s">
        <v>62</v>
      </c>
      <c r="C1092" s="149">
        <v>353.0</v>
      </c>
    </row>
    <row r="1093">
      <c r="A1093" s="2" t="s">
        <v>32</v>
      </c>
      <c r="B1093" s="2" t="s">
        <v>30</v>
      </c>
      <c r="C1093" s="149">
        <v>48.0</v>
      </c>
    </row>
    <row r="1094">
      <c r="A1094" s="2" t="s">
        <v>32</v>
      </c>
      <c r="B1094" s="2" t="s">
        <v>32</v>
      </c>
      <c r="C1094" s="149">
        <v>0.0</v>
      </c>
    </row>
    <row r="1095">
      <c r="A1095" s="2" t="s">
        <v>32</v>
      </c>
      <c r="B1095" s="2" t="s">
        <v>46</v>
      </c>
      <c r="C1095" s="149">
        <v>350.0</v>
      </c>
    </row>
    <row r="1096">
      <c r="A1096" s="2" t="s">
        <v>32</v>
      </c>
      <c r="B1096" s="2" t="s">
        <v>54</v>
      </c>
      <c r="C1096" s="149">
        <v>624.0</v>
      </c>
    </row>
    <row r="1097">
      <c r="A1097" s="2" t="s">
        <v>32</v>
      </c>
      <c r="B1097" s="2" t="s">
        <v>34</v>
      </c>
      <c r="C1097" s="149">
        <v>412.0</v>
      </c>
    </row>
    <row r="1098">
      <c r="A1098" s="2" t="s">
        <v>32</v>
      </c>
      <c r="B1098" s="2" t="s">
        <v>20</v>
      </c>
      <c r="C1098" s="149">
        <v>532.0</v>
      </c>
    </row>
    <row r="1099">
      <c r="A1099" s="2" t="s">
        <v>32</v>
      </c>
      <c r="B1099" s="2" t="s">
        <v>24</v>
      </c>
      <c r="C1099" s="149">
        <v>189.0</v>
      </c>
    </row>
    <row r="1100">
      <c r="A1100" s="2" t="s">
        <v>32</v>
      </c>
      <c r="B1100" s="2" t="s">
        <v>63</v>
      </c>
      <c r="C1100" s="149">
        <v>180.0</v>
      </c>
    </row>
    <row r="1101">
      <c r="A1101" s="2" t="s">
        <v>32</v>
      </c>
      <c r="B1101" s="2" t="s">
        <v>58</v>
      </c>
      <c r="C1101" s="149">
        <v>192.0</v>
      </c>
    </row>
    <row r="1102">
      <c r="A1102" s="2" t="s">
        <v>32</v>
      </c>
      <c r="B1102" s="2" t="s">
        <v>42</v>
      </c>
      <c r="C1102" s="149">
        <v>474.0</v>
      </c>
    </row>
    <row r="1103">
      <c r="A1103" s="2" t="s">
        <v>32</v>
      </c>
      <c r="B1103" s="2" t="s">
        <v>21</v>
      </c>
      <c r="C1103" s="149">
        <v>552.0</v>
      </c>
    </row>
    <row r="1104">
      <c r="A1104" s="2" t="s">
        <v>32</v>
      </c>
      <c r="B1104" s="2" t="s">
        <v>33</v>
      </c>
      <c r="C1104" s="149">
        <v>423.0</v>
      </c>
    </row>
    <row r="1105">
      <c r="A1105" s="2" t="s">
        <v>32</v>
      </c>
      <c r="B1105" s="2" t="s">
        <v>66</v>
      </c>
      <c r="C1105" s="149">
        <v>587.0</v>
      </c>
    </row>
    <row r="1106">
      <c r="A1106" s="2" t="s">
        <v>32</v>
      </c>
      <c r="B1106" s="2" t="s">
        <v>29</v>
      </c>
      <c r="C1106" s="149">
        <v>421.0</v>
      </c>
    </row>
    <row r="1107">
      <c r="A1107" s="2" t="s">
        <v>32</v>
      </c>
      <c r="B1107" s="2" t="s">
        <v>60</v>
      </c>
      <c r="C1107" s="149">
        <v>417.0</v>
      </c>
    </row>
    <row r="1108">
      <c r="A1108" s="2" t="s">
        <v>32</v>
      </c>
      <c r="B1108" s="2" t="s">
        <v>38</v>
      </c>
      <c r="C1108" s="149">
        <v>277.0</v>
      </c>
    </row>
    <row r="1109">
      <c r="A1109" s="2" t="s">
        <v>32</v>
      </c>
      <c r="B1109" s="2" t="s">
        <v>61</v>
      </c>
      <c r="C1109" s="149">
        <v>341.0</v>
      </c>
    </row>
    <row r="1110">
      <c r="A1110" s="2" t="s">
        <v>32</v>
      </c>
      <c r="B1110" s="2" t="s">
        <v>52</v>
      </c>
      <c r="C1110" s="149">
        <v>36.7</v>
      </c>
    </row>
    <row r="1111">
      <c r="A1111" s="2" t="s">
        <v>32</v>
      </c>
      <c r="B1111" s="2" t="s">
        <v>25</v>
      </c>
      <c r="C1111" s="149">
        <v>145.0</v>
      </c>
    </row>
    <row r="1112">
      <c r="A1112" s="2" t="s">
        <v>32</v>
      </c>
      <c r="B1112" s="2" t="s">
        <v>67</v>
      </c>
      <c r="C1112" s="149">
        <v>189.0</v>
      </c>
    </row>
    <row r="1113">
      <c r="A1113" s="2" t="s">
        <v>32</v>
      </c>
      <c r="B1113" s="2" t="s">
        <v>45</v>
      </c>
      <c r="C1113" s="149">
        <v>350.0</v>
      </c>
    </row>
    <row r="1114">
      <c r="A1114" s="2" t="s">
        <v>32</v>
      </c>
      <c r="B1114" s="2" t="s">
        <v>53</v>
      </c>
      <c r="C1114" s="149">
        <v>196.0</v>
      </c>
    </row>
    <row r="1115">
      <c r="A1115" s="2" t="s">
        <v>32</v>
      </c>
      <c r="B1115" s="2" t="s">
        <v>26</v>
      </c>
      <c r="C1115" s="149">
        <v>181.0</v>
      </c>
    </row>
    <row r="1116">
      <c r="A1116" s="2" t="s">
        <v>32</v>
      </c>
      <c r="B1116" s="2" t="s">
        <v>28</v>
      </c>
      <c r="C1116" s="149">
        <v>157.0</v>
      </c>
    </row>
    <row r="1117">
      <c r="A1117" s="2" t="s">
        <v>32</v>
      </c>
      <c r="B1117" s="2" t="s">
        <v>55</v>
      </c>
      <c r="C1117" s="149">
        <v>756.0</v>
      </c>
    </row>
    <row r="1118">
      <c r="A1118" s="2" t="s">
        <v>32</v>
      </c>
      <c r="B1118" s="2" t="s">
        <v>48</v>
      </c>
      <c r="C1118" s="149">
        <v>255.0</v>
      </c>
    </row>
    <row r="1119">
      <c r="A1119" s="2" t="s">
        <v>32</v>
      </c>
      <c r="B1119" s="2" t="s">
        <v>2035</v>
      </c>
      <c r="C1119" s="149">
        <v>813.0</v>
      </c>
    </row>
    <row r="1120">
      <c r="A1120" s="2" t="s">
        <v>32</v>
      </c>
      <c r="B1120" s="2" t="s">
        <v>59</v>
      </c>
      <c r="C1120" s="149">
        <v>143.0</v>
      </c>
    </row>
    <row r="1121">
      <c r="A1121" s="2" t="s">
        <v>32</v>
      </c>
      <c r="B1121" s="2" t="s">
        <v>44</v>
      </c>
      <c r="C1121" s="149">
        <v>414.0</v>
      </c>
    </row>
    <row r="1122">
      <c r="A1122" s="2" t="s">
        <v>32</v>
      </c>
      <c r="B1122" s="2" t="s">
        <v>2036</v>
      </c>
      <c r="C1122" s="149">
        <v>781.0</v>
      </c>
    </row>
    <row r="1123">
      <c r="A1123" s="2" t="s">
        <v>32</v>
      </c>
      <c r="B1123" s="2" t="s">
        <v>2037</v>
      </c>
      <c r="C1123" s="149">
        <v>714.0</v>
      </c>
    </row>
    <row r="1124">
      <c r="A1124" s="2" t="s">
        <v>46</v>
      </c>
      <c r="B1124" s="2" t="s">
        <v>18</v>
      </c>
      <c r="C1124" s="149">
        <v>101.0</v>
      </c>
    </row>
    <row r="1125">
      <c r="A1125" s="2" t="s">
        <v>46</v>
      </c>
      <c r="B1125" s="2" t="s">
        <v>49</v>
      </c>
      <c r="C1125" s="149">
        <v>586.0</v>
      </c>
    </row>
    <row r="1126">
      <c r="A1126" s="2" t="s">
        <v>46</v>
      </c>
      <c r="B1126" s="2" t="s">
        <v>22</v>
      </c>
      <c r="C1126" s="149">
        <v>379.0</v>
      </c>
    </row>
    <row r="1127">
      <c r="A1127" s="2" t="s">
        <v>46</v>
      </c>
      <c r="B1127" s="2" t="s">
        <v>27</v>
      </c>
      <c r="C1127" s="149">
        <v>376.0</v>
      </c>
    </row>
    <row r="1128">
      <c r="A1128" s="2" t="s">
        <v>46</v>
      </c>
      <c r="B1128" s="2" t="s">
        <v>35</v>
      </c>
      <c r="C1128" s="149">
        <v>234.0</v>
      </c>
    </row>
    <row r="1129">
      <c r="A1129" s="2" t="s">
        <v>46</v>
      </c>
      <c r="B1129" s="2" t="s">
        <v>41</v>
      </c>
      <c r="C1129" s="149">
        <v>184.0</v>
      </c>
    </row>
    <row r="1130">
      <c r="A1130" s="2" t="s">
        <v>46</v>
      </c>
      <c r="B1130" s="2" t="s">
        <v>57</v>
      </c>
      <c r="C1130" s="149">
        <v>569.0</v>
      </c>
    </row>
    <row r="1131">
      <c r="A1131" s="2" t="s">
        <v>46</v>
      </c>
      <c r="B1131" s="2" t="s">
        <v>37</v>
      </c>
      <c r="C1131" s="149">
        <v>350.0</v>
      </c>
    </row>
    <row r="1132">
      <c r="A1132" s="2" t="s">
        <v>46</v>
      </c>
      <c r="B1132" s="2" t="s">
        <v>39</v>
      </c>
      <c r="C1132" s="149">
        <v>333.0</v>
      </c>
    </row>
    <row r="1133">
      <c r="A1133" s="2" t="s">
        <v>46</v>
      </c>
      <c r="B1133" s="2" t="s">
        <v>64</v>
      </c>
      <c r="C1133" s="149">
        <v>92.3</v>
      </c>
    </row>
    <row r="1134">
      <c r="A1134" s="2" t="s">
        <v>46</v>
      </c>
      <c r="B1134" s="2" t="s">
        <v>65</v>
      </c>
      <c r="C1134" s="149">
        <v>39.9</v>
      </c>
    </row>
    <row r="1135">
      <c r="A1135" s="2" t="s">
        <v>46</v>
      </c>
      <c r="B1135" s="2" t="s">
        <v>36</v>
      </c>
      <c r="C1135" s="149">
        <v>231.0</v>
      </c>
    </row>
    <row r="1136">
      <c r="A1136" s="2" t="s">
        <v>46</v>
      </c>
      <c r="B1136" s="2" t="s">
        <v>31</v>
      </c>
      <c r="C1136" s="149">
        <v>436.0</v>
      </c>
    </row>
    <row r="1137">
      <c r="A1137" s="2" t="s">
        <v>46</v>
      </c>
      <c r="B1137" s="2" t="s">
        <v>43</v>
      </c>
      <c r="C1137" s="149">
        <v>122.0</v>
      </c>
    </row>
    <row r="1138">
      <c r="A1138" s="2" t="s">
        <v>46</v>
      </c>
      <c r="B1138" s="2" t="s">
        <v>40</v>
      </c>
      <c r="C1138" s="149">
        <v>266.0</v>
      </c>
    </row>
    <row r="1139">
      <c r="A1139" s="2" t="s">
        <v>46</v>
      </c>
      <c r="B1139" s="2" t="s">
        <v>50</v>
      </c>
      <c r="C1139" s="149">
        <v>625.0</v>
      </c>
    </row>
    <row r="1140">
      <c r="A1140" s="2" t="s">
        <v>46</v>
      </c>
      <c r="B1140" s="2" t="s">
        <v>51</v>
      </c>
      <c r="C1140" s="149">
        <v>397.0</v>
      </c>
    </row>
    <row r="1141">
      <c r="A1141" s="2" t="s">
        <v>46</v>
      </c>
      <c r="B1141" s="2" t="s">
        <v>23</v>
      </c>
      <c r="C1141" s="149">
        <v>404.0</v>
      </c>
    </row>
    <row r="1142">
      <c r="A1142" s="2" t="s">
        <v>46</v>
      </c>
      <c r="B1142" s="2" t="s">
        <v>47</v>
      </c>
      <c r="C1142" s="149">
        <v>87.6</v>
      </c>
    </row>
    <row r="1143">
      <c r="A1143" s="2" t="s">
        <v>46</v>
      </c>
      <c r="B1143" s="2" t="s">
        <v>62</v>
      </c>
      <c r="C1143" s="149">
        <v>91.1</v>
      </c>
    </row>
    <row r="1144">
      <c r="A1144" s="2" t="s">
        <v>46</v>
      </c>
      <c r="B1144" s="2" t="s">
        <v>30</v>
      </c>
      <c r="C1144" s="149">
        <v>322.0</v>
      </c>
    </row>
    <row r="1145">
      <c r="A1145" s="2" t="s">
        <v>46</v>
      </c>
      <c r="B1145" s="2" t="s">
        <v>32</v>
      </c>
      <c r="C1145" s="149">
        <v>350.0</v>
      </c>
    </row>
    <row r="1146">
      <c r="A1146" s="2" t="s">
        <v>46</v>
      </c>
      <c r="B1146" s="2" t="s">
        <v>46</v>
      </c>
      <c r="C1146" s="149">
        <v>0.0</v>
      </c>
    </row>
    <row r="1147">
      <c r="A1147" s="2" t="s">
        <v>46</v>
      </c>
      <c r="B1147" s="2" t="s">
        <v>54</v>
      </c>
      <c r="C1147" s="149">
        <v>469.0</v>
      </c>
    </row>
    <row r="1148">
      <c r="A1148" s="2" t="s">
        <v>46</v>
      </c>
      <c r="B1148" s="2" t="s">
        <v>34</v>
      </c>
      <c r="C1148" s="149">
        <v>185.0</v>
      </c>
    </row>
    <row r="1149">
      <c r="A1149" s="2" t="s">
        <v>46</v>
      </c>
      <c r="B1149" s="2" t="s">
        <v>20</v>
      </c>
      <c r="C1149" s="149">
        <v>401.0</v>
      </c>
    </row>
    <row r="1150">
      <c r="A1150" s="2" t="s">
        <v>46</v>
      </c>
      <c r="B1150" s="2" t="s">
        <v>24</v>
      </c>
      <c r="C1150" s="149">
        <v>456.0</v>
      </c>
    </row>
    <row r="1151">
      <c r="A1151" s="2" t="s">
        <v>46</v>
      </c>
      <c r="B1151" s="2" t="s">
        <v>63</v>
      </c>
      <c r="C1151" s="149">
        <v>174.0</v>
      </c>
    </row>
    <row r="1152">
      <c r="A1152" s="2" t="s">
        <v>46</v>
      </c>
      <c r="B1152" s="2" t="s">
        <v>58</v>
      </c>
      <c r="C1152" s="149">
        <v>584.0</v>
      </c>
    </row>
    <row r="1153">
      <c r="A1153" s="2" t="s">
        <v>46</v>
      </c>
      <c r="B1153" s="2" t="s">
        <v>42</v>
      </c>
      <c r="C1153" s="149">
        <v>125.0</v>
      </c>
    </row>
    <row r="1154">
      <c r="A1154" s="2" t="s">
        <v>46</v>
      </c>
      <c r="B1154" s="2" t="s">
        <v>21</v>
      </c>
      <c r="C1154" s="149">
        <v>396.0</v>
      </c>
    </row>
    <row r="1155">
      <c r="A1155" s="2" t="s">
        <v>46</v>
      </c>
      <c r="B1155" s="2" t="s">
        <v>33</v>
      </c>
      <c r="C1155" s="149">
        <v>401.0</v>
      </c>
    </row>
    <row r="1156">
      <c r="A1156" s="2" t="s">
        <v>46</v>
      </c>
      <c r="B1156" s="2" t="s">
        <v>66</v>
      </c>
      <c r="C1156" s="149">
        <v>237.0</v>
      </c>
    </row>
    <row r="1157">
      <c r="A1157" s="2" t="s">
        <v>46</v>
      </c>
      <c r="B1157" s="2" t="s">
        <v>29</v>
      </c>
      <c r="C1157" s="149">
        <v>579.0</v>
      </c>
    </row>
    <row r="1158">
      <c r="A1158" s="2" t="s">
        <v>46</v>
      </c>
      <c r="B1158" s="2" t="s">
        <v>60</v>
      </c>
      <c r="C1158" s="149">
        <v>246.0</v>
      </c>
    </row>
    <row r="1159">
      <c r="A1159" s="2" t="s">
        <v>46</v>
      </c>
      <c r="B1159" s="2" t="s">
        <v>38</v>
      </c>
      <c r="C1159" s="149">
        <v>436.0</v>
      </c>
    </row>
    <row r="1160">
      <c r="A1160" s="2" t="s">
        <v>46</v>
      </c>
      <c r="B1160" s="2" t="s">
        <v>61</v>
      </c>
      <c r="C1160" s="149">
        <v>114.0</v>
      </c>
    </row>
    <row r="1161">
      <c r="A1161" s="2" t="s">
        <v>46</v>
      </c>
      <c r="B1161" s="2" t="s">
        <v>52</v>
      </c>
      <c r="C1161" s="149">
        <v>426.0</v>
      </c>
    </row>
    <row r="1162">
      <c r="A1162" s="2" t="s">
        <v>46</v>
      </c>
      <c r="B1162" s="2" t="s">
        <v>25</v>
      </c>
      <c r="C1162" s="149">
        <v>507.0</v>
      </c>
    </row>
    <row r="1163">
      <c r="A1163" s="2" t="s">
        <v>46</v>
      </c>
      <c r="B1163" s="2" t="s">
        <v>67</v>
      </c>
      <c r="C1163" s="149">
        <v>526.0</v>
      </c>
    </row>
    <row r="1164">
      <c r="A1164" s="2" t="s">
        <v>46</v>
      </c>
      <c r="B1164" s="2" t="s">
        <v>45</v>
      </c>
      <c r="C1164" s="149">
        <v>0.0</v>
      </c>
    </row>
    <row r="1165">
      <c r="A1165" s="2" t="s">
        <v>46</v>
      </c>
      <c r="B1165" s="2" t="s">
        <v>53</v>
      </c>
      <c r="C1165" s="149">
        <v>548.0</v>
      </c>
    </row>
    <row r="1166">
      <c r="A1166" s="2" t="s">
        <v>46</v>
      </c>
      <c r="B1166" s="2" t="s">
        <v>26</v>
      </c>
      <c r="C1166" s="149">
        <v>540.0</v>
      </c>
    </row>
    <row r="1167">
      <c r="A1167" s="2" t="s">
        <v>46</v>
      </c>
      <c r="B1167" s="2" t="s">
        <v>28</v>
      </c>
      <c r="C1167" s="149">
        <v>389.0</v>
      </c>
    </row>
    <row r="1168">
      <c r="A1168" s="2" t="s">
        <v>46</v>
      </c>
      <c r="B1168" s="2" t="s">
        <v>55</v>
      </c>
      <c r="C1168" s="149">
        <v>600.0</v>
      </c>
    </row>
    <row r="1169">
      <c r="A1169" s="2" t="s">
        <v>46</v>
      </c>
      <c r="B1169" s="2" t="s">
        <v>48</v>
      </c>
      <c r="C1169" s="149">
        <v>101.0</v>
      </c>
    </row>
    <row r="1170">
      <c r="A1170" s="2" t="s">
        <v>46</v>
      </c>
      <c r="B1170" s="2" t="s">
        <v>2035</v>
      </c>
      <c r="C1170" s="149">
        <v>657.0</v>
      </c>
    </row>
    <row r="1171">
      <c r="A1171" s="2" t="s">
        <v>46</v>
      </c>
      <c r="B1171" s="2" t="s">
        <v>59</v>
      </c>
      <c r="C1171" s="149">
        <v>535.0</v>
      </c>
    </row>
    <row r="1172">
      <c r="A1172" s="2" t="s">
        <v>46</v>
      </c>
      <c r="B1172" s="2" t="s">
        <v>44</v>
      </c>
      <c r="C1172" s="149">
        <v>134.0</v>
      </c>
    </row>
    <row r="1173">
      <c r="A1173" s="2" t="s">
        <v>46</v>
      </c>
      <c r="B1173" s="2" t="s">
        <v>2036</v>
      </c>
      <c r="C1173" s="149">
        <v>625.0</v>
      </c>
    </row>
    <row r="1174">
      <c r="A1174" s="2" t="s">
        <v>46</v>
      </c>
      <c r="B1174" s="2" t="s">
        <v>2037</v>
      </c>
      <c r="C1174" s="149">
        <v>568.0</v>
      </c>
    </row>
    <row r="1175">
      <c r="A1175" s="2" t="s">
        <v>54</v>
      </c>
      <c r="B1175" s="2" t="s">
        <v>18</v>
      </c>
      <c r="C1175" s="149">
        <v>405.0</v>
      </c>
    </row>
    <row r="1176">
      <c r="A1176" s="2" t="s">
        <v>54</v>
      </c>
      <c r="B1176" s="2" t="s">
        <v>49</v>
      </c>
      <c r="C1176" s="149">
        <v>206.0</v>
      </c>
    </row>
    <row r="1177">
      <c r="A1177" s="2" t="s">
        <v>54</v>
      </c>
      <c r="B1177" s="2" t="s">
        <v>22</v>
      </c>
      <c r="C1177" s="149">
        <v>92.9</v>
      </c>
    </row>
    <row r="1178">
      <c r="A1178" s="2" t="s">
        <v>54</v>
      </c>
      <c r="B1178" s="2" t="s">
        <v>27</v>
      </c>
      <c r="C1178" s="149">
        <v>469.0</v>
      </c>
    </row>
    <row r="1179">
      <c r="A1179" s="2" t="s">
        <v>54</v>
      </c>
      <c r="B1179" s="2" t="s">
        <v>35</v>
      </c>
      <c r="C1179" s="149">
        <v>703.0</v>
      </c>
    </row>
    <row r="1180">
      <c r="A1180" s="2" t="s">
        <v>54</v>
      </c>
      <c r="B1180" s="2" t="s">
        <v>41</v>
      </c>
      <c r="C1180" s="149">
        <v>653.0</v>
      </c>
    </row>
    <row r="1181">
      <c r="A1181" s="2" t="s">
        <v>54</v>
      </c>
      <c r="B1181" s="2" t="s">
        <v>57</v>
      </c>
      <c r="C1181" s="149">
        <v>691.0</v>
      </c>
    </row>
    <row r="1182">
      <c r="A1182" s="2" t="s">
        <v>54</v>
      </c>
      <c r="B1182" s="2" t="s">
        <v>37</v>
      </c>
      <c r="C1182" s="149">
        <v>395.0</v>
      </c>
    </row>
    <row r="1183">
      <c r="A1183" s="2" t="s">
        <v>54</v>
      </c>
      <c r="B1183" s="2" t="s">
        <v>39</v>
      </c>
      <c r="C1183" s="149">
        <v>353.0</v>
      </c>
    </row>
    <row r="1184">
      <c r="A1184" s="2" t="s">
        <v>54</v>
      </c>
      <c r="B1184" s="2" t="s">
        <v>64</v>
      </c>
      <c r="C1184" s="149">
        <v>561.0</v>
      </c>
    </row>
    <row r="1185">
      <c r="A1185" s="2" t="s">
        <v>54</v>
      </c>
      <c r="B1185" s="2" t="s">
        <v>65</v>
      </c>
      <c r="C1185" s="149">
        <v>473.0</v>
      </c>
    </row>
    <row r="1186">
      <c r="A1186" s="2" t="s">
        <v>54</v>
      </c>
      <c r="B1186" s="2" t="s">
        <v>36</v>
      </c>
      <c r="C1186" s="149">
        <v>700.0</v>
      </c>
    </row>
    <row r="1187">
      <c r="A1187" s="2" t="s">
        <v>54</v>
      </c>
      <c r="B1187" s="2" t="s">
        <v>31</v>
      </c>
      <c r="C1187" s="149">
        <v>710.0</v>
      </c>
    </row>
    <row r="1188">
      <c r="A1188" s="2" t="s">
        <v>54</v>
      </c>
      <c r="B1188" s="2" t="s">
        <v>43</v>
      </c>
      <c r="C1188" s="149">
        <v>521.0</v>
      </c>
    </row>
    <row r="1189">
      <c r="A1189" s="2" t="s">
        <v>54</v>
      </c>
      <c r="B1189" s="2" t="s">
        <v>40</v>
      </c>
      <c r="C1189" s="149">
        <v>337.0</v>
      </c>
    </row>
    <row r="1190">
      <c r="A1190" s="2" t="s">
        <v>54</v>
      </c>
      <c r="B1190" s="2" t="s">
        <v>50</v>
      </c>
      <c r="C1190" s="149">
        <v>157.0</v>
      </c>
    </row>
    <row r="1191">
      <c r="A1191" s="2" t="s">
        <v>54</v>
      </c>
      <c r="B1191" s="2" t="s">
        <v>51</v>
      </c>
      <c r="C1191" s="149">
        <v>520.0</v>
      </c>
    </row>
    <row r="1192">
      <c r="A1192" s="2" t="s">
        <v>54</v>
      </c>
      <c r="B1192" s="2" t="s">
        <v>23</v>
      </c>
      <c r="C1192" s="149">
        <v>74.3</v>
      </c>
    </row>
    <row r="1193">
      <c r="A1193" s="2" t="s">
        <v>54</v>
      </c>
      <c r="B1193" s="2" t="s">
        <v>47</v>
      </c>
      <c r="C1193" s="149">
        <v>438.0</v>
      </c>
    </row>
    <row r="1194">
      <c r="A1194" s="2" t="s">
        <v>54</v>
      </c>
      <c r="B1194" s="2" t="s">
        <v>62</v>
      </c>
      <c r="C1194" s="149">
        <v>379.0</v>
      </c>
    </row>
    <row r="1195">
      <c r="A1195" s="2" t="s">
        <v>54</v>
      </c>
      <c r="B1195" s="2" t="s">
        <v>30</v>
      </c>
      <c r="C1195" s="149">
        <v>596.0</v>
      </c>
    </row>
    <row r="1196">
      <c r="A1196" s="2" t="s">
        <v>54</v>
      </c>
      <c r="B1196" s="2" t="s">
        <v>32</v>
      </c>
      <c r="C1196" s="149">
        <v>624.0</v>
      </c>
    </row>
    <row r="1197">
      <c r="A1197" s="2" t="s">
        <v>54</v>
      </c>
      <c r="B1197" s="2" t="s">
        <v>46</v>
      </c>
      <c r="C1197" s="149">
        <v>469.0</v>
      </c>
    </row>
    <row r="1198">
      <c r="A1198" s="2" t="s">
        <v>54</v>
      </c>
      <c r="B1198" s="2" t="s">
        <v>54</v>
      </c>
      <c r="C1198" s="149">
        <v>0.0</v>
      </c>
    </row>
    <row r="1199">
      <c r="A1199" s="2" t="s">
        <v>54</v>
      </c>
      <c r="B1199" s="2" t="s">
        <v>34</v>
      </c>
      <c r="C1199" s="149">
        <v>289.0</v>
      </c>
    </row>
    <row r="1200">
      <c r="A1200" s="2" t="s">
        <v>54</v>
      </c>
      <c r="B1200" s="2" t="s">
        <v>20</v>
      </c>
      <c r="C1200" s="149">
        <v>120.0</v>
      </c>
    </row>
    <row r="1201">
      <c r="A1201" s="2" t="s">
        <v>54</v>
      </c>
      <c r="B1201" s="2" t="s">
        <v>24</v>
      </c>
      <c r="C1201" s="149">
        <v>555.0</v>
      </c>
    </row>
    <row r="1202">
      <c r="A1202" s="2" t="s">
        <v>54</v>
      </c>
      <c r="B1202" s="2" t="s">
        <v>63</v>
      </c>
      <c r="C1202" s="149">
        <v>452.0</v>
      </c>
    </row>
    <row r="1203">
      <c r="A1203" s="2" t="s">
        <v>54</v>
      </c>
      <c r="B1203" s="2" t="s">
        <v>58</v>
      </c>
      <c r="C1203" s="149">
        <v>682.0</v>
      </c>
    </row>
    <row r="1204">
      <c r="A1204" s="2" t="s">
        <v>54</v>
      </c>
      <c r="B1204" s="2" t="s">
        <v>42</v>
      </c>
      <c r="C1204" s="149">
        <v>593.0</v>
      </c>
    </row>
    <row r="1205">
      <c r="A1205" s="2" t="s">
        <v>54</v>
      </c>
      <c r="B1205" s="2" t="s">
        <v>21</v>
      </c>
      <c r="C1205" s="149">
        <v>82.7</v>
      </c>
    </row>
    <row r="1206">
      <c r="A1206" s="2" t="s">
        <v>54</v>
      </c>
      <c r="B1206" s="2" t="s">
        <v>33</v>
      </c>
      <c r="C1206" s="149">
        <v>217.0</v>
      </c>
    </row>
    <row r="1207">
      <c r="A1207" s="2" t="s">
        <v>54</v>
      </c>
      <c r="B1207" s="2" t="s">
        <v>66</v>
      </c>
      <c r="C1207" s="149">
        <v>631.0</v>
      </c>
    </row>
    <row r="1208">
      <c r="A1208" s="2" t="s">
        <v>54</v>
      </c>
      <c r="B1208" s="2" t="s">
        <v>29</v>
      </c>
      <c r="C1208" s="149">
        <v>385.0</v>
      </c>
    </row>
    <row r="1209">
      <c r="A1209" s="2" t="s">
        <v>54</v>
      </c>
      <c r="B1209" s="2" t="s">
        <v>60</v>
      </c>
      <c r="C1209" s="149">
        <v>226.0</v>
      </c>
    </row>
    <row r="1210">
      <c r="A1210" s="2" t="s">
        <v>54</v>
      </c>
      <c r="B1210" s="2" t="s">
        <v>38</v>
      </c>
      <c r="C1210" s="149">
        <v>458.0</v>
      </c>
    </row>
    <row r="1211">
      <c r="A1211" s="2" t="s">
        <v>54</v>
      </c>
      <c r="B1211" s="2" t="s">
        <v>61</v>
      </c>
      <c r="C1211" s="149">
        <v>361.0</v>
      </c>
    </row>
    <row r="1212">
      <c r="A1212" s="2" t="s">
        <v>54</v>
      </c>
      <c r="B1212" s="2" t="s">
        <v>52</v>
      </c>
      <c r="C1212" s="149">
        <v>525.0</v>
      </c>
    </row>
    <row r="1213">
      <c r="A1213" s="2" t="s">
        <v>54</v>
      </c>
      <c r="B1213" s="2" t="s">
        <v>25</v>
      </c>
      <c r="C1213" s="149">
        <v>606.0</v>
      </c>
    </row>
    <row r="1214">
      <c r="A1214" s="2" t="s">
        <v>54</v>
      </c>
      <c r="B1214" s="2" t="s">
        <v>67</v>
      </c>
      <c r="C1214" s="149">
        <v>568.0</v>
      </c>
    </row>
    <row r="1215">
      <c r="A1215" s="2" t="s">
        <v>54</v>
      </c>
      <c r="B1215" s="2" t="s">
        <v>45</v>
      </c>
      <c r="C1215" s="149">
        <v>469.0</v>
      </c>
    </row>
    <row r="1216">
      <c r="A1216" s="2" t="s">
        <v>54</v>
      </c>
      <c r="B1216" s="2" t="s">
        <v>53</v>
      </c>
      <c r="C1216" s="149">
        <v>753.0</v>
      </c>
    </row>
    <row r="1217">
      <c r="A1217" s="2" t="s">
        <v>54</v>
      </c>
      <c r="B1217" s="2" t="s">
        <v>26</v>
      </c>
      <c r="C1217" s="149">
        <v>639.0</v>
      </c>
    </row>
    <row r="1218">
      <c r="A1218" s="2" t="s">
        <v>54</v>
      </c>
      <c r="B1218" s="2" t="s">
        <v>28</v>
      </c>
      <c r="C1218" s="149">
        <v>411.0</v>
      </c>
    </row>
    <row r="1219">
      <c r="A1219" s="2" t="s">
        <v>54</v>
      </c>
      <c r="B1219" s="2" t="s">
        <v>55</v>
      </c>
      <c r="C1219" s="149">
        <v>132.0</v>
      </c>
    </row>
    <row r="1220">
      <c r="A1220" s="2" t="s">
        <v>54</v>
      </c>
      <c r="B1220" s="2" t="s">
        <v>48</v>
      </c>
      <c r="C1220" s="149">
        <v>479.0</v>
      </c>
    </row>
    <row r="1221">
      <c r="A1221" s="2" t="s">
        <v>54</v>
      </c>
      <c r="B1221" s="2" t="s">
        <v>2035</v>
      </c>
      <c r="C1221" s="149">
        <v>190.0</v>
      </c>
    </row>
    <row r="1222">
      <c r="A1222" s="2" t="s">
        <v>54</v>
      </c>
      <c r="B1222" s="2" t="s">
        <v>59</v>
      </c>
      <c r="C1222" s="149">
        <v>657.0</v>
      </c>
    </row>
    <row r="1223">
      <c r="A1223" s="2" t="s">
        <v>54</v>
      </c>
      <c r="B1223" s="2" t="s">
        <v>44</v>
      </c>
      <c r="C1223" s="149">
        <v>440.0</v>
      </c>
    </row>
    <row r="1224">
      <c r="A1224" s="2" t="s">
        <v>54</v>
      </c>
      <c r="B1224" s="2" t="s">
        <v>2036</v>
      </c>
      <c r="C1224" s="149">
        <v>157.0</v>
      </c>
    </row>
    <row r="1225">
      <c r="A1225" s="2" t="s">
        <v>54</v>
      </c>
      <c r="B1225" s="2" t="s">
        <v>2037</v>
      </c>
      <c r="C1225" s="149">
        <v>212.0</v>
      </c>
    </row>
    <row r="1226">
      <c r="A1226" s="2" t="s">
        <v>34</v>
      </c>
      <c r="B1226" s="2" t="s">
        <v>18</v>
      </c>
      <c r="C1226" s="149">
        <v>121.0</v>
      </c>
    </row>
    <row r="1227">
      <c r="A1227" s="2" t="s">
        <v>34</v>
      </c>
      <c r="B1227" s="2" t="s">
        <v>49</v>
      </c>
      <c r="C1227" s="149">
        <v>406.0</v>
      </c>
    </row>
    <row r="1228">
      <c r="A1228" s="2" t="s">
        <v>34</v>
      </c>
      <c r="B1228" s="2" t="s">
        <v>22</v>
      </c>
      <c r="C1228" s="149">
        <v>199.0</v>
      </c>
    </row>
    <row r="1229">
      <c r="A1229" s="2" t="s">
        <v>34</v>
      </c>
      <c r="B1229" s="2" t="s">
        <v>27</v>
      </c>
      <c r="C1229" s="149">
        <v>345.0</v>
      </c>
    </row>
    <row r="1230">
      <c r="A1230" s="2" t="s">
        <v>34</v>
      </c>
      <c r="B1230" s="2" t="s">
        <v>35</v>
      </c>
      <c r="C1230" s="149">
        <v>419.0</v>
      </c>
    </row>
    <row r="1231">
      <c r="A1231" s="2" t="s">
        <v>34</v>
      </c>
      <c r="B1231" s="2" t="s">
        <v>41</v>
      </c>
      <c r="C1231" s="149">
        <v>369.0</v>
      </c>
    </row>
    <row r="1232">
      <c r="A1232" s="2" t="s">
        <v>34</v>
      </c>
      <c r="B1232" s="2" t="s">
        <v>57</v>
      </c>
      <c r="C1232" s="149">
        <v>538.0</v>
      </c>
    </row>
    <row r="1233">
      <c r="A1233" s="2" t="s">
        <v>34</v>
      </c>
      <c r="B1233" s="2" t="s">
        <v>37</v>
      </c>
      <c r="C1233" s="149">
        <v>319.0</v>
      </c>
    </row>
    <row r="1234">
      <c r="A1234" s="2" t="s">
        <v>34</v>
      </c>
      <c r="B1234" s="2" t="s">
        <v>39</v>
      </c>
      <c r="C1234" s="149">
        <v>302.0</v>
      </c>
    </row>
    <row r="1235">
      <c r="A1235" s="2" t="s">
        <v>34</v>
      </c>
      <c r="B1235" s="2" t="s">
        <v>64</v>
      </c>
      <c r="C1235" s="149">
        <v>277.0</v>
      </c>
    </row>
    <row r="1236">
      <c r="A1236" s="2" t="s">
        <v>34</v>
      </c>
      <c r="B1236" s="2" t="s">
        <v>65</v>
      </c>
      <c r="C1236" s="149">
        <v>190.0</v>
      </c>
    </row>
    <row r="1237">
      <c r="A1237" s="2" t="s">
        <v>34</v>
      </c>
      <c r="B1237" s="2" t="s">
        <v>36</v>
      </c>
      <c r="C1237" s="149">
        <v>416.0</v>
      </c>
    </row>
    <row r="1238">
      <c r="A1238" s="2" t="s">
        <v>34</v>
      </c>
      <c r="B1238" s="2" t="s">
        <v>31</v>
      </c>
      <c r="C1238" s="149">
        <v>498.0</v>
      </c>
    </row>
    <row r="1239">
      <c r="A1239" s="2" t="s">
        <v>34</v>
      </c>
      <c r="B1239" s="2" t="s">
        <v>43</v>
      </c>
      <c r="C1239" s="149">
        <v>238.0</v>
      </c>
    </row>
    <row r="1240">
      <c r="A1240" s="2" t="s">
        <v>34</v>
      </c>
      <c r="B1240" s="2" t="s">
        <v>40</v>
      </c>
      <c r="C1240" s="149">
        <v>235.0</v>
      </c>
    </row>
    <row r="1241">
      <c r="A1241" s="2" t="s">
        <v>34</v>
      </c>
      <c r="B1241" s="2" t="s">
        <v>50</v>
      </c>
      <c r="C1241" s="149">
        <v>445.0</v>
      </c>
    </row>
    <row r="1242">
      <c r="A1242" s="2" t="s">
        <v>34</v>
      </c>
      <c r="B1242" s="2" t="s">
        <v>51</v>
      </c>
      <c r="C1242" s="149">
        <v>367.0</v>
      </c>
    </row>
    <row r="1243">
      <c r="A1243" s="2" t="s">
        <v>34</v>
      </c>
      <c r="B1243" s="2" t="s">
        <v>23</v>
      </c>
      <c r="C1243" s="149">
        <v>224.0</v>
      </c>
    </row>
    <row r="1244">
      <c r="A1244" s="2" t="s">
        <v>34</v>
      </c>
      <c r="B1244" s="2" t="s">
        <v>47</v>
      </c>
      <c r="C1244" s="149">
        <v>155.0</v>
      </c>
    </row>
    <row r="1245">
      <c r="A1245" s="2" t="s">
        <v>34</v>
      </c>
      <c r="B1245" s="2" t="s">
        <v>62</v>
      </c>
      <c r="C1245" s="149">
        <v>95.7</v>
      </c>
    </row>
    <row r="1246">
      <c r="A1246" s="2" t="s">
        <v>34</v>
      </c>
      <c r="B1246" s="2" t="s">
        <v>30</v>
      </c>
      <c r="C1246" s="149">
        <v>384.0</v>
      </c>
    </row>
    <row r="1247">
      <c r="A1247" s="2" t="s">
        <v>34</v>
      </c>
      <c r="B1247" s="2" t="s">
        <v>32</v>
      </c>
      <c r="C1247" s="149">
        <v>412.0</v>
      </c>
    </row>
    <row r="1248">
      <c r="A1248" s="2" t="s">
        <v>34</v>
      </c>
      <c r="B1248" s="2" t="s">
        <v>46</v>
      </c>
      <c r="C1248" s="149">
        <v>185.0</v>
      </c>
    </row>
    <row r="1249">
      <c r="A1249" s="2" t="s">
        <v>34</v>
      </c>
      <c r="B1249" s="2" t="s">
        <v>54</v>
      </c>
      <c r="C1249" s="149">
        <v>289.0</v>
      </c>
    </row>
    <row r="1250">
      <c r="A1250" s="2" t="s">
        <v>34</v>
      </c>
      <c r="B1250" s="2" t="s">
        <v>34</v>
      </c>
      <c r="C1250" s="149">
        <v>0.0</v>
      </c>
    </row>
    <row r="1251">
      <c r="A1251" s="2" t="s">
        <v>34</v>
      </c>
      <c r="B1251" s="2" t="s">
        <v>20</v>
      </c>
      <c r="C1251" s="149">
        <v>222.0</v>
      </c>
    </row>
    <row r="1252">
      <c r="A1252" s="2" t="s">
        <v>34</v>
      </c>
      <c r="B1252" s="2" t="s">
        <v>24</v>
      </c>
      <c r="C1252" s="149">
        <v>426.0</v>
      </c>
    </row>
    <row r="1253">
      <c r="A1253" s="2" t="s">
        <v>34</v>
      </c>
      <c r="B1253" s="2" t="s">
        <v>63</v>
      </c>
      <c r="C1253" s="149">
        <v>251.0</v>
      </c>
    </row>
    <row r="1254">
      <c r="A1254" s="2" t="s">
        <v>34</v>
      </c>
      <c r="B1254" s="2" t="s">
        <v>58</v>
      </c>
      <c r="C1254" s="149">
        <v>554.0</v>
      </c>
    </row>
    <row r="1255">
      <c r="A1255" s="2" t="s">
        <v>34</v>
      </c>
      <c r="B1255" s="2" t="s">
        <v>42</v>
      </c>
      <c r="C1255" s="149">
        <v>310.0</v>
      </c>
    </row>
    <row r="1256">
      <c r="A1256" s="2" t="s">
        <v>34</v>
      </c>
      <c r="B1256" s="2" t="s">
        <v>21</v>
      </c>
      <c r="C1256" s="149">
        <v>217.0</v>
      </c>
    </row>
    <row r="1257">
      <c r="A1257" s="2" t="s">
        <v>34</v>
      </c>
      <c r="B1257" s="2" t="s">
        <v>33</v>
      </c>
      <c r="C1257" s="149">
        <v>218.0</v>
      </c>
    </row>
    <row r="1258">
      <c r="A1258" s="2" t="s">
        <v>34</v>
      </c>
      <c r="B1258" s="2" t="s">
        <v>66</v>
      </c>
      <c r="C1258" s="149">
        <v>354.0</v>
      </c>
    </row>
    <row r="1259">
      <c r="A1259" s="2" t="s">
        <v>34</v>
      </c>
      <c r="B1259" s="2" t="s">
        <v>29</v>
      </c>
      <c r="C1259" s="149">
        <v>550.0</v>
      </c>
    </row>
    <row r="1260">
      <c r="A1260" s="2" t="s">
        <v>34</v>
      </c>
      <c r="B1260" s="2" t="s">
        <v>60</v>
      </c>
      <c r="C1260" s="149">
        <v>66.7</v>
      </c>
    </row>
    <row r="1261">
      <c r="A1261" s="2" t="s">
        <v>34</v>
      </c>
      <c r="B1261" s="2" t="s">
        <v>38</v>
      </c>
      <c r="C1261" s="149">
        <v>406.0</v>
      </c>
    </row>
    <row r="1262">
      <c r="A1262" s="2" t="s">
        <v>34</v>
      </c>
      <c r="B1262" s="2" t="s">
        <v>61</v>
      </c>
      <c r="C1262" s="149">
        <v>77.6</v>
      </c>
    </row>
    <row r="1263">
      <c r="A1263" s="2" t="s">
        <v>34</v>
      </c>
      <c r="B1263" s="2" t="s">
        <v>52</v>
      </c>
      <c r="C1263" s="149">
        <v>396.0</v>
      </c>
    </row>
    <row r="1264">
      <c r="A1264" s="2" t="s">
        <v>34</v>
      </c>
      <c r="B1264" s="2" t="s">
        <v>25</v>
      </c>
      <c r="C1264" s="149">
        <v>477.0</v>
      </c>
    </row>
    <row r="1265">
      <c r="A1265" s="2" t="s">
        <v>34</v>
      </c>
      <c r="B1265" s="2" t="s">
        <v>67</v>
      </c>
      <c r="C1265" s="149">
        <v>496.0</v>
      </c>
    </row>
    <row r="1266">
      <c r="A1266" s="2" t="s">
        <v>34</v>
      </c>
      <c r="B1266" s="2" t="s">
        <v>45</v>
      </c>
      <c r="C1266" s="149">
        <v>186.0</v>
      </c>
    </row>
    <row r="1267">
      <c r="A1267" s="2" t="s">
        <v>34</v>
      </c>
      <c r="B1267" s="2" t="s">
        <v>53</v>
      </c>
      <c r="C1267" s="149">
        <v>611.0</v>
      </c>
    </row>
    <row r="1268">
      <c r="A1268" s="2" t="s">
        <v>34</v>
      </c>
      <c r="B1268" s="2" t="s">
        <v>26</v>
      </c>
      <c r="C1268" s="149">
        <v>510.0</v>
      </c>
    </row>
    <row r="1269">
      <c r="A1269" s="2" t="s">
        <v>34</v>
      </c>
      <c r="B1269" s="2" t="s">
        <v>28</v>
      </c>
      <c r="C1269" s="149">
        <v>359.0</v>
      </c>
    </row>
    <row r="1270">
      <c r="A1270" s="2" t="s">
        <v>34</v>
      </c>
      <c r="B1270" s="2" t="s">
        <v>55</v>
      </c>
      <c r="C1270" s="149">
        <v>421.0</v>
      </c>
    </row>
    <row r="1271">
      <c r="A1271" s="2" t="s">
        <v>34</v>
      </c>
      <c r="B1271" s="2" t="s">
        <v>48</v>
      </c>
      <c r="C1271" s="149">
        <v>196.0</v>
      </c>
    </row>
    <row r="1272">
      <c r="A1272" s="2" t="s">
        <v>34</v>
      </c>
      <c r="B1272" s="2" t="s">
        <v>2035</v>
      </c>
      <c r="C1272" s="149">
        <v>478.0</v>
      </c>
    </row>
    <row r="1273">
      <c r="A1273" s="2" t="s">
        <v>34</v>
      </c>
      <c r="B1273" s="2" t="s">
        <v>59</v>
      </c>
      <c r="C1273" s="149">
        <v>504.0</v>
      </c>
    </row>
    <row r="1274">
      <c r="A1274" s="2" t="s">
        <v>34</v>
      </c>
      <c r="B1274" s="2" t="s">
        <v>44</v>
      </c>
      <c r="C1274" s="149">
        <v>156.0</v>
      </c>
    </row>
    <row r="1275">
      <c r="A1275" s="2" t="s">
        <v>34</v>
      </c>
      <c r="B1275" s="2" t="s">
        <v>2036</v>
      </c>
      <c r="C1275" s="149">
        <v>446.0</v>
      </c>
    </row>
    <row r="1276">
      <c r="A1276" s="2" t="s">
        <v>34</v>
      </c>
      <c r="B1276" s="2" t="s">
        <v>2037</v>
      </c>
      <c r="C1276" s="149">
        <v>389.0</v>
      </c>
    </row>
    <row r="1277">
      <c r="A1277" s="2" t="s">
        <v>20</v>
      </c>
      <c r="B1277" s="2" t="s">
        <v>18</v>
      </c>
      <c r="C1277" s="149">
        <v>337.0</v>
      </c>
    </row>
    <row r="1278">
      <c r="A1278" s="2" t="s">
        <v>20</v>
      </c>
      <c r="B1278" s="2" t="s">
        <v>49</v>
      </c>
      <c r="C1278" s="149">
        <v>173.0</v>
      </c>
    </row>
    <row r="1279">
      <c r="A1279" s="2" t="s">
        <v>20</v>
      </c>
      <c r="B1279" s="2" t="s">
        <v>22</v>
      </c>
      <c r="C1279" s="149">
        <v>29.6</v>
      </c>
    </row>
    <row r="1280">
      <c r="A1280" s="2" t="s">
        <v>20</v>
      </c>
      <c r="B1280" s="2" t="s">
        <v>27</v>
      </c>
      <c r="C1280" s="149">
        <v>363.0</v>
      </c>
    </row>
    <row r="1281">
      <c r="A1281" s="2" t="s">
        <v>20</v>
      </c>
      <c r="B1281" s="2" t="s">
        <v>35</v>
      </c>
      <c r="C1281" s="149">
        <v>635.0</v>
      </c>
    </row>
    <row r="1282">
      <c r="A1282" s="2" t="s">
        <v>20</v>
      </c>
      <c r="B1282" s="2" t="s">
        <v>41</v>
      </c>
      <c r="C1282" s="149">
        <v>585.0</v>
      </c>
    </row>
    <row r="1283">
      <c r="A1283" s="2" t="s">
        <v>20</v>
      </c>
      <c r="B1283" s="2" t="s">
        <v>57</v>
      </c>
      <c r="C1283" s="149">
        <v>586.0</v>
      </c>
    </row>
    <row r="1284">
      <c r="A1284" s="2" t="s">
        <v>20</v>
      </c>
      <c r="B1284" s="2" t="s">
        <v>37</v>
      </c>
      <c r="C1284" s="149">
        <v>290.0</v>
      </c>
    </row>
    <row r="1285">
      <c r="A1285" s="2" t="s">
        <v>20</v>
      </c>
      <c r="B1285" s="2" t="s">
        <v>39</v>
      </c>
      <c r="C1285" s="149">
        <v>247.0</v>
      </c>
    </row>
    <row r="1286">
      <c r="A1286" s="2" t="s">
        <v>20</v>
      </c>
      <c r="B1286" s="2" t="s">
        <v>64</v>
      </c>
      <c r="C1286" s="149">
        <v>493.0</v>
      </c>
    </row>
    <row r="1287">
      <c r="A1287" s="2" t="s">
        <v>20</v>
      </c>
      <c r="B1287" s="2" t="s">
        <v>65</v>
      </c>
      <c r="C1287" s="149">
        <v>406.0</v>
      </c>
    </row>
    <row r="1288">
      <c r="A1288" s="2" t="s">
        <v>20</v>
      </c>
      <c r="B1288" s="2" t="s">
        <v>36</v>
      </c>
      <c r="C1288" s="149">
        <v>632.0</v>
      </c>
    </row>
    <row r="1289">
      <c r="A1289" s="2" t="s">
        <v>20</v>
      </c>
      <c r="B1289" s="2" t="s">
        <v>31</v>
      </c>
      <c r="C1289" s="149">
        <v>618.0</v>
      </c>
    </row>
    <row r="1290">
      <c r="A1290" s="2" t="s">
        <v>20</v>
      </c>
      <c r="B1290" s="2" t="s">
        <v>43</v>
      </c>
      <c r="C1290" s="149">
        <v>453.0</v>
      </c>
    </row>
    <row r="1291">
      <c r="A1291" s="2" t="s">
        <v>20</v>
      </c>
      <c r="B1291" s="2" t="s">
        <v>40</v>
      </c>
      <c r="C1291" s="149">
        <v>245.0</v>
      </c>
    </row>
    <row r="1292">
      <c r="A1292" s="2" t="s">
        <v>20</v>
      </c>
      <c r="B1292" s="2" t="s">
        <v>50</v>
      </c>
      <c r="C1292" s="149">
        <v>276.0</v>
      </c>
    </row>
    <row r="1293">
      <c r="A1293" s="2" t="s">
        <v>20</v>
      </c>
      <c r="B1293" s="2" t="s">
        <v>51</v>
      </c>
      <c r="C1293" s="149">
        <v>414.0</v>
      </c>
    </row>
    <row r="1294">
      <c r="A1294" s="2" t="s">
        <v>20</v>
      </c>
      <c r="B1294" s="2" t="s">
        <v>23</v>
      </c>
      <c r="C1294" s="149">
        <v>55.2</v>
      </c>
    </row>
    <row r="1295">
      <c r="A1295" s="2" t="s">
        <v>20</v>
      </c>
      <c r="B1295" s="2" t="s">
        <v>47</v>
      </c>
      <c r="C1295" s="149">
        <v>371.0</v>
      </c>
    </row>
    <row r="1296">
      <c r="A1296" s="2" t="s">
        <v>20</v>
      </c>
      <c r="B1296" s="2" t="s">
        <v>62</v>
      </c>
      <c r="C1296" s="149">
        <v>311.0</v>
      </c>
    </row>
    <row r="1297">
      <c r="A1297" s="2" t="s">
        <v>20</v>
      </c>
      <c r="B1297" s="2" t="s">
        <v>30</v>
      </c>
      <c r="C1297" s="149">
        <v>504.0</v>
      </c>
    </row>
    <row r="1298">
      <c r="A1298" s="2" t="s">
        <v>20</v>
      </c>
      <c r="B1298" s="2" t="s">
        <v>32</v>
      </c>
      <c r="C1298" s="149">
        <v>532.0</v>
      </c>
    </row>
    <row r="1299">
      <c r="A1299" s="2" t="s">
        <v>20</v>
      </c>
      <c r="B1299" s="2" t="s">
        <v>46</v>
      </c>
      <c r="C1299" s="149">
        <v>401.0</v>
      </c>
    </row>
    <row r="1300">
      <c r="A1300" s="2" t="s">
        <v>20</v>
      </c>
      <c r="B1300" s="2" t="s">
        <v>54</v>
      </c>
      <c r="C1300" s="149">
        <v>120.0</v>
      </c>
    </row>
    <row r="1301">
      <c r="A1301" s="2" t="s">
        <v>20</v>
      </c>
      <c r="B1301" s="2" t="s">
        <v>34</v>
      </c>
      <c r="C1301" s="149">
        <v>222.0</v>
      </c>
    </row>
    <row r="1302">
      <c r="A1302" s="2" t="s">
        <v>20</v>
      </c>
      <c r="B1302" s="2" t="s">
        <v>20</v>
      </c>
      <c r="C1302" s="149">
        <v>0.0</v>
      </c>
    </row>
    <row r="1303">
      <c r="A1303" s="2" t="s">
        <v>20</v>
      </c>
      <c r="B1303" s="2" t="s">
        <v>24</v>
      </c>
      <c r="C1303" s="149">
        <v>449.0</v>
      </c>
    </row>
    <row r="1304">
      <c r="A1304" s="2" t="s">
        <v>20</v>
      </c>
      <c r="B1304" s="2" t="s">
        <v>63</v>
      </c>
      <c r="C1304" s="149">
        <v>346.0</v>
      </c>
    </row>
    <row r="1305">
      <c r="A1305" s="2" t="s">
        <v>20</v>
      </c>
      <c r="B1305" s="2" t="s">
        <v>58</v>
      </c>
      <c r="C1305" s="149">
        <v>577.0</v>
      </c>
    </row>
    <row r="1306">
      <c r="A1306" s="2" t="s">
        <v>20</v>
      </c>
      <c r="B1306" s="2" t="s">
        <v>42</v>
      </c>
      <c r="C1306" s="149">
        <v>526.0</v>
      </c>
    </row>
    <row r="1307">
      <c r="A1307" s="2" t="s">
        <v>20</v>
      </c>
      <c r="B1307" s="2" t="s">
        <v>21</v>
      </c>
      <c r="C1307" s="149">
        <v>30.1</v>
      </c>
    </row>
    <row r="1308">
      <c r="A1308" s="2" t="s">
        <v>20</v>
      </c>
      <c r="B1308" s="2" t="s">
        <v>33</v>
      </c>
      <c r="C1308" s="149">
        <v>112.0</v>
      </c>
    </row>
    <row r="1309">
      <c r="A1309" s="2" t="s">
        <v>20</v>
      </c>
      <c r="B1309" s="2" t="s">
        <v>66</v>
      </c>
      <c r="C1309" s="149">
        <v>563.0</v>
      </c>
    </row>
    <row r="1310">
      <c r="A1310" s="2" t="s">
        <v>20</v>
      </c>
      <c r="B1310" s="2" t="s">
        <v>29</v>
      </c>
      <c r="C1310" s="149">
        <v>265.0</v>
      </c>
    </row>
    <row r="1311">
      <c r="A1311" s="2" t="s">
        <v>20</v>
      </c>
      <c r="B1311" s="2" t="s">
        <v>60</v>
      </c>
      <c r="C1311" s="149">
        <v>158.0</v>
      </c>
    </row>
    <row r="1312">
      <c r="A1312" s="2" t="s">
        <v>20</v>
      </c>
      <c r="B1312" s="2" t="s">
        <v>38</v>
      </c>
      <c r="C1312" s="149">
        <v>352.0</v>
      </c>
    </row>
    <row r="1313">
      <c r="A1313" s="2" t="s">
        <v>20</v>
      </c>
      <c r="B1313" s="2" t="s">
        <v>61</v>
      </c>
      <c r="C1313" s="149">
        <v>293.0</v>
      </c>
    </row>
    <row r="1314">
      <c r="A1314" s="2" t="s">
        <v>20</v>
      </c>
      <c r="B1314" s="2" t="s">
        <v>52</v>
      </c>
      <c r="C1314" s="149">
        <v>420.0</v>
      </c>
    </row>
    <row r="1315">
      <c r="A1315" s="2" t="s">
        <v>20</v>
      </c>
      <c r="B1315" s="2" t="s">
        <v>25</v>
      </c>
      <c r="C1315" s="149">
        <v>500.0</v>
      </c>
    </row>
    <row r="1316">
      <c r="A1316" s="2" t="s">
        <v>20</v>
      </c>
      <c r="B1316" s="2" t="s">
        <v>67</v>
      </c>
      <c r="C1316" s="149">
        <v>463.0</v>
      </c>
    </row>
    <row r="1317">
      <c r="A1317" s="2" t="s">
        <v>20</v>
      </c>
      <c r="B1317" s="2" t="s">
        <v>45</v>
      </c>
      <c r="C1317" s="149">
        <v>402.0</v>
      </c>
    </row>
    <row r="1318">
      <c r="A1318" s="2" t="s">
        <v>20</v>
      </c>
      <c r="B1318" s="2" t="s">
        <v>53</v>
      </c>
      <c r="C1318" s="149">
        <v>648.0</v>
      </c>
    </row>
    <row r="1319">
      <c r="A1319" s="2" t="s">
        <v>20</v>
      </c>
      <c r="B1319" s="2" t="s">
        <v>26</v>
      </c>
      <c r="C1319" s="149">
        <v>534.0</v>
      </c>
    </row>
    <row r="1320">
      <c r="A1320" s="2" t="s">
        <v>20</v>
      </c>
      <c r="B1320" s="2" t="s">
        <v>28</v>
      </c>
      <c r="C1320" s="149">
        <v>305.0</v>
      </c>
    </row>
    <row r="1321">
      <c r="A1321" s="2" t="s">
        <v>20</v>
      </c>
      <c r="B1321" s="2" t="s">
        <v>55</v>
      </c>
      <c r="C1321" s="149">
        <v>252.0</v>
      </c>
    </row>
    <row r="1322">
      <c r="A1322" s="2" t="s">
        <v>20</v>
      </c>
      <c r="B1322" s="2" t="s">
        <v>48</v>
      </c>
      <c r="C1322" s="149">
        <v>417.0</v>
      </c>
    </row>
    <row r="1323">
      <c r="A1323" s="2" t="s">
        <v>20</v>
      </c>
      <c r="B1323" s="2" t="s">
        <v>2035</v>
      </c>
      <c r="C1323" s="149">
        <v>309.0</v>
      </c>
    </row>
    <row r="1324">
      <c r="A1324" s="2" t="s">
        <v>20</v>
      </c>
      <c r="B1324" s="2" t="s">
        <v>59</v>
      </c>
      <c r="C1324" s="149">
        <v>552.0</v>
      </c>
    </row>
    <row r="1325">
      <c r="A1325" s="2" t="s">
        <v>20</v>
      </c>
      <c r="B1325" s="2" t="s">
        <v>44</v>
      </c>
      <c r="C1325" s="149">
        <v>372.0</v>
      </c>
    </row>
    <row r="1326">
      <c r="A1326" s="2" t="s">
        <v>20</v>
      </c>
      <c r="B1326" s="2" t="s">
        <v>2036</v>
      </c>
      <c r="C1326" s="149">
        <v>276.0</v>
      </c>
    </row>
    <row r="1327">
      <c r="A1327" s="2" t="s">
        <v>20</v>
      </c>
      <c r="B1327" s="2" t="s">
        <v>2037</v>
      </c>
      <c r="C1327" s="149">
        <v>182.0</v>
      </c>
    </row>
    <row r="1328">
      <c r="A1328" s="2" t="s">
        <v>24</v>
      </c>
      <c r="B1328" s="2" t="s">
        <v>18</v>
      </c>
      <c r="C1328" s="149">
        <v>392.0</v>
      </c>
    </row>
    <row r="1329">
      <c r="A1329" s="2" t="s">
        <v>24</v>
      </c>
      <c r="B1329" s="2" t="s">
        <v>49</v>
      </c>
      <c r="C1329" s="149">
        <v>622.0</v>
      </c>
    </row>
    <row r="1330">
      <c r="A1330" s="2" t="s">
        <v>24</v>
      </c>
      <c r="B1330" s="2" t="s">
        <v>22</v>
      </c>
      <c r="C1330" s="149">
        <v>464.0</v>
      </c>
    </row>
    <row r="1331">
      <c r="A1331" s="2" t="s">
        <v>24</v>
      </c>
      <c r="B1331" s="2" t="s">
        <v>27</v>
      </c>
      <c r="C1331" s="149">
        <v>116.0</v>
      </c>
    </row>
    <row r="1332">
      <c r="A1332" s="2" t="s">
        <v>24</v>
      </c>
      <c r="B1332" s="2" t="s">
        <v>35</v>
      </c>
      <c r="C1332" s="149">
        <v>690.0</v>
      </c>
    </row>
    <row r="1333">
      <c r="A1333" s="2" t="s">
        <v>24</v>
      </c>
      <c r="B1333" s="2" t="s">
        <v>41</v>
      </c>
      <c r="C1333" s="149">
        <v>640.0</v>
      </c>
    </row>
    <row r="1334">
      <c r="A1334" s="2" t="s">
        <v>24</v>
      </c>
      <c r="B1334" s="2" t="s">
        <v>57</v>
      </c>
      <c r="C1334" s="149">
        <v>113.0</v>
      </c>
    </row>
    <row r="1335">
      <c r="A1335" s="2" t="s">
        <v>24</v>
      </c>
      <c r="B1335" s="2" t="s">
        <v>37</v>
      </c>
      <c r="C1335" s="149">
        <v>200.0</v>
      </c>
    </row>
    <row r="1336">
      <c r="A1336" s="2" t="s">
        <v>24</v>
      </c>
      <c r="B1336" s="2" t="s">
        <v>39</v>
      </c>
      <c r="C1336" s="149">
        <v>227.0</v>
      </c>
    </row>
    <row r="1337">
      <c r="A1337" s="2" t="s">
        <v>24</v>
      </c>
      <c r="B1337" s="2" t="s">
        <v>64</v>
      </c>
      <c r="C1337" s="149">
        <v>548.0</v>
      </c>
    </row>
    <row r="1338">
      <c r="A1338" s="2" t="s">
        <v>24</v>
      </c>
      <c r="B1338" s="2" t="s">
        <v>65</v>
      </c>
      <c r="C1338" s="149">
        <v>460.0</v>
      </c>
    </row>
    <row r="1339">
      <c r="A1339" s="2" t="s">
        <v>24</v>
      </c>
      <c r="B1339" s="2" t="s">
        <v>36</v>
      </c>
      <c r="C1339" s="149">
        <v>687.0</v>
      </c>
    </row>
    <row r="1340">
      <c r="A1340" s="2" t="s">
        <v>24</v>
      </c>
      <c r="B1340" s="2" t="s">
        <v>31</v>
      </c>
      <c r="C1340" s="149">
        <v>124.0</v>
      </c>
    </row>
    <row r="1341">
      <c r="A1341" s="2" t="s">
        <v>24</v>
      </c>
      <c r="B1341" s="2" t="s">
        <v>43</v>
      </c>
      <c r="C1341" s="149">
        <v>508.0</v>
      </c>
    </row>
    <row r="1342">
      <c r="A1342" s="2" t="s">
        <v>24</v>
      </c>
      <c r="B1342" s="2" t="s">
        <v>40</v>
      </c>
      <c r="C1342" s="149">
        <v>301.0</v>
      </c>
    </row>
    <row r="1343">
      <c r="A1343" s="2" t="s">
        <v>24</v>
      </c>
      <c r="B1343" s="2" t="s">
        <v>50</v>
      </c>
      <c r="C1343" s="149">
        <v>710.0</v>
      </c>
    </row>
    <row r="1344">
      <c r="A1344" s="2" t="s">
        <v>24</v>
      </c>
      <c r="B1344" s="2" t="s">
        <v>51</v>
      </c>
      <c r="C1344" s="149">
        <v>61.9</v>
      </c>
    </row>
    <row r="1345">
      <c r="A1345" s="2" t="s">
        <v>24</v>
      </c>
      <c r="B1345" s="2" t="s">
        <v>23</v>
      </c>
      <c r="C1345" s="149">
        <v>490.0</v>
      </c>
    </row>
    <row r="1346">
      <c r="A1346" s="2" t="s">
        <v>24</v>
      </c>
      <c r="B1346" s="2" t="s">
        <v>47</v>
      </c>
      <c r="C1346" s="149">
        <v>327.0</v>
      </c>
    </row>
    <row r="1347">
      <c r="A1347" s="2" t="s">
        <v>24</v>
      </c>
      <c r="B1347" s="2" t="s">
        <v>62</v>
      </c>
      <c r="C1347" s="149">
        <v>366.0</v>
      </c>
    </row>
    <row r="1348">
      <c r="A1348" s="2" t="s">
        <v>24</v>
      </c>
      <c r="B1348" s="2" t="s">
        <v>30</v>
      </c>
      <c r="C1348" s="149">
        <v>239.0</v>
      </c>
    </row>
    <row r="1349">
      <c r="A1349" s="2" t="s">
        <v>24</v>
      </c>
      <c r="B1349" s="2" t="s">
        <v>32</v>
      </c>
      <c r="C1349" s="149">
        <v>189.0</v>
      </c>
    </row>
    <row r="1350">
      <c r="A1350" s="2" t="s">
        <v>24</v>
      </c>
      <c r="B1350" s="2" t="s">
        <v>46</v>
      </c>
      <c r="C1350" s="149">
        <v>456.0</v>
      </c>
    </row>
    <row r="1351">
      <c r="A1351" s="2" t="s">
        <v>24</v>
      </c>
      <c r="B1351" s="2" t="s">
        <v>54</v>
      </c>
      <c r="C1351" s="149">
        <v>555.0</v>
      </c>
    </row>
    <row r="1352">
      <c r="A1352" s="2" t="s">
        <v>24</v>
      </c>
      <c r="B1352" s="2" t="s">
        <v>34</v>
      </c>
      <c r="C1352" s="149">
        <v>426.0</v>
      </c>
    </row>
    <row r="1353">
      <c r="A1353" s="2" t="s">
        <v>24</v>
      </c>
      <c r="B1353" s="2" t="s">
        <v>20</v>
      </c>
      <c r="C1353" s="149">
        <v>449.0</v>
      </c>
    </row>
    <row r="1354">
      <c r="A1354" s="2" t="s">
        <v>24</v>
      </c>
      <c r="B1354" s="2" t="s">
        <v>24</v>
      </c>
      <c r="C1354" s="149">
        <v>0.0</v>
      </c>
    </row>
    <row r="1355">
      <c r="A1355" s="2" t="s">
        <v>24</v>
      </c>
      <c r="B1355" s="2" t="s">
        <v>63</v>
      </c>
      <c r="C1355" s="149">
        <v>233.0</v>
      </c>
    </row>
    <row r="1356">
      <c r="A1356" s="2" t="s">
        <v>24</v>
      </c>
      <c r="B1356" s="2" t="s">
        <v>58</v>
      </c>
      <c r="C1356" s="149">
        <v>128.0</v>
      </c>
    </row>
    <row r="1357">
      <c r="A1357" s="2" t="s">
        <v>24</v>
      </c>
      <c r="B1357" s="2" t="s">
        <v>42</v>
      </c>
      <c r="C1357" s="149">
        <v>580.0</v>
      </c>
    </row>
    <row r="1358">
      <c r="A1358" s="2" t="s">
        <v>24</v>
      </c>
      <c r="B1358" s="2" t="s">
        <v>21</v>
      </c>
      <c r="C1358" s="149">
        <v>499.0</v>
      </c>
    </row>
    <row r="1359">
      <c r="A1359" s="2" t="s">
        <v>24</v>
      </c>
      <c r="B1359" s="2" t="s">
        <v>33</v>
      </c>
      <c r="C1359" s="149">
        <v>364.0</v>
      </c>
    </row>
    <row r="1360">
      <c r="A1360" s="2" t="s">
        <v>24</v>
      </c>
      <c r="B1360" s="2" t="s">
        <v>66</v>
      </c>
      <c r="C1360" s="149">
        <v>601.0</v>
      </c>
    </row>
    <row r="1361">
      <c r="A1361" s="2" t="s">
        <v>24</v>
      </c>
      <c r="B1361" s="2" t="s">
        <v>29</v>
      </c>
      <c r="C1361" s="149">
        <v>414.0</v>
      </c>
    </row>
    <row r="1362">
      <c r="A1362" s="2" t="s">
        <v>24</v>
      </c>
      <c r="B1362" s="2" t="s">
        <v>60</v>
      </c>
      <c r="C1362" s="149">
        <v>430.0</v>
      </c>
    </row>
    <row r="1363">
      <c r="A1363" s="2" t="s">
        <v>24</v>
      </c>
      <c r="B1363" s="2" t="s">
        <v>38</v>
      </c>
      <c r="C1363" s="149">
        <v>270.0</v>
      </c>
    </row>
    <row r="1364">
      <c r="A1364" s="2" t="s">
        <v>24</v>
      </c>
      <c r="B1364" s="2" t="s">
        <v>61</v>
      </c>
      <c r="C1364" s="149">
        <v>355.0</v>
      </c>
    </row>
    <row r="1365">
      <c r="A1365" s="2" t="s">
        <v>24</v>
      </c>
      <c r="B1365" s="2" t="s">
        <v>52</v>
      </c>
      <c r="C1365" s="149">
        <v>82.0</v>
      </c>
    </row>
    <row r="1366">
      <c r="A1366" s="2" t="s">
        <v>24</v>
      </c>
      <c r="B1366" s="2" t="s">
        <v>25</v>
      </c>
      <c r="C1366" s="149">
        <v>51.0</v>
      </c>
    </row>
    <row r="1367">
      <c r="A1367" s="2" t="s">
        <v>24</v>
      </c>
      <c r="B1367" s="2" t="s">
        <v>67</v>
      </c>
      <c r="C1367" s="149">
        <v>119.0</v>
      </c>
    </row>
    <row r="1368">
      <c r="A1368" s="2" t="s">
        <v>24</v>
      </c>
      <c r="B1368" s="2" t="s">
        <v>45</v>
      </c>
      <c r="C1368" s="149">
        <v>457.0</v>
      </c>
    </row>
    <row r="1369">
      <c r="A1369" s="2" t="s">
        <v>24</v>
      </c>
      <c r="B1369" s="2" t="s">
        <v>53</v>
      </c>
      <c r="C1369" s="149">
        <v>199.0</v>
      </c>
    </row>
    <row r="1370">
      <c r="A1370" s="2" t="s">
        <v>24</v>
      </c>
      <c r="B1370" s="2" t="s">
        <v>26</v>
      </c>
      <c r="C1370" s="149">
        <v>84.2</v>
      </c>
    </row>
    <row r="1371">
      <c r="A1371" s="2" t="s">
        <v>24</v>
      </c>
      <c r="B1371" s="2" t="s">
        <v>28</v>
      </c>
      <c r="C1371" s="149">
        <v>150.0</v>
      </c>
    </row>
    <row r="1372">
      <c r="A1372" s="2" t="s">
        <v>24</v>
      </c>
      <c r="B1372" s="2" t="s">
        <v>55</v>
      </c>
      <c r="C1372" s="149">
        <v>710.0</v>
      </c>
    </row>
    <row r="1373">
      <c r="A1373" s="2" t="s">
        <v>24</v>
      </c>
      <c r="B1373" s="2" t="s">
        <v>48</v>
      </c>
      <c r="C1373" s="149">
        <v>304.0</v>
      </c>
    </row>
    <row r="1374">
      <c r="A1374" s="2" t="s">
        <v>24</v>
      </c>
      <c r="B1374" s="2" t="s">
        <v>2035</v>
      </c>
      <c r="C1374" s="149">
        <v>768.0</v>
      </c>
    </row>
    <row r="1375">
      <c r="A1375" s="2" t="s">
        <v>24</v>
      </c>
      <c r="B1375" s="2" t="s">
        <v>59</v>
      </c>
      <c r="C1375" s="149">
        <v>78.4</v>
      </c>
    </row>
    <row r="1376">
      <c r="A1376" s="2" t="s">
        <v>24</v>
      </c>
      <c r="B1376" s="2" t="s">
        <v>44</v>
      </c>
      <c r="C1376" s="149">
        <v>427.0</v>
      </c>
    </row>
    <row r="1377">
      <c r="A1377" s="2" t="s">
        <v>24</v>
      </c>
      <c r="B1377" s="2" t="s">
        <v>2036</v>
      </c>
      <c r="C1377" s="149">
        <v>794.0</v>
      </c>
    </row>
    <row r="1378">
      <c r="A1378" s="2" t="s">
        <v>24</v>
      </c>
      <c r="B1378" s="2" t="s">
        <v>2037</v>
      </c>
      <c r="C1378" s="149">
        <v>656.0</v>
      </c>
    </row>
    <row r="1379">
      <c r="A1379" s="2" t="s">
        <v>63</v>
      </c>
      <c r="B1379" s="2" t="s">
        <v>18</v>
      </c>
      <c r="C1379" s="149">
        <v>216.0</v>
      </c>
    </row>
    <row r="1380">
      <c r="A1380" s="2" t="s">
        <v>63</v>
      </c>
      <c r="B1380" s="2" t="s">
        <v>49</v>
      </c>
      <c r="C1380" s="149">
        <v>518.0</v>
      </c>
    </row>
    <row r="1381">
      <c r="A1381" s="2" t="s">
        <v>63</v>
      </c>
      <c r="B1381" s="2" t="s">
        <v>22</v>
      </c>
      <c r="C1381" s="149">
        <v>361.0</v>
      </c>
    </row>
    <row r="1382">
      <c r="A1382" s="2" t="s">
        <v>63</v>
      </c>
      <c r="B1382" s="2" t="s">
        <v>27</v>
      </c>
      <c r="C1382" s="149">
        <v>153.0</v>
      </c>
    </row>
    <row r="1383">
      <c r="A1383" s="2" t="s">
        <v>63</v>
      </c>
      <c r="B1383" s="2" t="s">
        <v>35</v>
      </c>
      <c r="C1383" s="149">
        <v>408.0</v>
      </c>
    </row>
    <row r="1384">
      <c r="A1384" s="2" t="s">
        <v>63</v>
      </c>
      <c r="B1384" s="2" t="s">
        <v>41</v>
      </c>
      <c r="C1384" s="149">
        <v>358.0</v>
      </c>
    </row>
    <row r="1385">
      <c r="A1385" s="2" t="s">
        <v>63</v>
      </c>
      <c r="B1385" s="2" t="s">
        <v>57</v>
      </c>
      <c r="C1385" s="149">
        <v>359.0</v>
      </c>
    </row>
    <row r="1386">
      <c r="A1386" s="2" t="s">
        <v>63</v>
      </c>
      <c r="B1386" s="2" t="s">
        <v>37</v>
      </c>
      <c r="C1386" s="149">
        <v>209.0</v>
      </c>
    </row>
    <row r="1387">
      <c r="A1387" s="2" t="s">
        <v>63</v>
      </c>
      <c r="B1387" s="2" t="s">
        <v>39</v>
      </c>
      <c r="C1387" s="149">
        <v>193.0</v>
      </c>
    </row>
    <row r="1388">
      <c r="A1388" s="2" t="s">
        <v>63</v>
      </c>
      <c r="B1388" s="2" t="s">
        <v>64</v>
      </c>
      <c r="C1388" s="149">
        <v>266.0</v>
      </c>
    </row>
    <row r="1389">
      <c r="A1389" s="2" t="s">
        <v>63</v>
      </c>
      <c r="B1389" s="2" t="s">
        <v>65</v>
      </c>
      <c r="C1389" s="149">
        <v>213.0</v>
      </c>
    </row>
    <row r="1390">
      <c r="A1390" s="2" t="s">
        <v>63</v>
      </c>
      <c r="B1390" s="2" t="s">
        <v>36</v>
      </c>
      <c r="C1390" s="149">
        <v>405.0</v>
      </c>
    </row>
    <row r="1391">
      <c r="A1391" s="2" t="s">
        <v>63</v>
      </c>
      <c r="B1391" s="2" t="s">
        <v>31</v>
      </c>
      <c r="C1391" s="149">
        <v>266.0</v>
      </c>
    </row>
    <row r="1392">
      <c r="A1392" s="2" t="s">
        <v>63</v>
      </c>
      <c r="B1392" s="2" t="s">
        <v>43</v>
      </c>
      <c r="C1392" s="149">
        <v>296.0</v>
      </c>
    </row>
    <row r="1393">
      <c r="A1393" s="2" t="s">
        <v>63</v>
      </c>
      <c r="B1393" s="2" t="s">
        <v>40</v>
      </c>
      <c r="C1393" s="149">
        <v>125.0</v>
      </c>
    </row>
    <row r="1394">
      <c r="A1394" s="2" t="s">
        <v>63</v>
      </c>
      <c r="B1394" s="2" t="s">
        <v>50</v>
      </c>
      <c r="C1394" s="149">
        <v>607.0</v>
      </c>
    </row>
    <row r="1395">
      <c r="A1395" s="2" t="s">
        <v>63</v>
      </c>
      <c r="B1395" s="2" t="s">
        <v>51</v>
      </c>
      <c r="C1395" s="149">
        <v>174.0</v>
      </c>
    </row>
    <row r="1396">
      <c r="A1396" s="2" t="s">
        <v>63</v>
      </c>
      <c r="B1396" s="2" t="s">
        <v>23</v>
      </c>
      <c r="C1396" s="149">
        <v>386.0</v>
      </c>
    </row>
    <row r="1397">
      <c r="A1397" s="2" t="s">
        <v>63</v>
      </c>
      <c r="B1397" s="2" t="s">
        <v>47</v>
      </c>
      <c r="C1397" s="149">
        <v>102.0</v>
      </c>
    </row>
    <row r="1398">
      <c r="A1398" s="2" t="s">
        <v>63</v>
      </c>
      <c r="B1398" s="2" t="s">
        <v>62</v>
      </c>
      <c r="C1398" s="149">
        <v>191.0</v>
      </c>
    </row>
    <row r="1399">
      <c r="A1399" s="2" t="s">
        <v>63</v>
      </c>
      <c r="B1399" s="2" t="s">
        <v>30</v>
      </c>
      <c r="C1399" s="149">
        <v>152.0</v>
      </c>
    </row>
    <row r="1400">
      <c r="A1400" s="2" t="s">
        <v>63</v>
      </c>
      <c r="B1400" s="2" t="s">
        <v>32</v>
      </c>
      <c r="C1400" s="149">
        <v>180.0</v>
      </c>
    </row>
    <row r="1401">
      <c r="A1401" s="2" t="s">
        <v>63</v>
      </c>
      <c r="B1401" s="2" t="s">
        <v>46</v>
      </c>
      <c r="C1401" s="149">
        <v>174.0</v>
      </c>
    </row>
    <row r="1402">
      <c r="A1402" s="2" t="s">
        <v>63</v>
      </c>
      <c r="B1402" s="2" t="s">
        <v>54</v>
      </c>
      <c r="C1402" s="149">
        <v>452.0</v>
      </c>
    </row>
    <row r="1403">
      <c r="A1403" s="2" t="s">
        <v>63</v>
      </c>
      <c r="B1403" s="2" t="s">
        <v>34</v>
      </c>
      <c r="C1403" s="149">
        <v>251.0</v>
      </c>
    </row>
    <row r="1404">
      <c r="A1404" s="2" t="s">
        <v>63</v>
      </c>
      <c r="B1404" s="2" t="s">
        <v>20</v>
      </c>
      <c r="C1404" s="149">
        <v>346.0</v>
      </c>
    </row>
    <row r="1405">
      <c r="A1405" s="2" t="s">
        <v>63</v>
      </c>
      <c r="B1405" s="2" t="s">
        <v>24</v>
      </c>
      <c r="C1405" s="149">
        <v>233.0</v>
      </c>
    </row>
    <row r="1406">
      <c r="A1406" s="2" t="s">
        <v>63</v>
      </c>
      <c r="B1406" s="2" t="s">
        <v>63</v>
      </c>
      <c r="C1406" s="149">
        <v>0.0</v>
      </c>
    </row>
    <row r="1407">
      <c r="A1407" s="2" t="s">
        <v>63</v>
      </c>
      <c r="B1407" s="2" t="s">
        <v>58</v>
      </c>
      <c r="C1407" s="149">
        <v>373.0</v>
      </c>
    </row>
    <row r="1408">
      <c r="A1408" s="2" t="s">
        <v>63</v>
      </c>
      <c r="B1408" s="2" t="s">
        <v>42</v>
      </c>
      <c r="C1408" s="149">
        <v>298.0</v>
      </c>
    </row>
    <row r="1409">
      <c r="A1409" s="2" t="s">
        <v>63</v>
      </c>
      <c r="B1409" s="2" t="s">
        <v>21</v>
      </c>
      <c r="C1409" s="149">
        <v>390.0</v>
      </c>
    </row>
    <row r="1410">
      <c r="A1410" s="2" t="s">
        <v>63</v>
      </c>
      <c r="B1410" s="2" t="s">
        <v>33</v>
      </c>
      <c r="C1410" s="149">
        <v>261.0</v>
      </c>
    </row>
    <row r="1411">
      <c r="A1411" s="2" t="s">
        <v>63</v>
      </c>
      <c r="B1411" s="2" t="s">
        <v>66</v>
      </c>
      <c r="C1411" s="149">
        <v>410.0</v>
      </c>
    </row>
    <row r="1412">
      <c r="A1412" s="2" t="s">
        <v>63</v>
      </c>
      <c r="B1412" s="2" t="s">
        <v>29</v>
      </c>
      <c r="C1412" s="149">
        <v>440.0</v>
      </c>
    </row>
    <row r="1413">
      <c r="A1413" s="2" t="s">
        <v>63</v>
      </c>
      <c r="B1413" s="2" t="s">
        <v>60</v>
      </c>
      <c r="C1413" s="149">
        <v>255.0</v>
      </c>
    </row>
    <row r="1414">
      <c r="A1414" s="2" t="s">
        <v>63</v>
      </c>
      <c r="B1414" s="2" t="s">
        <v>38</v>
      </c>
      <c r="C1414" s="149">
        <v>296.0</v>
      </c>
    </row>
    <row r="1415">
      <c r="A1415" s="2" t="s">
        <v>63</v>
      </c>
      <c r="B1415" s="2" t="s">
        <v>61</v>
      </c>
      <c r="C1415" s="149">
        <v>179.0</v>
      </c>
    </row>
    <row r="1416">
      <c r="A1416" s="2" t="s">
        <v>63</v>
      </c>
      <c r="B1416" s="2" t="s">
        <v>52</v>
      </c>
      <c r="C1416" s="149">
        <v>207.0</v>
      </c>
    </row>
    <row r="1417">
      <c r="A1417" s="2" t="s">
        <v>63</v>
      </c>
      <c r="B1417" s="2" t="s">
        <v>25</v>
      </c>
      <c r="C1417" s="149">
        <v>284.0</v>
      </c>
    </row>
    <row r="1418">
      <c r="A1418" s="2" t="s">
        <v>63</v>
      </c>
      <c r="B1418" s="2" t="s">
        <v>67</v>
      </c>
      <c r="C1418" s="149">
        <v>303.0</v>
      </c>
    </row>
    <row r="1419">
      <c r="A1419" s="2" t="s">
        <v>63</v>
      </c>
      <c r="B1419" s="2" t="s">
        <v>45</v>
      </c>
      <c r="C1419" s="149">
        <v>174.0</v>
      </c>
    </row>
    <row r="1420">
      <c r="A1420" s="2" t="s">
        <v>63</v>
      </c>
      <c r="B1420" s="2" t="s">
        <v>53</v>
      </c>
      <c r="C1420" s="149">
        <v>377.0</v>
      </c>
    </row>
    <row r="1421">
      <c r="A1421" s="2" t="s">
        <v>63</v>
      </c>
      <c r="B1421" s="2" t="s">
        <v>26</v>
      </c>
      <c r="C1421" s="149">
        <v>317.0</v>
      </c>
    </row>
    <row r="1422">
      <c r="A1422" s="2" t="s">
        <v>63</v>
      </c>
      <c r="B1422" s="2" t="s">
        <v>28</v>
      </c>
      <c r="C1422" s="149">
        <v>176.0</v>
      </c>
    </row>
    <row r="1423">
      <c r="A1423" s="2" t="s">
        <v>63</v>
      </c>
      <c r="B1423" s="2" t="s">
        <v>55</v>
      </c>
      <c r="C1423" s="149">
        <v>594.0</v>
      </c>
    </row>
    <row r="1424">
      <c r="A1424" s="2" t="s">
        <v>63</v>
      </c>
      <c r="B1424" s="2" t="s">
        <v>48</v>
      </c>
      <c r="C1424" s="149">
        <v>78.7</v>
      </c>
    </row>
    <row r="1425">
      <c r="A1425" s="2" t="s">
        <v>63</v>
      </c>
      <c r="B1425" s="2" t="s">
        <v>2035</v>
      </c>
      <c r="C1425" s="149">
        <v>651.0</v>
      </c>
    </row>
    <row r="1426">
      <c r="A1426" s="2" t="s">
        <v>63</v>
      </c>
      <c r="B1426" s="2" t="s">
        <v>59</v>
      </c>
      <c r="C1426" s="149">
        <v>325.0</v>
      </c>
    </row>
    <row r="1427">
      <c r="A1427" s="2" t="s">
        <v>63</v>
      </c>
      <c r="B1427" s="2" t="s">
        <v>44</v>
      </c>
      <c r="C1427" s="149">
        <v>251.0</v>
      </c>
    </row>
    <row r="1428">
      <c r="A1428" s="2" t="s">
        <v>63</v>
      </c>
      <c r="B1428" s="2" t="s">
        <v>2036</v>
      </c>
      <c r="C1428" s="149">
        <v>619.0</v>
      </c>
    </row>
    <row r="1429">
      <c r="A1429" s="2" t="s">
        <v>63</v>
      </c>
      <c r="B1429" s="2" t="s">
        <v>2037</v>
      </c>
      <c r="C1429" s="149">
        <v>552.0</v>
      </c>
    </row>
    <row r="1430">
      <c r="A1430" s="2" t="s">
        <v>58</v>
      </c>
      <c r="B1430" s="2" t="s">
        <v>18</v>
      </c>
      <c r="C1430" s="149">
        <v>519.0</v>
      </c>
    </row>
    <row r="1431">
      <c r="A1431" s="2" t="s">
        <v>58</v>
      </c>
      <c r="B1431" s="2" t="s">
        <v>49</v>
      </c>
      <c r="C1431" s="149">
        <v>749.0</v>
      </c>
    </row>
    <row r="1432">
      <c r="A1432" s="2" t="s">
        <v>58</v>
      </c>
      <c r="B1432" s="2" t="s">
        <v>22</v>
      </c>
      <c r="C1432" s="149">
        <v>592.0</v>
      </c>
    </row>
    <row r="1433">
      <c r="A1433" s="2" t="s">
        <v>58</v>
      </c>
      <c r="B1433" s="2" t="s">
        <v>27</v>
      </c>
      <c r="C1433" s="149">
        <v>244.0</v>
      </c>
    </row>
    <row r="1434">
      <c r="A1434" s="2" t="s">
        <v>58</v>
      </c>
      <c r="B1434" s="2" t="s">
        <v>35</v>
      </c>
      <c r="C1434" s="149">
        <v>817.0</v>
      </c>
    </row>
    <row r="1435">
      <c r="A1435" s="2" t="s">
        <v>58</v>
      </c>
      <c r="B1435" s="2" t="s">
        <v>41</v>
      </c>
      <c r="C1435" s="149">
        <v>767.0</v>
      </c>
    </row>
    <row r="1436">
      <c r="A1436" s="2" t="s">
        <v>58</v>
      </c>
      <c r="B1436" s="2" t="s">
        <v>57</v>
      </c>
      <c r="C1436" s="149">
        <v>20.0</v>
      </c>
    </row>
    <row r="1437">
      <c r="A1437" s="2" t="s">
        <v>58</v>
      </c>
      <c r="B1437" s="2" t="s">
        <v>37</v>
      </c>
      <c r="C1437" s="149">
        <v>328.0</v>
      </c>
    </row>
    <row r="1438">
      <c r="A1438" s="2" t="s">
        <v>58</v>
      </c>
      <c r="B1438" s="2" t="s">
        <v>39</v>
      </c>
      <c r="C1438" s="149">
        <v>354.0</v>
      </c>
    </row>
    <row r="1439">
      <c r="A1439" s="2" t="s">
        <v>58</v>
      </c>
      <c r="B1439" s="2" t="s">
        <v>64</v>
      </c>
      <c r="C1439" s="149">
        <v>676.0</v>
      </c>
    </row>
    <row r="1440">
      <c r="A1440" s="2" t="s">
        <v>58</v>
      </c>
      <c r="B1440" s="2" t="s">
        <v>65</v>
      </c>
      <c r="C1440" s="149">
        <v>588.0</v>
      </c>
    </row>
    <row r="1441">
      <c r="A1441" s="2" t="s">
        <v>58</v>
      </c>
      <c r="B1441" s="2" t="s">
        <v>36</v>
      </c>
      <c r="C1441" s="149">
        <v>814.0</v>
      </c>
    </row>
    <row r="1442">
      <c r="A1442" s="2" t="s">
        <v>58</v>
      </c>
      <c r="B1442" s="2" t="s">
        <v>31</v>
      </c>
      <c r="C1442" s="149">
        <v>127.0</v>
      </c>
    </row>
    <row r="1443">
      <c r="A1443" s="2" t="s">
        <v>58</v>
      </c>
      <c r="B1443" s="2" t="s">
        <v>43</v>
      </c>
      <c r="C1443" s="149">
        <v>636.0</v>
      </c>
    </row>
    <row r="1444">
      <c r="A1444" s="2" t="s">
        <v>58</v>
      </c>
      <c r="B1444" s="2" t="s">
        <v>40</v>
      </c>
      <c r="C1444" s="149">
        <v>428.0</v>
      </c>
    </row>
    <row r="1445">
      <c r="A1445" s="2" t="s">
        <v>58</v>
      </c>
      <c r="B1445" s="2" t="s">
        <v>50</v>
      </c>
      <c r="C1445" s="149">
        <v>838.0</v>
      </c>
    </row>
    <row r="1446">
      <c r="A1446" s="2" t="s">
        <v>58</v>
      </c>
      <c r="B1446" s="2" t="s">
        <v>51</v>
      </c>
      <c r="C1446" s="149">
        <v>190.0</v>
      </c>
    </row>
    <row r="1447">
      <c r="A1447" s="2" t="s">
        <v>58</v>
      </c>
      <c r="B1447" s="2" t="s">
        <v>23</v>
      </c>
      <c r="C1447" s="149">
        <v>617.0</v>
      </c>
    </row>
    <row r="1448">
      <c r="A1448" s="2" t="s">
        <v>58</v>
      </c>
      <c r="B1448" s="2" t="s">
        <v>47</v>
      </c>
      <c r="C1448" s="149">
        <v>472.0</v>
      </c>
    </row>
    <row r="1449">
      <c r="A1449" s="2" t="s">
        <v>58</v>
      </c>
      <c r="B1449" s="2" t="s">
        <v>62</v>
      </c>
      <c r="C1449" s="149">
        <v>494.0</v>
      </c>
    </row>
    <row r="1450">
      <c r="A1450" s="2" t="s">
        <v>58</v>
      </c>
      <c r="B1450" s="2" t="s">
        <v>30</v>
      </c>
      <c r="C1450" s="149">
        <v>242.0</v>
      </c>
    </row>
    <row r="1451">
      <c r="A1451" s="2" t="s">
        <v>58</v>
      </c>
      <c r="B1451" s="2" t="s">
        <v>32</v>
      </c>
      <c r="C1451" s="149">
        <v>192.0</v>
      </c>
    </row>
    <row r="1452">
      <c r="A1452" s="2" t="s">
        <v>58</v>
      </c>
      <c r="B1452" s="2" t="s">
        <v>46</v>
      </c>
      <c r="C1452" s="149">
        <v>584.0</v>
      </c>
    </row>
    <row r="1453">
      <c r="A1453" s="2" t="s">
        <v>58</v>
      </c>
      <c r="B1453" s="2" t="s">
        <v>54</v>
      </c>
      <c r="C1453" s="149">
        <v>682.0</v>
      </c>
    </row>
    <row r="1454">
      <c r="A1454" s="2" t="s">
        <v>58</v>
      </c>
      <c r="B1454" s="2" t="s">
        <v>34</v>
      </c>
      <c r="C1454" s="149">
        <v>554.0</v>
      </c>
    </row>
    <row r="1455">
      <c r="A1455" s="2" t="s">
        <v>58</v>
      </c>
      <c r="B1455" s="2" t="s">
        <v>20</v>
      </c>
      <c r="C1455" s="149">
        <v>577.0</v>
      </c>
    </row>
    <row r="1456">
      <c r="A1456" s="2" t="s">
        <v>58</v>
      </c>
      <c r="B1456" s="2" t="s">
        <v>24</v>
      </c>
      <c r="C1456" s="149">
        <v>128.0</v>
      </c>
    </row>
    <row r="1457">
      <c r="A1457" s="2" t="s">
        <v>58</v>
      </c>
      <c r="B1457" s="2" t="s">
        <v>63</v>
      </c>
      <c r="C1457" s="149">
        <v>373.0</v>
      </c>
    </row>
    <row r="1458">
      <c r="A1458" s="2" t="s">
        <v>58</v>
      </c>
      <c r="B1458" s="2" t="s">
        <v>58</v>
      </c>
      <c r="C1458" s="149">
        <v>0.0</v>
      </c>
    </row>
    <row r="1459">
      <c r="A1459" s="2" t="s">
        <v>58</v>
      </c>
      <c r="B1459" s="2" t="s">
        <v>42</v>
      </c>
      <c r="C1459" s="149">
        <v>708.0</v>
      </c>
    </row>
    <row r="1460">
      <c r="A1460" s="2" t="s">
        <v>58</v>
      </c>
      <c r="B1460" s="2" t="s">
        <v>21</v>
      </c>
      <c r="C1460" s="149">
        <v>627.0</v>
      </c>
    </row>
    <row r="1461">
      <c r="A1461" s="2" t="s">
        <v>58</v>
      </c>
      <c r="B1461" s="2" t="s">
        <v>33</v>
      </c>
      <c r="C1461" s="149">
        <v>492.0</v>
      </c>
    </row>
    <row r="1462">
      <c r="A1462" s="2" t="s">
        <v>58</v>
      </c>
      <c r="B1462" s="2" t="s">
        <v>66</v>
      </c>
      <c r="C1462" s="149">
        <v>728.0</v>
      </c>
    </row>
    <row r="1463">
      <c r="A1463" s="2" t="s">
        <v>58</v>
      </c>
      <c r="B1463" s="2" t="s">
        <v>29</v>
      </c>
      <c r="C1463" s="149">
        <v>541.0</v>
      </c>
    </row>
    <row r="1464">
      <c r="A1464" s="2" t="s">
        <v>58</v>
      </c>
      <c r="B1464" s="2" t="s">
        <v>60</v>
      </c>
      <c r="C1464" s="149">
        <v>558.0</v>
      </c>
    </row>
    <row r="1465">
      <c r="A1465" s="2" t="s">
        <v>58</v>
      </c>
      <c r="B1465" s="2" t="s">
        <v>38</v>
      </c>
      <c r="C1465" s="149">
        <v>398.0</v>
      </c>
    </row>
    <row r="1466">
      <c r="A1466" s="2" t="s">
        <v>58</v>
      </c>
      <c r="B1466" s="2" t="s">
        <v>61</v>
      </c>
      <c r="C1466" s="149">
        <v>482.0</v>
      </c>
    </row>
    <row r="1467">
      <c r="A1467" s="2" t="s">
        <v>58</v>
      </c>
      <c r="B1467" s="2" t="s">
        <v>52</v>
      </c>
      <c r="C1467" s="149">
        <v>177.0</v>
      </c>
    </row>
    <row r="1468">
      <c r="A1468" s="2" t="s">
        <v>58</v>
      </c>
      <c r="B1468" s="2" t="s">
        <v>25</v>
      </c>
      <c r="C1468" s="149">
        <v>83.9</v>
      </c>
    </row>
    <row r="1469">
      <c r="A1469" s="2" t="s">
        <v>58</v>
      </c>
      <c r="B1469" s="2" t="s">
        <v>67</v>
      </c>
      <c r="C1469" s="149">
        <v>241.0</v>
      </c>
    </row>
    <row r="1470">
      <c r="A1470" s="2" t="s">
        <v>58</v>
      </c>
      <c r="B1470" s="2" t="s">
        <v>45</v>
      </c>
      <c r="C1470" s="149">
        <v>584.0</v>
      </c>
    </row>
    <row r="1471">
      <c r="A1471" s="2" t="s">
        <v>58</v>
      </c>
      <c r="B1471" s="2" t="s">
        <v>53</v>
      </c>
      <c r="C1471" s="149">
        <v>197.0</v>
      </c>
    </row>
    <row r="1472">
      <c r="A1472" s="2" t="s">
        <v>58</v>
      </c>
      <c r="B1472" s="2" t="s">
        <v>26</v>
      </c>
      <c r="C1472" s="149">
        <v>39.0</v>
      </c>
    </row>
    <row r="1473">
      <c r="A1473" s="2" t="s">
        <v>58</v>
      </c>
      <c r="B1473" s="2" t="s">
        <v>28</v>
      </c>
      <c r="C1473" s="149">
        <v>278.0</v>
      </c>
    </row>
    <row r="1474">
      <c r="A1474" s="2" t="s">
        <v>58</v>
      </c>
      <c r="B1474" s="2" t="s">
        <v>55</v>
      </c>
      <c r="C1474" s="149">
        <v>838.0</v>
      </c>
    </row>
    <row r="1475">
      <c r="A1475" s="2" t="s">
        <v>58</v>
      </c>
      <c r="B1475" s="2" t="s">
        <v>48</v>
      </c>
      <c r="C1475" s="149">
        <v>449.0</v>
      </c>
    </row>
    <row r="1476">
      <c r="A1476" s="2" t="s">
        <v>58</v>
      </c>
      <c r="B1476" s="2" t="s">
        <v>2035</v>
      </c>
      <c r="C1476" s="149">
        <v>895.0</v>
      </c>
    </row>
    <row r="1477">
      <c r="A1477" s="2" t="s">
        <v>58</v>
      </c>
      <c r="B1477" s="2" t="s">
        <v>59</v>
      </c>
      <c r="C1477" s="149">
        <v>54.6</v>
      </c>
    </row>
    <row r="1478">
      <c r="A1478" s="2" t="s">
        <v>58</v>
      </c>
      <c r="B1478" s="2" t="s">
        <v>44</v>
      </c>
      <c r="C1478" s="149">
        <v>554.0</v>
      </c>
    </row>
    <row r="1479">
      <c r="A1479" s="2" t="s">
        <v>58</v>
      </c>
      <c r="B1479" s="2" t="s">
        <v>2036</v>
      </c>
      <c r="C1479" s="149">
        <v>922.0</v>
      </c>
    </row>
    <row r="1480">
      <c r="A1480" s="2" t="s">
        <v>58</v>
      </c>
      <c r="B1480" s="2" t="s">
        <v>2037</v>
      </c>
      <c r="C1480" s="149">
        <v>783.0</v>
      </c>
    </row>
    <row r="1481">
      <c r="A1481" s="2" t="s">
        <v>42</v>
      </c>
      <c r="B1481" s="2" t="s">
        <v>18</v>
      </c>
      <c r="C1481" s="149">
        <v>226.0</v>
      </c>
    </row>
    <row r="1482">
      <c r="A1482" s="2" t="s">
        <v>42</v>
      </c>
      <c r="B1482" s="2" t="s">
        <v>49</v>
      </c>
      <c r="C1482" s="149">
        <v>709.0</v>
      </c>
    </row>
    <row r="1483">
      <c r="A1483" s="2" t="s">
        <v>42</v>
      </c>
      <c r="B1483" s="2" t="s">
        <v>22</v>
      </c>
      <c r="C1483" s="149">
        <v>503.0</v>
      </c>
    </row>
    <row r="1484">
      <c r="A1484" s="2" t="s">
        <v>42</v>
      </c>
      <c r="B1484" s="2" t="s">
        <v>27</v>
      </c>
      <c r="C1484" s="149">
        <v>500.0</v>
      </c>
    </row>
    <row r="1485">
      <c r="A1485" s="2" t="s">
        <v>42</v>
      </c>
      <c r="B1485" s="2" t="s">
        <v>35</v>
      </c>
      <c r="C1485" s="149">
        <v>115.0</v>
      </c>
    </row>
    <row r="1486">
      <c r="A1486" s="2" t="s">
        <v>42</v>
      </c>
      <c r="B1486" s="2" t="s">
        <v>41</v>
      </c>
      <c r="C1486" s="149">
        <v>64.7</v>
      </c>
    </row>
    <row r="1487">
      <c r="A1487" s="2" t="s">
        <v>42</v>
      </c>
      <c r="B1487" s="2" t="s">
        <v>57</v>
      </c>
      <c r="C1487" s="149">
        <v>693.0</v>
      </c>
    </row>
    <row r="1488">
      <c r="A1488" s="2" t="s">
        <v>42</v>
      </c>
      <c r="B1488" s="2" t="s">
        <v>37</v>
      </c>
      <c r="C1488" s="149">
        <v>473.0</v>
      </c>
    </row>
    <row r="1489">
      <c r="A1489" s="2" t="s">
        <v>42</v>
      </c>
      <c r="B1489" s="2" t="s">
        <v>39</v>
      </c>
      <c r="C1489" s="149">
        <v>457.0</v>
      </c>
    </row>
    <row r="1490">
      <c r="A1490" s="2" t="s">
        <v>42</v>
      </c>
      <c r="B1490" s="2" t="s">
        <v>64</v>
      </c>
      <c r="C1490" s="149">
        <v>43.0</v>
      </c>
    </row>
    <row r="1491">
      <c r="A1491" s="2" t="s">
        <v>42</v>
      </c>
      <c r="B1491" s="2" t="s">
        <v>65</v>
      </c>
      <c r="C1491" s="149">
        <v>98.3</v>
      </c>
    </row>
    <row r="1492">
      <c r="A1492" s="2" t="s">
        <v>42</v>
      </c>
      <c r="B1492" s="2" t="s">
        <v>36</v>
      </c>
      <c r="C1492" s="149">
        <v>112.0</v>
      </c>
    </row>
    <row r="1493">
      <c r="A1493" s="2" t="s">
        <v>42</v>
      </c>
      <c r="B1493" s="2" t="s">
        <v>31</v>
      </c>
      <c r="C1493" s="149">
        <v>559.0</v>
      </c>
    </row>
    <row r="1494">
      <c r="A1494" s="2" t="s">
        <v>42</v>
      </c>
      <c r="B1494" s="2" t="s">
        <v>43</v>
      </c>
      <c r="C1494" s="149">
        <v>76.2</v>
      </c>
    </row>
    <row r="1495">
      <c r="A1495" s="2" t="s">
        <v>42</v>
      </c>
      <c r="B1495" s="2" t="s">
        <v>40</v>
      </c>
      <c r="C1495" s="149">
        <v>389.0</v>
      </c>
    </row>
    <row r="1496">
      <c r="A1496" s="2" t="s">
        <v>42</v>
      </c>
      <c r="B1496" s="2" t="s">
        <v>50</v>
      </c>
      <c r="C1496" s="149">
        <v>749.0</v>
      </c>
    </row>
    <row r="1497">
      <c r="A1497" s="2" t="s">
        <v>42</v>
      </c>
      <c r="B1497" s="2" t="s">
        <v>51</v>
      </c>
      <c r="C1497" s="149">
        <v>521.0</v>
      </c>
    </row>
    <row r="1498">
      <c r="A1498" s="2" t="s">
        <v>42</v>
      </c>
      <c r="B1498" s="2" t="s">
        <v>23</v>
      </c>
      <c r="C1498" s="149">
        <v>528.0</v>
      </c>
    </row>
    <row r="1499">
      <c r="A1499" s="2" t="s">
        <v>42</v>
      </c>
      <c r="B1499" s="2" t="s">
        <v>47</v>
      </c>
      <c r="C1499" s="149">
        <v>211.0</v>
      </c>
    </row>
    <row r="1500">
      <c r="A1500" s="2" t="s">
        <v>42</v>
      </c>
      <c r="B1500" s="2" t="s">
        <v>62</v>
      </c>
      <c r="C1500" s="149">
        <v>215.0</v>
      </c>
    </row>
    <row r="1501">
      <c r="A1501" s="2" t="s">
        <v>42</v>
      </c>
      <c r="B1501" s="2" t="s">
        <v>30</v>
      </c>
      <c r="C1501" s="149">
        <v>446.0</v>
      </c>
    </row>
    <row r="1502">
      <c r="A1502" s="2" t="s">
        <v>42</v>
      </c>
      <c r="B1502" s="2" t="s">
        <v>32</v>
      </c>
      <c r="C1502" s="149">
        <v>474.0</v>
      </c>
    </row>
    <row r="1503">
      <c r="A1503" s="2" t="s">
        <v>42</v>
      </c>
      <c r="B1503" s="2" t="s">
        <v>46</v>
      </c>
      <c r="C1503" s="149">
        <v>125.0</v>
      </c>
    </row>
    <row r="1504">
      <c r="A1504" s="2" t="s">
        <v>42</v>
      </c>
      <c r="B1504" s="2" t="s">
        <v>54</v>
      </c>
      <c r="C1504" s="149">
        <v>593.0</v>
      </c>
    </row>
    <row r="1505">
      <c r="A1505" s="2" t="s">
        <v>42</v>
      </c>
      <c r="B1505" s="2" t="s">
        <v>34</v>
      </c>
      <c r="C1505" s="149">
        <v>310.0</v>
      </c>
    </row>
    <row r="1506">
      <c r="A1506" s="2" t="s">
        <v>42</v>
      </c>
      <c r="B1506" s="2" t="s">
        <v>20</v>
      </c>
      <c r="C1506" s="149">
        <v>526.0</v>
      </c>
    </row>
    <row r="1507">
      <c r="A1507" s="2" t="s">
        <v>42</v>
      </c>
      <c r="B1507" s="2" t="s">
        <v>24</v>
      </c>
      <c r="C1507" s="149">
        <v>580.0</v>
      </c>
    </row>
    <row r="1508">
      <c r="A1508" s="2" t="s">
        <v>42</v>
      </c>
      <c r="B1508" s="2" t="s">
        <v>63</v>
      </c>
      <c r="C1508" s="149">
        <v>298.0</v>
      </c>
    </row>
    <row r="1509">
      <c r="A1509" s="2" t="s">
        <v>42</v>
      </c>
      <c r="B1509" s="2" t="s">
        <v>58</v>
      </c>
      <c r="C1509" s="149">
        <v>708.0</v>
      </c>
    </row>
    <row r="1510">
      <c r="A1510" s="2" t="s">
        <v>42</v>
      </c>
      <c r="B1510" s="2" t="s">
        <v>42</v>
      </c>
      <c r="C1510" s="149">
        <v>0.0</v>
      </c>
    </row>
    <row r="1511">
      <c r="A1511" s="2" t="s">
        <v>42</v>
      </c>
      <c r="B1511" s="2" t="s">
        <v>21</v>
      </c>
      <c r="C1511" s="149">
        <v>520.0</v>
      </c>
    </row>
    <row r="1512">
      <c r="A1512" s="2" t="s">
        <v>42</v>
      </c>
      <c r="B1512" s="2" t="s">
        <v>33</v>
      </c>
      <c r="C1512" s="149">
        <v>525.0</v>
      </c>
    </row>
    <row r="1513">
      <c r="A1513" s="2" t="s">
        <v>42</v>
      </c>
      <c r="B1513" s="2" t="s">
        <v>66</v>
      </c>
      <c r="C1513" s="149">
        <v>125.0</v>
      </c>
    </row>
    <row r="1514">
      <c r="A1514" s="2" t="s">
        <v>42</v>
      </c>
      <c r="B1514" s="2" t="s">
        <v>29</v>
      </c>
      <c r="C1514" s="149">
        <v>704.0</v>
      </c>
    </row>
    <row r="1515">
      <c r="A1515" s="2" t="s">
        <v>42</v>
      </c>
      <c r="B1515" s="2" t="s">
        <v>60</v>
      </c>
      <c r="C1515" s="149">
        <v>370.0</v>
      </c>
    </row>
    <row r="1516">
      <c r="A1516" s="2" t="s">
        <v>42</v>
      </c>
      <c r="B1516" s="2" t="s">
        <v>38</v>
      </c>
      <c r="C1516" s="149">
        <v>560.0</v>
      </c>
    </row>
    <row r="1517">
      <c r="A1517" s="2" t="s">
        <v>42</v>
      </c>
      <c r="B1517" s="2" t="s">
        <v>61</v>
      </c>
      <c r="C1517" s="149">
        <v>239.0</v>
      </c>
    </row>
    <row r="1518">
      <c r="A1518" s="2" t="s">
        <v>42</v>
      </c>
      <c r="B1518" s="2" t="s">
        <v>52</v>
      </c>
      <c r="C1518" s="149">
        <v>551.0</v>
      </c>
    </row>
    <row r="1519">
      <c r="A1519" s="2" t="s">
        <v>42</v>
      </c>
      <c r="B1519" s="2" t="s">
        <v>25</v>
      </c>
      <c r="C1519" s="149">
        <v>631.0</v>
      </c>
    </row>
    <row r="1520">
      <c r="A1520" s="2" t="s">
        <v>42</v>
      </c>
      <c r="B1520" s="2" t="s">
        <v>67</v>
      </c>
      <c r="C1520" s="149">
        <v>650.0</v>
      </c>
    </row>
    <row r="1521">
      <c r="A1521" s="2" t="s">
        <v>42</v>
      </c>
      <c r="B1521" s="2" t="s">
        <v>45</v>
      </c>
      <c r="C1521" s="149">
        <v>125.0</v>
      </c>
    </row>
    <row r="1522">
      <c r="A1522" s="2" t="s">
        <v>42</v>
      </c>
      <c r="B1522" s="2" t="s">
        <v>53</v>
      </c>
      <c r="C1522" s="149">
        <v>672.0</v>
      </c>
    </row>
    <row r="1523">
      <c r="A1523" s="2" t="s">
        <v>42</v>
      </c>
      <c r="B1523" s="2" t="s">
        <v>26</v>
      </c>
      <c r="C1523" s="149">
        <v>665.0</v>
      </c>
    </row>
    <row r="1524">
      <c r="A1524" s="2" t="s">
        <v>42</v>
      </c>
      <c r="B1524" s="2" t="s">
        <v>28</v>
      </c>
      <c r="C1524" s="149">
        <v>514.0</v>
      </c>
    </row>
    <row r="1525">
      <c r="A1525" s="2" t="s">
        <v>42</v>
      </c>
      <c r="B1525" s="2" t="s">
        <v>55</v>
      </c>
      <c r="C1525" s="149">
        <v>725.0</v>
      </c>
    </row>
    <row r="1526">
      <c r="A1526" s="2" t="s">
        <v>42</v>
      </c>
      <c r="B1526" s="2" t="s">
        <v>48</v>
      </c>
      <c r="C1526" s="149">
        <v>225.0</v>
      </c>
    </row>
    <row r="1527">
      <c r="A1527" s="2" t="s">
        <v>42</v>
      </c>
      <c r="B1527" s="2" t="s">
        <v>2035</v>
      </c>
      <c r="C1527" s="149">
        <v>782.0</v>
      </c>
    </row>
    <row r="1528">
      <c r="A1528" s="2" t="s">
        <v>42</v>
      </c>
      <c r="B1528" s="2" t="s">
        <v>59</v>
      </c>
      <c r="C1528" s="149">
        <v>658.0</v>
      </c>
    </row>
    <row r="1529">
      <c r="A1529" s="2" t="s">
        <v>42</v>
      </c>
      <c r="B1529" s="2" t="s">
        <v>44</v>
      </c>
      <c r="C1529" s="149">
        <v>157.0</v>
      </c>
    </row>
    <row r="1530">
      <c r="A1530" s="2" t="s">
        <v>42</v>
      </c>
      <c r="B1530" s="2" t="s">
        <v>2036</v>
      </c>
      <c r="C1530" s="149">
        <v>749.0</v>
      </c>
    </row>
    <row r="1531">
      <c r="A1531" s="2" t="s">
        <v>42</v>
      </c>
      <c r="B1531" s="2" t="s">
        <v>2037</v>
      </c>
      <c r="C1531" s="149">
        <v>692.0</v>
      </c>
    </row>
    <row r="1532">
      <c r="A1532" s="2" t="s">
        <v>21</v>
      </c>
      <c r="B1532" s="2" t="s">
        <v>18</v>
      </c>
      <c r="C1532" s="149">
        <v>332.0</v>
      </c>
    </row>
    <row r="1533">
      <c r="A1533" s="2" t="s">
        <v>21</v>
      </c>
      <c r="B1533" s="2" t="s">
        <v>49</v>
      </c>
      <c r="C1533" s="149">
        <v>189.0</v>
      </c>
    </row>
    <row r="1534">
      <c r="A1534" s="2" t="s">
        <v>21</v>
      </c>
      <c r="B1534" s="2" t="s">
        <v>22</v>
      </c>
      <c r="C1534" s="149">
        <v>24.4</v>
      </c>
    </row>
    <row r="1535">
      <c r="A1535" s="2" t="s">
        <v>21</v>
      </c>
      <c r="B1535" s="2" t="s">
        <v>27</v>
      </c>
      <c r="C1535" s="149">
        <v>389.0</v>
      </c>
    </row>
    <row r="1536">
      <c r="A1536" s="2" t="s">
        <v>21</v>
      </c>
      <c r="B1536" s="2" t="s">
        <v>35</v>
      </c>
      <c r="C1536" s="149">
        <v>630.0</v>
      </c>
    </row>
    <row r="1537">
      <c r="A1537" s="2" t="s">
        <v>21</v>
      </c>
      <c r="B1537" s="2" t="s">
        <v>41</v>
      </c>
      <c r="C1537" s="149">
        <v>580.0</v>
      </c>
    </row>
    <row r="1538">
      <c r="A1538" s="2" t="s">
        <v>21</v>
      </c>
      <c r="B1538" s="2" t="s">
        <v>57</v>
      </c>
      <c r="C1538" s="149">
        <v>612.0</v>
      </c>
    </row>
    <row r="1539">
      <c r="A1539" s="2" t="s">
        <v>21</v>
      </c>
      <c r="B1539" s="2" t="s">
        <v>37</v>
      </c>
      <c r="C1539" s="149">
        <v>315.0</v>
      </c>
    </row>
    <row r="1540">
      <c r="A1540" s="2" t="s">
        <v>21</v>
      </c>
      <c r="B1540" s="2" t="s">
        <v>39</v>
      </c>
      <c r="C1540" s="149">
        <v>273.0</v>
      </c>
    </row>
    <row r="1541">
      <c r="A1541" s="2" t="s">
        <v>21</v>
      </c>
      <c r="B1541" s="2" t="s">
        <v>64</v>
      </c>
      <c r="C1541" s="149">
        <v>488.0</v>
      </c>
    </row>
    <row r="1542">
      <c r="A1542" s="2" t="s">
        <v>21</v>
      </c>
      <c r="B1542" s="2" t="s">
        <v>65</v>
      </c>
      <c r="C1542" s="149">
        <v>400.0</v>
      </c>
    </row>
    <row r="1543">
      <c r="A1543" s="2" t="s">
        <v>21</v>
      </c>
      <c r="B1543" s="2" t="s">
        <v>36</v>
      </c>
      <c r="C1543" s="149">
        <v>627.0</v>
      </c>
    </row>
    <row r="1544">
      <c r="A1544" s="2" t="s">
        <v>21</v>
      </c>
      <c r="B1544" s="2" t="s">
        <v>31</v>
      </c>
      <c r="C1544" s="149">
        <v>637.0</v>
      </c>
    </row>
    <row r="1545">
      <c r="A1545" s="2" t="s">
        <v>21</v>
      </c>
      <c r="B1545" s="2" t="s">
        <v>43</v>
      </c>
      <c r="C1545" s="149">
        <v>448.0</v>
      </c>
    </row>
    <row r="1546">
      <c r="A1546" s="2" t="s">
        <v>21</v>
      </c>
      <c r="B1546" s="2" t="s">
        <v>40</v>
      </c>
      <c r="C1546" s="149">
        <v>264.0</v>
      </c>
    </row>
    <row r="1547">
      <c r="A1547" s="2" t="s">
        <v>21</v>
      </c>
      <c r="B1547" s="2" t="s">
        <v>50</v>
      </c>
      <c r="C1547" s="149">
        <v>238.0</v>
      </c>
    </row>
    <row r="1548">
      <c r="A1548" s="2" t="s">
        <v>21</v>
      </c>
      <c r="B1548" s="2" t="s">
        <v>51</v>
      </c>
      <c r="C1548" s="149">
        <v>440.0</v>
      </c>
    </row>
    <row r="1549">
      <c r="A1549" s="2" t="s">
        <v>21</v>
      </c>
      <c r="B1549" s="2" t="s">
        <v>23</v>
      </c>
      <c r="C1549" s="149">
        <v>37.5</v>
      </c>
    </row>
    <row r="1550">
      <c r="A1550" s="2" t="s">
        <v>21</v>
      </c>
      <c r="B1550" s="2" t="s">
        <v>47</v>
      </c>
      <c r="C1550" s="149">
        <v>366.0</v>
      </c>
    </row>
    <row r="1551">
      <c r="A1551" s="2" t="s">
        <v>21</v>
      </c>
      <c r="B1551" s="2" t="s">
        <v>62</v>
      </c>
      <c r="C1551" s="149">
        <v>306.0</v>
      </c>
    </row>
    <row r="1552">
      <c r="A1552" s="2" t="s">
        <v>21</v>
      </c>
      <c r="B1552" s="2" t="s">
        <v>30</v>
      </c>
      <c r="C1552" s="149">
        <v>523.0</v>
      </c>
    </row>
    <row r="1553">
      <c r="A1553" s="2" t="s">
        <v>21</v>
      </c>
      <c r="B1553" s="2" t="s">
        <v>32</v>
      </c>
      <c r="C1553" s="149">
        <v>552.0</v>
      </c>
    </row>
    <row r="1554">
      <c r="A1554" s="2" t="s">
        <v>21</v>
      </c>
      <c r="B1554" s="2" t="s">
        <v>46</v>
      </c>
      <c r="C1554" s="149">
        <v>396.0</v>
      </c>
    </row>
    <row r="1555">
      <c r="A1555" s="2" t="s">
        <v>21</v>
      </c>
      <c r="B1555" s="2" t="s">
        <v>54</v>
      </c>
      <c r="C1555" s="149">
        <v>82.7</v>
      </c>
    </row>
    <row r="1556">
      <c r="A1556" s="2" t="s">
        <v>21</v>
      </c>
      <c r="B1556" s="2" t="s">
        <v>34</v>
      </c>
      <c r="C1556" s="149">
        <v>217.0</v>
      </c>
    </row>
    <row r="1557">
      <c r="A1557" s="2" t="s">
        <v>21</v>
      </c>
      <c r="B1557" s="2" t="s">
        <v>20</v>
      </c>
      <c r="C1557" s="149">
        <v>30.1</v>
      </c>
    </row>
    <row r="1558">
      <c r="A1558" s="2" t="s">
        <v>21</v>
      </c>
      <c r="B1558" s="2" t="s">
        <v>24</v>
      </c>
      <c r="C1558" s="149">
        <v>499.0</v>
      </c>
    </row>
    <row r="1559">
      <c r="A1559" s="2" t="s">
        <v>21</v>
      </c>
      <c r="B1559" s="2" t="s">
        <v>63</v>
      </c>
      <c r="C1559" s="149">
        <v>390.0</v>
      </c>
    </row>
    <row r="1560">
      <c r="A1560" s="2" t="s">
        <v>21</v>
      </c>
      <c r="B1560" s="2" t="s">
        <v>58</v>
      </c>
      <c r="C1560" s="149">
        <v>627.0</v>
      </c>
    </row>
    <row r="1561">
      <c r="A1561" s="2" t="s">
        <v>21</v>
      </c>
      <c r="B1561" s="2" t="s">
        <v>42</v>
      </c>
      <c r="C1561" s="149">
        <v>520.0</v>
      </c>
    </row>
    <row r="1562">
      <c r="A1562" s="2" t="s">
        <v>21</v>
      </c>
      <c r="B1562" s="2" t="s">
        <v>21</v>
      </c>
      <c r="C1562" s="149">
        <v>0.0</v>
      </c>
    </row>
    <row r="1563">
      <c r="A1563" s="2" t="s">
        <v>21</v>
      </c>
      <c r="B1563" s="2" t="s">
        <v>33</v>
      </c>
      <c r="C1563" s="149">
        <v>150.0</v>
      </c>
    </row>
    <row r="1564">
      <c r="A1564" s="2" t="s">
        <v>21</v>
      </c>
      <c r="B1564" s="2" t="s">
        <v>66</v>
      </c>
      <c r="C1564" s="149">
        <v>558.0</v>
      </c>
    </row>
    <row r="1565">
      <c r="A1565" s="2" t="s">
        <v>21</v>
      </c>
      <c r="B1565" s="2" t="s">
        <v>29</v>
      </c>
      <c r="C1565" s="149">
        <v>303.0</v>
      </c>
    </row>
    <row r="1566">
      <c r="A1566" s="2" t="s">
        <v>21</v>
      </c>
      <c r="B1566" s="2" t="s">
        <v>60</v>
      </c>
      <c r="C1566" s="149">
        <v>153.0</v>
      </c>
    </row>
    <row r="1567">
      <c r="A1567" s="2" t="s">
        <v>21</v>
      </c>
      <c r="B1567" s="2" t="s">
        <v>38</v>
      </c>
      <c r="C1567" s="149">
        <v>390.0</v>
      </c>
    </row>
    <row r="1568">
      <c r="A1568" s="2" t="s">
        <v>21</v>
      </c>
      <c r="B1568" s="2" t="s">
        <v>61</v>
      </c>
      <c r="C1568" s="149">
        <v>288.0</v>
      </c>
    </row>
    <row r="1569">
      <c r="A1569" s="2" t="s">
        <v>21</v>
      </c>
      <c r="B1569" s="2" t="s">
        <v>52</v>
      </c>
      <c r="C1569" s="149">
        <v>458.0</v>
      </c>
    </row>
    <row r="1570">
      <c r="A1570" s="2" t="s">
        <v>21</v>
      </c>
      <c r="B1570" s="2" t="s">
        <v>25</v>
      </c>
      <c r="C1570" s="149">
        <v>538.0</v>
      </c>
    </row>
    <row r="1571">
      <c r="A1571" s="2" t="s">
        <v>21</v>
      </c>
      <c r="B1571" s="2" t="s">
        <v>67</v>
      </c>
      <c r="C1571" s="149">
        <v>501.0</v>
      </c>
    </row>
    <row r="1572">
      <c r="A1572" s="2" t="s">
        <v>21</v>
      </c>
      <c r="B1572" s="2" t="s">
        <v>45</v>
      </c>
      <c r="C1572" s="149">
        <v>397.0</v>
      </c>
    </row>
    <row r="1573">
      <c r="A1573" s="2" t="s">
        <v>21</v>
      </c>
      <c r="B1573" s="2" t="s">
        <v>53</v>
      </c>
      <c r="C1573" s="149">
        <v>686.0</v>
      </c>
    </row>
    <row r="1574">
      <c r="A1574" s="2" t="s">
        <v>21</v>
      </c>
      <c r="B1574" s="2" t="s">
        <v>26</v>
      </c>
      <c r="C1574" s="149">
        <v>572.0</v>
      </c>
    </row>
    <row r="1575">
      <c r="A1575" s="2" t="s">
        <v>21</v>
      </c>
      <c r="B1575" s="2" t="s">
        <v>28</v>
      </c>
      <c r="C1575" s="149">
        <v>343.0</v>
      </c>
    </row>
    <row r="1576">
      <c r="A1576" s="2" t="s">
        <v>21</v>
      </c>
      <c r="B1576" s="2" t="s">
        <v>55</v>
      </c>
      <c r="C1576" s="149">
        <v>214.0</v>
      </c>
    </row>
    <row r="1577">
      <c r="A1577" s="2" t="s">
        <v>21</v>
      </c>
      <c r="B1577" s="2" t="s">
        <v>48</v>
      </c>
      <c r="C1577" s="149">
        <v>406.0</v>
      </c>
    </row>
    <row r="1578">
      <c r="A1578" s="2" t="s">
        <v>21</v>
      </c>
      <c r="B1578" s="2" t="s">
        <v>2035</v>
      </c>
      <c r="C1578" s="149">
        <v>271.0</v>
      </c>
    </row>
    <row r="1579">
      <c r="A1579" s="2" t="s">
        <v>21</v>
      </c>
      <c r="B1579" s="2" t="s">
        <v>59</v>
      </c>
      <c r="C1579" s="149">
        <v>577.0</v>
      </c>
    </row>
    <row r="1580">
      <c r="A1580" s="2" t="s">
        <v>21</v>
      </c>
      <c r="B1580" s="2" t="s">
        <v>44</v>
      </c>
      <c r="C1580" s="149">
        <v>367.0</v>
      </c>
    </row>
    <row r="1581">
      <c r="A1581" s="2" t="s">
        <v>21</v>
      </c>
      <c r="B1581" s="2" t="s">
        <v>2036</v>
      </c>
      <c r="C1581" s="149">
        <v>239.0</v>
      </c>
    </row>
    <row r="1582">
      <c r="A1582" s="2" t="s">
        <v>21</v>
      </c>
      <c r="B1582" s="2" t="s">
        <v>2037</v>
      </c>
      <c r="C1582" s="149">
        <v>199.0</v>
      </c>
    </row>
    <row r="1583">
      <c r="A1583" s="2" t="s">
        <v>33</v>
      </c>
      <c r="B1583" s="2" t="s">
        <v>18</v>
      </c>
      <c r="C1583" s="149">
        <v>336.0</v>
      </c>
    </row>
    <row r="1584">
      <c r="A1584" s="2" t="s">
        <v>33</v>
      </c>
      <c r="B1584" s="2" t="s">
        <v>49</v>
      </c>
      <c r="C1584" s="149">
        <v>284.0</v>
      </c>
    </row>
    <row r="1585">
      <c r="A1585" s="2" t="s">
        <v>33</v>
      </c>
      <c r="B1585" s="2" t="s">
        <v>22</v>
      </c>
      <c r="C1585" s="149">
        <v>126.0</v>
      </c>
    </row>
    <row r="1586">
      <c r="A1586" s="2" t="s">
        <v>33</v>
      </c>
      <c r="B1586" s="2" t="s">
        <v>27</v>
      </c>
      <c r="C1586" s="149">
        <v>254.0</v>
      </c>
    </row>
    <row r="1587">
      <c r="A1587" s="2" t="s">
        <v>33</v>
      </c>
      <c r="B1587" s="2" t="s">
        <v>35</v>
      </c>
      <c r="C1587" s="149">
        <v>634.0</v>
      </c>
    </row>
    <row r="1588">
      <c r="A1588" s="2" t="s">
        <v>33</v>
      </c>
      <c r="B1588" s="2" t="s">
        <v>41</v>
      </c>
      <c r="C1588" s="149">
        <v>584.0</v>
      </c>
    </row>
    <row r="1589">
      <c r="A1589" s="2" t="s">
        <v>33</v>
      </c>
      <c r="B1589" s="2" t="s">
        <v>57</v>
      </c>
      <c r="C1589" s="149">
        <v>476.0</v>
      </c>
    </row>
    <row r="1590">
      <c r="A1590" s="2" t="s">
        <v>33</v>
      </c>
      <c r="B1590" s="2" t="s">
        <v>37</v>
      </c>
      <c r="C1590" s="149">
        <v>180.0</v>
      </c>
    </row>
    <row r="1591">
      <c r="A1591" s="2" t="s">
        <v>33</v>
      </c>
      <c r="B1591" s="2" t="s">
        <v>39</v>
      </c>
      <c r="C1591" s="149">
        <v>138.0</v>
      </c>
    </row>
    <row r="1592">
      <c r="A1592" s="2" t="s">
        <v>33</v>
      </c>
      <c r="B1592" s="2" t="s">
        <v>64</v>
      </c>
      <c r="C1592" s="149">
        <v>493.0</v>
      </c>
    </row>
    <row r="1593">
      <c r="A1593" s="2" t="s">
        <v>33</v>
      </c>
      <c r="B1593" s="2" t="s">
        <v>65</v>
      </c>
      <c r="C1593" s="149">
        <v>405.0</v>
      </c>
    </row>
    <row r="1594">
      <c r="A1594" s="2" t="s">
        <v>33</v>
      </c>
      <c r="B1594" s="2" t="s">
        <v>36</v>
      </c>
      <c r="C1594" s="149">
        <v>631.0</v>
      </c>
    </row>
    <row r="1595">
      <c r="A1595" s="2" t="s">
        <v>33</v>
      </c>
      <c r="B1595" s="2" t="s">
        <v>31</v>
      </c>
      <c r="C1595" s="149">
        <v>508.0</v>
      </c>
    </row>
    <row r="1596">
      <c r="A1596" s="2" t="s">
        <v>33</v>
      </c>
      <c r="B1596" s="2" t="s">
        <v>43</v>
      </c>
      <c r="C1596" s="149">
        <v>453.0</v>
      </c>
    </row>
    <row r="1597">
      <c r="A1597" s="2" t="s">
        <v>33</v>
      </c>
      <c r="B1597" s="2" t="s">
        <v>40</v>
      </c>
      <c r="C1597" s="149">
        <v>135.0</v>
      </c>
    </row>
    <row r="1598">
      <c r="A1598" s="2" t="s">
        <v>33</v>
      </c>
      <c r="B1598" s="2" t="s">
        <v>50</v>
      </c>
      <c r="C1598" s="149">
        <v>372.0</v>
      </c>
    </row>
    <row r="1599">
      <c r="A1599" s="2" t="s">
        <v>33</v>
      </c>
      <c r="B1599" s="2" t="s">
        <v>51</v>
      </c>
      <c r="C1599" s="149">
        <v>305.0</v>
      </c>
    </row>
    <row r="1600">
      <c r="A1600" s="2" t="s">
        <v>33</v>
      </c>
      <c r="B1600" s="2" t="s">
        <v>23</v>
      </c>
      <c r="C1600" s="149">
        <v>152.0</v>
      </c>
    </row>
    <row r="1601">
      <c r="A1601" s="2" t="s">
        <v>33</v>
      </c>
      <c r="B1601" s="2" t="s">
        <v>47</v>
      </c>
      <c r="C1601" s="149">
        <v>370.0</v>
      </c>
    </row>
    <row r="1602">
      <c r="A1602" s="2" t="s">
        <v>33</v>
      </c>
      <c r="B1602" s="2" t="s">
        <v>62</v>
      </c>
      <c r="C1602" s="149">
        <v>311.0</v>
      </c>
    </row>
    <row r="1603">
      <c r="A1603" s="2" t="s">
        <v>33</v>
      </c>
      <c r="B1603" s="2" t="s">
        <v>30</v>
      </c>
      <c r="C1603" s="149">
        <v>394.0</v>
      </c>
    </row>
    <row r="1604">
      <c r="A1604" s="2" t="s">
        <v>33</v>
      </c>
      <c r="B1604" s="2" t="s">
        <v>32</v>
      </c>
      <c r="C1604" s="149">
        <v>423.0</v>
      </c>
    </row>
    <row r="1605">
      <c r="A1605" s="2" t="s">
        <v>33</v>
      </c>
      <c r="B1605" s="2" t="s">
        <v>46</v>
      </c>
      <c r="C1605" s="149">
        <v>401.0</v>
      </c>
    </row>
    <row r="1606">
      <c r="A1606" s="2" t="s">
        <v>33</v>
      </c>
      <c r="B1606" s="2" t="s">
        <v>54</v>
      </c>
      <c r="C1606" s="149">
        <v>217.0</v>
      </c>
    </row>
    <row r="1607">
      <c r="A1607" s="2" t="s">
        <v>33</v>
      </c>
      <c r="B1607" s="2" t="s">
        <v>34</v>
      </c>
      <c r="C1607" s="149">
        <v>218.0</v>
      </c>
    </row>
    <row r="1608">
      <c r="A1608" s="2" t="s">
        <v>33</v>
      </c>
      <c r="B1608" s="2" t="s">
        <v>20</v>
      </c>
      <c r="C1608" s="149">
        <v>112.0</v>
      </c>
    </row>
    <row r="1609">
      <c r="A1609" s="2" t="s">
        <v>33</v>
      </c>
      <c r="B1609" s="2" t="s">
        <v>24</v>
      </c>
      <c r="C1609" s="149">
        <v>364.0</v>
      </c>
    </row>
    <row r="1610">
      <c r="A1610" s="2" t="s">
        <v>33</v>
      </c>
      <c r="B1610" s="2" t="s">
        <v>63</v>
      </c>
      <c r="C1610" s="149">
        <v>261.0</v>
      </c>
    </row>
    <row r="1611">
      <c r="A1611" s="2" t="s">
        <v>33</v>
      </c>
      <c r="B1611" s="2" t="s">
        <v>58</v>
      </c>
      <c r="C1611" s="149">
        <v>492.0</v>
      </c>
    </row>
    <row r="1612">
      <c r="A1612" s="2" t="s">
        <v>33</v>
      </c>
      <c r="B1612" s="2" t="s">
        <v>42</v>
      </c>
      <c r="C1612" s="149">
        <v>525.0</v>
      </c>
    </row>
    <row r="1613">
      <c r="A1613" s="2" t="s">
        <v>33</v>
      </c>
      <c r="B1613" s="2" t="s">
        <v>21</v>
      </c>
      <c r="C1613" s="149">
        <v>150.0</v>
      </c>
    </row>
    <row r="1614">
      <c r="A1614" s="2" t="s">
        <v>33</v>
      </c>
      <c r="B1614" s="2" t="s">
        <v>33</v>
      </c>
      <c r="C1614" s="149">
        <v>0.0</v>
      </c>
    </row>
    <row r="1615">
      <c r="A1615" s="2" t="s">
        <v>33</v>
      </c>
      <c r="B1615" s="2" t="s">
        <v>66</v>
      </c>
      <c r="C1615" s="149">
        <v>545.0</v>
      </c>
    </row>
    <row r="1616">
      <c r="A1616" s="2" t="s">
        <v>33</v>
      </c>
      <c r="B1616" s="2" t="s">
        <v>29</v>
      </c>
      <c r="C1616" s="149">
        <v>410.0</v>
      </c>
    </row>
    <row r="1617">
      <c r="A1617" s="2" t="s">
        <v>33</v>
      </c>
      <c r="B1617" s="2" t="s">
        <v>60</v>
      </c>
      <c r="C1617" s="149">
        <v>153.0</v>
      </c>
    </row>
    <row r="1618">
      <c r="A1618" s="2" t="s">
        <v>33</v>
      </c>
      <c r="B1618" s="2" t="s">
        <v>38</v>
      </c>
      <c r="C1618" s="149">
        <v>266.0</v>
      </c>
    </row>
    <row r="1619">
      <c r="A1619" s="2" t="s">
        <v>33</v>
      </c>
      <c r="B1619" s="2" t="s">
        <v>61</v>
      </c>
      <c r="C1619" s="149">
        <v>299.0</v>
      </c>
    </row>
    <row r="1620">
      <c r="A1620" s="2" t="s">
        <v>33</v>
      </c>
      <c r="B1620" s="2" t="s">
        <v>52</v>
      </c>
      <c r="C1620" s="149">
        <v>334.0</v>
      </c>
    </row>
    <row r="1621">
      <c r="A1621" s="2" t="s">
        <v>33</v>
      </c>
      <c r="B1621" s="2" t="s">
        <v>25</v>
      </c>
      <c r="C1621" s="149">
        <v>414.0</v>
      </c>
    </row>
    <row r="1622">
      <c r="A1622" s="2" t="s">
        <v>33</v>
      </c>
      <c r="B1622" s="2" t="s">
        <v>67</v>
      </c>
      <c r="C1622" s="149">
        <v>377.0</v>
      </c>
    </row>
    <row r="1623">
      <c r="A1623" s="2" t="s">
        <v>33</v>
      </c>
      <c r="B1623" s="2" t="s">
        <v>45</v>
      </c>
      <c r="C1623" s="149">
        <v>401.0</v>
      </c>
    </row>
    <row r="1624">
      <c r="A1624" s="2" t="s">
        <v>33</v>
      </c>
      <c r="B1624" s="2" t="s">
        <v>53</v>
      </c>
      <c r="C1624" s="149">
        <v>562.0</v>
      </c>
    </row>
    <row r="1625">
      <c r="A1625" s="2" t="s">
        <v>33</v>
      </c>
      <c r="B1625" s="2" t="s">
        <v>26</v>
      </c>
      <c r="C1625" s="149">
        <v>448.0</v>
      </c>
    </row>
    <row r="1626">
      <c r="A1626" s="2" t="s">
        <v>33</v>
      </c>
      <c r="B1626" s="2" t="s">
        <v>28</v>
      </c>
      <c r="C1626" s="149">
        <v>220.0</v>
      </c>
    </row>
    <row r="1627">
      <c r="A1627" s="2" t="s">
        <v>33</v>
      </c>
      <c r="B1627" s="2" t="s">
        <v>55</v>
      </c>
      <c r="C1627" s="149">
        <v>347.0</v>
      </c>
    </row>
    <row r="1628">
      <c r="A1628" s="2" t="s">
        <v>33</v>
      </c>
      <c r="B1628" s="2" t="s">
        <v>48</v>
      </c>
      <c r="C1628" s="149">
        <v>331.0</v>
      </c>
    </row>
    <row r="1629">
      <c r="A1629" s="2" t="s">
        <v>33</v>
      </c>
      <c r="B1629" s="2" t="s">
        <v>2035</v>
      </c>
      <c r="C1629" s="149">
        <v>405.0</v>
      </c>
    </row>
    <row r="1630">
      <c r="A1630" s="2" t="s">
        <v>33</v>
      </c>
      <c r="B1630" s="2" t="s">
        <v>59</v>
      </c>
      <c r="C1630" s="149">
        <v>442.0</v>
      </c>
    </row>
    <row r="1631">
      <c r="A1631" s="2" t="s">
        <v>33</v>
      </c>
      <c r="B1631" s="2" t="s">
        <v>44</v>
      </c>
      <c r="C1631" s="149">
        <v>371.0</v>
      </c>
    </row>
    <row r="1632">
      <c r="A1632" s="2" t="s">
        <v>33</v>
      </c>
      <c r="B1632" s="2" t="s">
        <v>2036</v>
      </c>
      <c r="C1632" s="149">
        <v>372.0</v>
      </c>
    </row>
    <row r="1633">
      <c r="A1633" s="2" t="s">
        <v>33</v>
      </c>
      <c r="B1633" s="2" t="s">
        <v>2037</v>
      </c>
      <c r="C1633" s="149">
        <v>293.0</v>
      </c>
    </row>
    <row r="1634">
      <c r="A1634" s="2" t="s">
        <v>66</v>
      </c>
      <c r="B1634" s="2" t="s">
        <v>18</v>
      </c>
      <c r="C1634" s="149">
        <v>210.0</v>
      </c>
    </row>
    <row r="1635">
      <c r="A1635" s="2" t="s">
        <v>66</v>
      </c>
      <c r="B1635" s="2" t="s">
        <v>49</v>
      </c>
      <c r="C1635" s="149">
        <v>747.0</v>
      </c>
    </row>
    <row r="1636">
      <c r="A1636" s="2" t="s">
        <v>66</v>
      </c>
      <c r="B1636" s="2" t="s">
        <v>22</v>
      </c>
      <c r="C1636" s="149">
        <v>540.0</v>
      </c>
    </row>
    <row r="1637">
      <c r="A1637" s="2" t="s">
        <v>66</v>
      </c>
      <c r="B1637" s="2" t="s">
        <v>27</v>
      </c>
      <c r="C1637" s="149">
        <v>520.0</v>
      </c>
    </row>
    <row r="1638">
      <c r="A1638" s="2" t="s">
        <v>66</v>
      </c>
      <c r="B1638" s="2" t="s">
        <v>35</v>
      </c>
      <c r="C1638" s="149">
        <v>135.0</v>
      </c>
    </row>
    <row r="1639">
      <c r="A1639" s="2" t="s">
        <v>66</v>
      </c>
      <c r="B1639" s="2" t="s">
        <v>41</v>
      </c>
      <c r="C1639" s="149">
        <v>62.0</v>
      </c>
    </row>
    <row r="1640">
      <c r="A1640" s="2" t="s">
        <v>66</v>
      </c>
      <c r="B1640" s="2" t="s">
        <v>57</v>
      </c>
      <c r="C1640" s="149">
        <v>713.0</v>
      </c>
    </row>
    <row r="1641">
      <c r="A1641" s="2" t="s">
        <v>66</v>
      </c>
      <c r="B1641" s="2" t="s">
        <v>37</v>
      </c>
      <c r="C1641" s="149">
        <v>494.0</v>
      </c>
    </row>
    <row r="1642">
      <c r="A1642" s="2" t="s">
        <v>66</v>
      </c>
      <c r="B1642" s="2" t="s">
        <v>39</v>
      </c>
      <c r="C1642" s="149">
        <v>477.0</v>
      </c>
    </row>
    <row r="1643">
      <c r="A1643" s="2" t="s">
        <v>66</v>
      </c>
      <c r="B1643" s="2" t="s">
        <v>64</v>
      </c>
      <c r="C1643" s="149">
        <v>155.0</v>
      </c>
    </row>
    <row r="1644">
      <c r="A1644" s="2" t="s">
        <v>66</v>
      </c>
      <c r="B1644" s="2" t="s">
        <v>65</v>
      </c>
      <c r="C1644" s="149">
        <v>181.0</v>
      </c>
    </row>
    <row r="1645">
      <c r="A1645" s="2" t="s">
        <v>66</v>
      </c>
      <c r="B1645" s="2" t="s">
        <v>36</v>
      </c>
      <c r="C1645" s="149">
        <v>132.0</v>
      </c>
    </row>
    <row r="1646">
      <c r="A1646" s="2" t="s">
        <v>66</v>
      </c>
      <c r="B1646" s="2" t="s">
        <v>31</v>
      </c>
      <c r="C1646" s="149">
        <v>673.0</v>
      </c>
    </row>
    <row r="1647">
      <c r="A1647" s="2" t="s">
        <v>66</v>
      </c>
      <c r="B1647" s="2" t="s">
        <v>43</v>
      </c>
      <c r="C1647" s="149">
        <v>115.0</v>
      </c>
    </row>
    <row r="1648">
      <c r="A1648" s="2" t="s">
        <v>66</v>
      </c>
      <c r="B1648" s="2" t="s">
        <v>40</v>
      </c>
      <c r="C1648" s="149">
        <v>410.0</v>
      </c>
    </row>
    <row r="1649">
      <c r="A1649" s="2" t="s">
        <v>66</v>
      </c>
      <c r="B1649" s="2" t="s">
        <v>50</v>
      </c>
      <c r="C1649" s="149">
        <v>786.0</v>
      </c>
    </row>
    <row r="1650">
      <c r="A1650" s="2" t="s">
        <v>66</v>
      </c>
      <c r="B1650" s="2" t="s">
        <v>51</v>
      </c>
      <c r="C1650" s="149">
        <v>542.0</v>
      </c>
    </row>
    <row r="1651">
      <c r="A1651" s="2" t="s">
        <v>66</v>
      </c>
      <c r="B1651" s="2" t="s">
        <v>23</v>
      </c>
      <c r="C1651" s="149">
        <v>566.0</v>
      </c>
    </row>
    <row r="1652">
      <c r="A1652" s="2" t="s">
        <v>66</v>
      </c>
      <c r="B1652" s="2" t="s">
        <v>47</v>
      </c>
      <c r="C1652" s="149">
        <v>323.0</v>
      </c>
    </row>
    <row r="1653">
      <c r="A1653" s="2" t="s">
        <v>66</v>
      </c>
      <c r="B1653" s="2" t="s">
        <v>62</v>
      </c>
      <c r="C1653" s="149">
        <v>235.0</v>
      </c>
    </row>
    <row r="1654">
      <c r="A1654" s="2" t="s">
        <v>66</v>
      </c>
      <c r="B1654" s="2" t="s">
        <v>30</v>
      </c>
      <c r="C1654" s="149">
        <v>559.0</v>
      </c>
    </row>
    <row r="1655">
      <c r="A1655" s="2" t="s">
        <v>66</v>
      </c>
      <c r="B1655" s="2" t="s">
        <v>32</v>
      </c>
      <c r="C1655" s="149">
        <v>587.0</v>
      </c>
    </row>
    <row r="1656">
      <c r="A1656" s="2" t="s">
        <v>66</v>
      </c>
      <c r="B1656" s="2" t="s">
        <v>46</v>
      </c>
      <c r="C1656" s="149">
        <v>237.0</v>
      </c>
    </row>
    <row r="1657">
      <c r="A1657" s="2" t="s">
        <v>66</v>
      </c>
      <c r="B1657" s="2" t="s">
        <v>54</v>
      </c>
      <c r="C1657" s="149">
        <v>631.0</v>
      </c>
    </row>
    <row r="1658">
      <c r="A1658" s="2" t="s">
        <v>66</v>
      </c>
      <c r="B1658" s="2" t="s">
        <v>34</v>
      </c>
      <c r="C1658" s="149">
        <v>354.0</v>
      </c>
    </row>
    <row r="1659">
      <c r="A1659" s="2" t="s">
        <v>66</v>
      </c>
      <c r="B1659" s="2" t="s">
        <v>20</v>
      </c>
      <c r="C1659" s="149">
        <v>563.0</v>
      </c>
    </row>
    <row r="1660">
      <c r="A1660" s="2" t="s">
        <v>66</v>
      </c>
      <c r="B1660" s="2" t="s">
        <v>24</v>
      </c>
      <c r="C1660" s="149">
        <v>601.0</v>
      </c>
    </row>
    <row r="1661">
      <c r="A1661" s="2" t="s">
        <v>66</v>
      </c>
      <c r="B1661" s="2" t="s">
        <v>63</v>
      </c>
      <c r="C1661" s="149">
        <v>410.0</v>
      </c>
    </row>
    <row r="1662">
      <c r="A1662" s="2" t="s">
        <v>66</v>
      </c>
      <c r="B1662" s="2" t="s">
        <v>58</v>
      </c>
      <c r="C1662" s="149">
        <v>728.0</v>
      </c>
    </row>
    <row r="1663">
      <c r="A1663" s="2" t="s">
        <v>66</v>
      </c>
      <c r="B1663" s="2" t="s">
        <v>42</v>
      </c>
      <c r="C1663" s="149">
        <v>125.0</v>
      </c>
    </row>
    <row r="1664">
      <c r="A1664" s="2" t="s">
        <v>66</v>
      </c>
      <c r="B1664" s="2" t="s">
        <v>21</v>
      </c>
      <c r="C1664" s="149">
        <v>558.0</v>
      </c>
    </row>
    <row r="1665">
      <c r="A1665" s="2" t="s">
        <v>66</v>
      </c>
      <c r="B1665" s="2" t="s">
        <v>33</v>
      </c>
      <c r="C1665" s="149">
        <v>545.0</v>
      </c>
    </row>
    <row r="1666">
      <c r="A1666" s="2" t="s">
        <v>66</v>
      </c>
      <c r="B1666" s="2" t="s">
        <v>66</v>
      </c>
      <c r="C1666" s="149">
        <v>0.0</v>
      </c>
    </row>
    <row r="1667">
      <c r="A1667" s="2" t="s">
        <v>66</v>
      </c>
      <c r="B1667" s="2" t="s">
        <v>29</v>
      </c>
      <c r="C1667" s="149">
        <v>726.0</v>
      </c>
    </row>
    <row r="1668">
      <c r="A1668" s="2" t="s">
        <v>66</v>
      </c>
      <c r="B1668" s="2" t="s">
        <v>60</v>
      </c>
      <c r="C1668" s="149">
        <v>409.0</v>
      </c>
    </row>
    <row r="1669">
      <c r="A1669" s="2" t="s">
        <v>66</v>
      </c>
      <c r="B1669" s="2" t="s">
        <v>38</v>
      </c>
      <c r="C1669" s="149">
        <v>582.0</v>
      </c>
    </row>
    <row r="1670">
      <c r="A1670" s="2" t="s">
        <v>66</v>
      </c>
      <c r="B1670" s="2" t="s">
        <v>61</v>
      </c>
      <c r="C1670" s="149">
        <v>261.0</v>
      </c>
    </row>
    <row r="1671">
      <c r="A1671" s="2" t="s">
        <v>66</v>
      </c>
      <c r="B1671" s="2" t="s">
        <v>52</v>
      </c>
      <c r="C1671" s="149">
        <v>572.0</v>
      </c>
    </row>
    <row r="1672">
      <c r="A1672" s="2" t="s">
        <v>66</v>
      </c>
      <c r="B1672" s="2" t="s">
        <v>25</v>
      </c>
      <c r="C1672" s="149">
        <v>653.0</v>
      </c>
    </row>
    <row r="1673">
      <c r="A1673" s="2" t="s">
        <v>66</v>
      </c>
      <c r="B1673" s="2" t="s">
        <v>67</v>
      </c>
      <c r="C1673" s="149">
        <v>672.0</v>
      </c>
    </row>
    <row r="1674">
      <c r="A1674" s="2" t="s">
        <v>66</v>
      </c>
      <c r="B1674" s="2" t="s">
        <v>45</v>
      </c>
      <c r="C1674" s="149">
        <v>236.0</v>
      </c>
    </row>
    <row r="1675">
      <c r="A1675" s="2" t="s">
        <v>66</v>
      </c>
      <c r="B1675" s="2" t="s">
        <v>53</v>
      </c>
      <c r="C1675" s="149">
        <v>787.0</v>
      </c>
    </row>
    <row r="1676">
      <c r="A1676" s="2" t="s">
        <v>66</v>
      </c>
      <c r="B1676" s="2" t="s">
        <v>26</v>
      </c>
      <c r="C1676" s="149">
        <v>686.0</v>
      </c>
    </row>
    <row r="1677">
      <c r="A1677" s="2" t="s">
        <v>66</v>
      </c>
      <c r="B1677" s="2" t="s">
        <v>28</v>
      </c>
      <c r="C1677" s="149">
        <v>535.0</v>
      </c>
    </row>
    <row r="1678">
      <c r="A1678" s="2" t="s">
        <v>66</v>
      </c>
      <c r="B1678" s="2" t="s">
        <v>55</v>
      </c>
      <c r="C1678" s="149">
        <v>763.0</v>
      </c>
    </row>
    <row r="1679">
      <c r="A1679" s="2" t="s">
        <v>66</v>
      </c>
      <c r="B1679" s="2" t="s">
        <v>48</v>
      </c>
      <c r="C1679" s="149">
        <v>336.0</v>
      </c>
    </row>
    <row r="1680">
      <c r="A1680" s="2" t="s">
        <v>66</v>
      </c>
      <c r="B1680" s="2" t="s">
        <v>2035</v>
      </c>
      <c r="C1680" s="149">
        <v>820.0</v>
      </c>
    </row>
    <row r="1681">
      <c r="A1681" s="2" t="s">
        <v>66</v>
      </c>
      <c r="B1681" s="2" t="s">
        <v>59</v>
      </c>
      <c r="C1681" s="149">
        <v>679.0</v>
      </c>
    </row>
    <row r="1682">
      <c r="A1682" s="2" t="s">
        <v>66</v>
      </c>
      <c r="B1682" s="2" t="s">
        <v>44</v>
      </c>
      <c r="C1682" s="149">
        <v>176.0</v>
      </c>
    </row>
    <row r="1683">
      <c r="A1683" s="2" t="s">
        <v>66</v>
      </c>
      <c r="B1683" s="2" t="s">
        <v>2036</v>
      </c>
      <c r="C1683" s="149">
        <v>788.0</v>
      </c>
    </row>
    <row r="1684">
      <c r="A1684" s="2" t="s">
        <v>66</v>
      </c>
      <c r="B1684" s="2" t="s">
        <v>2037</v>
      </c>
      <c r="C1684" s="149">
        <v>731.0</v>
      </c>
    </row>
    <row r="1685">
      <c r="A1685" s="2" t="s">
        <v>29</v>
      </c>
      <c r="B1685" s="2" t="s">
        <v>18</v>
      </c>
      <c r="C1685" s="149">
        <v>506.0</v>
      </c>
    </row>
    <row r="1686">
      <c r="A1686" s="2" t="s">
        <v>29</v>
      </c>
      <c r="B1686" s="2" t="s">
        <v>49</v>
      </c>
      <c r="C1686" s="149">
        <v>396.0</v>
      </c>
    </row>
    <row r="1687">
      <c r="A1687" s="2" t="s">
        <v>29</v>
      </c>
      <c r="B1687" s="2" t="s">
        <v>22</v>
      </c>
      <c r="C1687" s="149">
        <v>294.0</v>
      </c>
    </row>
    <row r="1688">
      <c r="A1688" s="2" t="s">
        <v>29</v>
      </c>
      <c r="B1688" s="2" t="s">
        <v>27</v>
      </c>
      <c r="C1688" s="149">
        <v>303.0</v>
      </c>
    </row>
    <row r="1689">
      <c r="A1689" s="2" t="s">
        <v>29</v>
      </c>
      <c r="B1689" s="2" t="s">
        <v>35</v>
      </c>
      <c r="C1689" s="149">
        <v>813.0</v>
      </c>
    </row>
    <row r="1690">
      <c r="A1690" s="2" t="s">
        <v>29</v>
      </c>
      <c r="B1690" s="2" t="s">
        <v>41</v>
      </c>
      <c r="C1690" s="149">
        <v>763.0</v>
      </c>
    </row>
    <row r="1691">
      <c r="A1691" s="2" t="s">
        <v>29</v>
      </c>
      <c r="B1691" s="2" t="s">
        <v>57</v>
      </c>
      <c r="C1691" s="149">
        <v>526.0</v>
      </c>
    </row>
    <row r="1692">
      <c r="A1692" s="2" t="s">
        <v>29</v>
      </c>
      <c r="B1692" s="2" t="s">
        <v>37</v>
      </c>
      <c r="C1692" s="149">
        <v>220.0</v>
      </c>
    </row>
    <row r="1693">
      <c r="A1693" s="2" t="s">
        <v>29</v>
      </c>
      <c r="B1693" s="2" t="s">
        <v>39</v>
      </c>
      <c r="C1693" s="149">
        <v>273.0</v>
      </c>
    </row>
    <row r="1694">
      <c r="A1694" s="2" t="s">
        <v>29</v>
      </c>
      <c r="B1694" s="2" t="s">
        <v>64</v>
      </c>
      <c r="C1694" s="149">
        <v>671.0</v>
      </c>
    </row>
    <row r="1695">
      <c r="A1695" s="2" t="s">
        <v>29</v>
      </c>
      <c r="B1695" s="2" t="s">
        <v>65</v>
      </c>
      <c r="C1695" s="149">
        <v>584.0</v>
      </c>
    </row>
    <row r="1696">
      <c r="A1696" s="2" t="s">
        <v>29</v>
      </c>
      <c r="B1696" s="2" t="s">
        <v>36</v>
      </c>
      <c r="C1696" s="149">
        <v>810.0</v>
      </c>
    </row>
    <row r="1697">
      <c r="A1697" s="2" t="s">
        <v>29</v>
      </c>
      <c r="B1697" s="2" t="s">
        <v>31</v>
      </c>
      <c r="C1697" s="149">
        <v>479.0</v>
      </c>
    </row>
    <row r="1698">
      <c r="A1698" s="2" t="s">
        <v>29</v>
      </c>
      <c r="B1698" s="2" t="s">
        <v>43</v>
      </c>
      <c r="C1698" s="149">
        <v>632.0</v>
      </c>
    </row>
    <row r="1699">
      <c r="A1699" s="2" t="s">
        <v>29</v>
      </c>
      <c r="B1699" s="2" t="s">
        <v>40</v>
      </c>
      <c r="C1699" s="149">
        <v>352.0</v>
      </c>
    </row>
    <row r="1700">
      <c r="A1700" s="2" t="s">
        <v>29</v>
      </c>
      <c r="B1700" s="2" t="s">
        <v>50</v>
      </c>
      <c r="C1700" s="149">
        <v>541.0</v>
      </c>
    </row>
    <row r="1701">
      <c r="A1701" s="2" t="s">
        <v>29</v>
      </c>
      <c r="B1701" s="2" t="s">
        <v>51</v>
      </c>
      <c r="C1701" s="149">
        <v>354.0</v>
      </c>
    </row>
    <row r="1702">
      <c r="A1702" s="2" t="s">
        <v>29</v>
      </c>
      <c r="B1702" s="2" t="s">
        <v>23</v>
      </c>
      <c r="C1702" s="149">
        <v>320.0</v>
      </c>
    </row>
    <row r="1703">
      <c r="A1703" s="2" t="s">
        <v>29</v>
      </c>
      <c r="B1703" s="2" t="s">
        <v>47</v>
      </c>
      <c r="C1703" s="149">
        <v>549.0</v>
      </c>
    </row>
    <row r="1704">
      <c r="A1704" s="2" t="s">
        <v>29</v>
      </c>
      <c r="B1704" s="2" t="s">
        <v>62</v>
      </c>
      <c r="C1704" s="149">
        <v>490.0</v>
      </c>
    </row>
    <row r="1705">
      <c r="A1705" s="2" t="s">
        <v>29</v>
      </c>
      <c r="B1705" s="2" t="s">
        <v>30</v>
      </c>
      <c r="C1705" s="149">
        <v>573.0</v>
      </c>
    </row>
    <row r="1706">
      <c r="A1706" s="2" t="s">
        <v>29</v>
      </c>
      <c r="B1706" s="2" t="s">
        <v>32</v>
      </c>
      <c r="C1706" s="149">
        <v>421.0</v>
      </c>
    </row>
    <row r="1707">
      <c r="A1707" s="2" t="s">
        <v>29</v>
      </c>
      <c r="B1707" s="2" t="s">
        <v>46</v>
      </c>
      <c r="C1707" s="149">
        <v>579.0</v>
      </c>
    </row>
    <row r="1708">
      <c r="A1708" s="2" t="s">
        <v>29</v>
      </c>
      <c r="B1708" s="2" t="s">
        <v>54</v>
      </c>
      <c r="C1708" s="149">
        <v>385.0</v>
      </c>
    </row>
    <row r="1709">
      <c r="A1709" s="2" t="s">
        <v>29</v>
      </c>
      <c r="B1709" s="2" t="s">
        <v>34</v>
      </c>
      <c r="C1709" s="149">
        <v>550.0</v>
      </c>
    </row>
    <row r="1710">
      <c r="A1710" s="2" t="s">
        <v>29</v>
      </c>
      <c r="B1710" s="2" t="s">
        <v>20</v>
      </c>
      <c r="C1710" s="149">
        <v>265.0</v>
      </c>
    </row>
    <row r="1711">
      <c r="A1711" s="2" t="s">
        <v>29</v>
      </c>
      <c r="B1711" s="2" t="s">
        <v>24</v>
      </c>
      <c r="C1711" s="149">
        <v>414.0</v>
      </c>
    </row>
    <row r="1712">
      <c r="A1712" s="2" t="s">
        <v>29</v>
      </c>
      <c r="B1712" s="2" t="s">
        <v>63</v>
      </c>
      <c r="C1712" s="149">
        <v>440.0</v>
      </c>
    </row>
    <row r="1713">
      <c r="A1713" s="2" t="s">
        <v>29</v>
      </c>
      <c r="B1713" s="2" t="s">
        <v>58</v>
      </c>
      <c r="C1713" s="149">
        <v>541.0</v>
      </c>
    </row>
    <row r="1714">
      <c r="A1714" s="2" t="s">
        <v>29</v>
      </c>
      <c r="B1714" s="2" t="s">
        <v>42</v>
      </c>
      <c r="C1714" s="149">
        <v>704.0</v>
      </c>
    </row>
    <row r="1715">
      <c r="A1715" s="2" t="s">
        <v>29</v>
      </c>
      <c r="B1715" s="2" t="s">
        <v>21</v>
      </c>
      <c r="C1715" s="149">
        <v>303.0</v>
      </c>
    </row>
    <row r="1716">
      <c r="A1716" s="2" t="s">
        <v>29</v>
      </c>
      <c r="B1716" s="2" t="s">
        <v>33</v>
      </c>
      <c r="C1716" s="149">
        <v>410.0</v>
      </c>
    </row>
    <row r="1717">
      <c r="A1717" s="2" t="s">
        <v>29</v>
      </c>
      <c r="B1717" s="2" t="s">
        <v>66</v>
      </c>
      <c r="C1717" s="149">
        <v>726.0</v>
      </c>
    </row>
    <row r="1718">
      <c r="A1718" s="2" t="s">
        <v>29</v>
      </c>
      <c r="B1718" s="2" t="s">
        <v>29</v>
      </c>
      <c r="C1718" s="149">
        <v>0.0</v>
      </c>
    </row>
    <row r="1719">
      <c r="A1719" s="2" t="s">
        <v>29</v>
      </c>
      <c r="B1719" s="2" t="s">
        <v>60</v>
      </c>
      <c r="C1719" s="149">
        <v>472.0</v>
      </c>
    </row>
    <row r="1720">
      <c r="A1720" s="2" t="s">
        <v>29</v>
      </c>
      <c r="B1720" s="2" t="s">
        <v>38</v>
      </c>
      <c r="C1720" s="149">
        <v>152.0</v>
      </c>
    </row>
    <row r="1721">
      <c r="A1721" s="2" t="s">
        <v>29</v>
      </c>
      <c r="B1721" s="2" t="s">
        <v>61</v>
      </c>
      <c r="C1721" s="149">
        <v>469.0</v>
      </c>
    </row>
    <row r="1722">
      <c r="A1722" s="2" t="s">
        <v>29</v>
      </c>
      <c r="B1722" s="2" t="s">
        <v>52</v>
      </c>
      <c r="C1722" s="149">
        <v>382.0</v>
      </c>
    </row>
    <row r="1723">
      <c r="A1723" s="2" t="s">
        <v>29</v>
      </c>
      <c r="B1723" s="2" t="s">
        <v>25</v>
      </c>
      <c r="C1723" s="149">
        <v>462.0</v>
      </c>
    </row>
    <row r="1724">
      <c r="A1724" s="2" t="s">
        <v>29</v>
      </c>
      <c r="B1724" s="2" t="s">
        <v>67</v>
      </c>
      <c r="C1724" s="149">
        <v>294.0</v>
      </c>
    </row>
    <row r="1725">
      <c r="A1725" s="2" t="s">
        <v>29</v>
      </c>
      <c r="B1725" s="2" t="s">
        <v>45</v>
      </c>
      <c r="C1725" s="149">
        <v>571.0</v>
      </c>
    </row>
    <row r="1726">
      <c r="A1726" s="2" t="s">
        <v>29</v>
      </c>
      <c r="B1726" s="2" t="s">
        <v>53</v>
      </c>
      <c r="C1726" s="149">
        <v>610.0</v>
      </c>
    </row>
    <row r="1727">
      <c r="A1727" s="2" t="s">
        <v>29</v>
      </c>
      <c r="B1727" s="2" t="s">
        <v>26</v>
      </c>
      <c r="C1727" s="149">
        <v>495.0</v>
      </c>
    </row>
    <row r="1728">
      <c r="A1728" s="2" t="s">
        <v>29</v>
      </c>
      <c r="B1728" s="2" t="s">
        <v>28</v>
      </c>
      <c r="C1728" s="149">
        <v>267.0</v>
      </c>
    </row>
    <row r="1729">
      <c r="A1729" s="2" t="s">
        <v>29</v>
      </c>
      <c r="B1729" s="2" t="s">
        <v>55</v>
      </c>
      <c r="C1729" s="149">
        <v>519.0</v>
      </c>
    </row>
    <row r="1730">
      <c r="A1730" s="2" t="s">
        <v>29</v>
      </c>
      <c r="B1730" s="2" t="s">
        <v>48</v>
      </c>
      <c r="C1730" s="149">
        <v>502.0</v>
      </c>
    </row>
    <row r="1731">
      <c r="A1731" s="2" t="s">
        <v>29</v>
      </c>
      <c r="B1731" s="2" t="s">
        <v>2035</v>
      </c>
      <c r="C1731" s="149">
        <v>577.0</v>
      </c>
    </row>
    <row r="1732">
      <c r="A1732" s="2" t="s">
        <v>29</v>
      </c>
      <c r="B1732" s="2" t="s">
        <v>59</v>
      </c>
      <c r="C1732" s="149">
        <v>492.0</v>
      </c>
    </row>
    <row r="1733">
      <c r="A1733" s="2" t="s">
        <v>29</v>
      </c>
      <c r="B1733" s="2" t="s">
        <v>44</v>
      </c>
      <c r="C1733" s="149">
        <v>550.0</v>
      </c>
    </row>
    <row r="1734">
      <c r="A1734" s="2" t="s">
        <v>29</v>
      </c>
      <c r="B1734" s="2" t="s">
        <v>2036</v>
      </c>
      <c r="C1734" s="149">
        <v>547.0</v>
      </c>
    </row>
    <row r="1735">
      <c r="A1735" s="2" t="s">
        <v>29</v>
      </c>
      <c r="B1735" s="2" t="s">
        <v>2037</v>
      </c>
      <c r="C1735" s="149">
        <v>408.0</v>
      </c>
    </row>
    <row r="1736">
      <c r="A1736" s="2" t="s">
        <v>60</v>
      </c>
      <c r="B1736" s="2" t="s">
        <v>18</v>
      </c>
      <c r="C1736" s="149">
        <v>182.0</v>
      </c>
    </row>
    <row r="1737">
      <c r="A1737" s="2" t="s">
        <v>60</v>
      </c>
      <c r="B1737" s="2" t="s">
        <v>49</v>
      </c>
      <c r="C1737" s="149">
        <v>342.0</v>
      </c>
    </row>
    <row r="1738">
      <c r="A1738" s="2" t="s">
        <v>60</v>
      </c>
      <c r="B1738" s="2" t="s">
        <v>22</v>
      </c>
      <c r="C1738" s="149">
        <v>135.0</v>
      </c>
    </row>
    <row r="1739">
      <c r="A1739" s="2" t="s">
        <v>60</v>
      </c>
      <c r="B1739" s="2" t="s">
        <v>27</v>
      </c>
      <c r="C1739" s="149">
        <v>324.0</v>
      </c>
    </row>
    <row r="1740">
      <c r="A1740" s="2" t="s">
        <v>60</v>
      </c>
      <c r="B1740" s="2" t="s">
        <v>35</v>
      </c>
      <c r="C1740" s="149">
        <v>480.0</v>
      </c>
    </row>
    <row r="1741">
      <c r="A1741" s="2" t="s">
        <v>60</v>
      </c>
      <c r="B1741" s="2" t="s">
        <v>41</v>
      </c>
      <c r="C1741" s="149">
        <v>430.0</v>
      </c>
    </row>
    <row r="1742">
      <c r="A1742" s="2" t="s">
        <v>60</v>
      </c>
      <c r="B1742" s="2" t="s">
        <v>57</v>
      </c>
      <c r="C1742" s="149">
        <v>543.0</v>
      </c>
    </row>
    <row r="1743">
      <c r="A1743" s="2" t="s">
        <v>60</v>
      </c>
      <c r="B1743" s="2" t="s">
        <v>37</v>
      </c>
      <c r="C1743" s="149">
        <v>251.0</v>
      </c>
    </row>
    <row r="1744">
      <c r="A1744" s="2" t="s">
        <v>60</v>
      </c>
      <c r="B1744" s="2" t="s">
        <v>39</v>
      </c>
      <c r="C1744" s="149">
        <v>191.0</v>
      </c>
    </row>
    <row r="1745">
      <c r="A1745" s="2" t="s">
        <v>60</v>
      </c>
      <c r="B1745" s="2" t="s">
        <v>64</v>
      </c>
      <c r="C1745" s="149">
        <v>338.0</v>
      </c>
    </row>
    <row r="1746">
      <c r="A1746" s="2" t="s">
        <v>60</v>
      </c>
      <c r="B1746" s="2" t="s">
        <v>65</v>
      </c>
      <c r="C1746" s="149">
        <v>250.0</v>
      </c>
    </row>
    <row r="1747">
      <c r="A1747" s="2" t="s">
        <v>60</v>
      </c>
      <c r="B1747" s="2" t="s">
        <v>36</v>
      </c>
      <c r="C1747" s="149">
        <v>477.0</v>
      </c>
    </row>
    <row r="1748">
      <c r="A1748" s="2" t="s">
        <v>60</v>
      </c>
      <c r="B1748" s="2" t="s">
        <v>31</v>
      </c>
      <c r="C1748" s="149">
        <v>502.0</v>
      </c>
    </row>
    <row r="1749">
      <c r="A1749" s="2" t="s">
        <v>60</v>
      </c>
      <c r="B1749" s="2" t="s">
        <v>43</v>
      </c>
      <c r="C1749" s="149">
        <v>298.0</v>
      </c>
    </row>
    <row r="1750">
      <c r="A1750" s="2" t="s">
        <v>60</v>
      </c>
      <c r="B1750" s="2" t="s">
        <v>40</v>
      </c>
      <c r="C1750" s="149">
        <v>129.0</v>
      </c>
    </row>
    <row r="1751">
      <c r="A1751" s="2" t="s">
        <v>60</v>
      </c>
      <c r="B1751" s="2" t="s">
        <v>50</v>
      </c>
      <c r="C1751" s="149">
        <v>381.0</v>
      </c>
    </row>
    <row r="1752">
      <c r="A1752" s="2" t="s">
        <v>60</v>
      </c>
      <c r="B1752" s="2" t="s">
        <v>51</v>
      </c>
      <c r="C1752" s="149">
        <v>371.0</v>
      </c>
    </row>
    <row r="1753">
      <c r="A1753" s="2" t="s">
        <v>60</v>
      </c>
      <c r="B1753" s="2" t="s">
        <v>23</v>
      </c>
      <c r="C1753" s="149">
        <v>160.0</v>
      </c>
    </row>
    <row r="1754">
      <c r="A1754" s="2" t="s">
        <v>60</v>
      </c>
      <c r="B1754" s="2" t="s">
        <v>47</v>
      </c>
      <c r="C1754" s="149">
        <v>215.0</v>
      </c>
    </row>
    <row r="1755">
      <c r="A1755" s="2" t="s">
        <v>60</v>
      </c>
      <c r="B1755" s="2" t="s">
        <v>62</v>
      </c>
      <c r="C1755" s="149">
        <v>156.0</v>
      </c>
    </row>
    <row r="1756">
      <c r="A1756" s="2" t="s">
        <v>60</v>
      </c>
      <c r="B1756" s="2" t="s">
        <v>30</v>
      </c>
      <c r="C1756" s="149">
        <v>388.0</v>
      </c>
    </row>
    <row r="1757">
      <c r="A1757" s="2" t="s">
        <v>60</v>
      </c>
      <c r="B1757" s="2" t="s">
        <v>32</v>
      </c>
      <c r="C1757" s="149">
        <v>417.0</v>
      </c>
    </row>
    <row r="1758">
      <c r="A1758" s="2" t="s">
        <v>60</v>
      </c>
      <c r="B1758" s="2" t="s">
        <v>46</v>
      </c>
      <c r="C1758" s="149">
        <v>246.0</v>
      </c>
    </row>
    <row r="1759">
      <c r="A1759" s="2" t="s">
        <v>60</v>
      </c>
      <c r="B1759" s="2" t="s">
        <v>54</v>
      </c>
      <c r="C1759" s="149">
        <v>226.0</v>
      </c>
    </row>
    <row r="1760">
      <c r="A1760" s="2" t="s">
        <v>60</v>
      </c>
      <c r="B1760" s="2" t="s">
        <v>34</v>
      </c>
      <c r="C1760" s="149">
        <v>66.7</v>
      </c>
    </row>
    <row r="1761">
      <c r="A1761" s="2" t="s">
        <v>60</v>
      </c>
      <c r="B1761" s="2" t="s">
        <v>20</v>
      </c>
      <c r="C1761" s="149">
        <v>158.0</v>
      </c>
    </row>
    <row r="1762">
      <c r="A1762" s="2" t="s">
        <v>60</v>
      </c>
      <c r="B1762" s="2" t="s">
        <v>24</v>
      </c>
      <c r="C1762" s="149">
        <v>430.0</v>
      </c>
    </row>
    <row r="1763">
      <c r="A1763" s="2" t="s">
        <v>60</v>
      </c>
      <c r="B1763" s="2" t="s">
        <v>63</v>
      </c>
      <c r="C1763" s="149">
        <v>255.0</v>
      </c>
    </row>
    <row r="1764">
      <c r="A1764" s="2" t="s">
        <v>60</v>
      </c>
      <c r="B1764" s="2" t="s">
        <v>58</v>
      </c>
      <c r="C1764" s="149">
        <v>558.0</v>
      </c>
    </row>
    <row r="1765">
      <c r="A1765" s="2" t="s">
        <v>60</v>
      </c>
      <c r="B1765" s="2" t="s">
        <v>42</v>
      </c>
      <c r="C1765" s="149">
        <v>370.0</v>
      </c>
    </row>
    <row r="1766">
      <c r="A1766" s="2" t="s">
        <v>60</v>
      </c>
      <c r="B1766" s="2" t="s">
        <v>21</v>
      </c>
      <c r="C1766" s="149">
        <v>153.0</v>
      </c>
    </row>
    <row r="1767">
      <c r="A1767" s="2" t="s">
        <v>60</v>
      </c>
      <c r="B1767" s="2" t="s">
        <v>33</v>
      </c>
      <c r="C1767" s="149">
        <v>153.0</v>
      </c>
    </row>
    <row r="1768">
      <c r="A1768" s="2" t="s">
        <v>60</v>
      </c>
      <c r="B1768" s="2" t="s">
        <v>66</v>
      </c>
      <c r="C1768" s="149">
        <v>409.0</v>
      </c>
    </row>
    <row r="1769">
      <c r="A1769" s="2" t="s">
        <v>60</v>
      </c>
      <c r="B1769" s="2" t="s">
        <v>29</v>
      </c>
      <c r="C1769" s="149">
        <v>472.0</v>
      </c>
    </row>
    <row r="1770">
      <c r="A1770" s="2" t="s">
        <v>60</v>
      </c>
      <c r="B1770" s="2" t="s">
        <v>60</v>
      </c>
      <c r="C1770" s="149">
        <v>0.0</v>
      </c>
    </row>
    <row r="1771">
      <c r="A1771" s="2" t="s">
        <v>60</v>
      </c>
      <c r="B1771" s="2" t="s">
        <v>38</v>
      </c>
      <c r="C1771" s="149">
        <v>334.0</v>
      </c>
    </row>
    <row r="1772">
      <c r="A1772" s="2" t="s">
        <v>60</v>
      </c>
      <c r="B1772" s="2" t="s">
        <v>61</v>
      </c>
      <c r="C1772" s="149">
        <v>138.0</v>
      </c>
    </row>
    <row r="1773">
      <c r="A1773" s="2" t="s">
        <v>60</v>
      </c>
      <c r="B1773" s="2" t="s">
        <v>52</v>
      </c>
      <c r="C1773" s="149">
        <v>397.0</v>
      </c>
    </row>
    <row r="1774">
      <c r="A1774" s="2" t="s">
        <v>60</v>
      </c>
      <c r="B1774" s="2" t="s">
        <v>25</v>
      </c>
      <c r="C1774" s="149">
        <v>477.0</v>
      </c>
    </row>
    <row r="1775">
      <c r="A1775" s="2" t="s">
        <v>60</v>
      </c>
      <c r="B1775" s="2" t="s">
        <v>67</v>
      </c>
      <c r="C1775" s="149">
        <v>444.0</v>
      </c>
    </row>
    <row r="1776">
      <c r="A1776" s="2" t="s">
        <v>60</v>
      </c>
      <c r="B1776" s="2" t="s">
        <v>45</v>
      </c>
      <c r="C1776" s="149">
        <v>247.0</v>
      </c>
    </row>
    <row r="1777">
      <c r="A1777" s="2" t="s">
        <v>60</v>
      </c>
      <c r="B1777" s="2" t="s">
        <v>53</v>
      </c>
      <c r="C1777" s="149">
        <v>611.0</v>
      </c>
    </row>
    <row r="1778">
      <c r="A1778" s="2" t="s">
        <v>60</v>
      </c>
      <c r="B1778" s="2" t="s">
        <v>26</v>
      </c>
      <c r="C1778" s="149">
        <v>510.0</v>
      </c>
    </row>
    <row r="1779">
      <c r="A1779" s="2" t="s">
        <v>60</v>
      </c>
      <c r="B1779" s="2" t="s">
        <v>28</v>
      </c>
      <c r="C1779" s="149">
        <v>287.0</v>
      </c>
    </row>
    <row r="1780">
      <c r="A1780" s="2" t="s">
        <v>60</v>
      </c>
      <c r="B1780" s="2" t="s">
        <v>55</v>
      </c>
      <c r="C1780" s="149">
        <v>357.0</v>
      </c>
    </row>
    <row r="1781">
      <c r="A1781" s="2" t="s">
        <v>60</v>
      </c>
      <c r="B1781" s="2" t="s">
        <v>48</v>
      </c>
      <c r="C1781" s="149">
        <v>256.0</v>
      </c>
    </row>
    <row r="1782">
      <c r="A1782" s="2" t="s">
        <v>60</v>
      </c>
      <c r="B1782" s="2" t="s">
        <v>2035</v>
      </c>
      <c r="C1782" s="149">
        <v>414.0</v>
      </c>
    </row>
    <row r="1783">
      <c r="A1783" s="2" t="s">
        <v>60</v>
      </c>
      <c r="B1783" s="2" t="s">
        <v>59</v>
      </c>
      <c r="C1783" s="149">
        <v>508.0</v>
      </c>
    </row>
    <row r="1784">
      <c r="A1784" s="2" t="s">
        <v>60</v>
      </c>
      <c r="B1784" s="2" t="s">
        <v>44</v>
      </c>
      <c r="C1784" s="149">
        <v>217.0</v>
      </c>
    </row>
    <row r="1785">
      <c r="A1785" s="2" t="s">
        <v>60</v>
      </c>
      <c r="B1785" s="2" t="s">
        <v>2036</v>
      </c>
      <c r="C1785" s="149">
        <v>382.0</v>
      </c>
    </row>
    <row r="1786">
      <c r="A1786" s="2" t="s">
        <v>60</v>
      </c>
      <c r="B1786" s="2" t="s">
        <v>2037</v>
      </c>
      <c r="C1786" s="149">
        <v>324.0</v>
      </c>
    </row>
    <row r="1787">
      <c r="A1787" s="2" t="s">
        <v>38</v>
      </c>
      <c r="B1787" s="2" t="s">
        <v>18</v>
      </c>
      <c r="C1787" s="149">
        <v>363.0</v>
      </c>
    </row>
    <row r="1788">
      <c r="A1788" s="2" t="s">
        <v>38</v>
      </c>
      <c r="B1788" s="2" t="s">
        <v>49</v>
      </c>
      <c r="C1788" s="149">
        <v>524.0</v>
      </c>
    </row>
    <row r="1789">
      <c r="A1789" s="2" t="s">
        <v>38</v>
      </c>
      <c r="B1789" s="2" t="s">
        <v>22</v>
      </c>
      <c r="C1789" s="149">
        <v>367.0</v>
      </c>
    </row>
    <row r="1790">
      <c r="A1790" s="2" t="s">
        <v>38</v>
      </c>
      <c r="B1790" s="2" t="s">
        <v>27</v>
      </c>
      <c r="C1790" s="149">
        <v>160.0</v>
      </c>
    </row>
    <row r="1791">
      <c r="A1791" s="2" t="s">
        <v>38</v>
      </c>
      <c r="B1791" s="2" t="s">
        <v>35</v>
      </c>
      <c r="C1791" s="149">
        <v>670.0</v>
      </c>
    </row>
    <row r="1792">
      <c r="A1792" s="2" t="s">
        <v>38</v>
      </c>
      <c r="B1792" s="2" t="s">
        <v>41</v>
      </c>
      <c r="C1792" s="149">
        <v>620.0</v>
      </c>
    </row>
    <row r="1793">
      <c r="A1793" s="2" t="s">
        <v>38</v>
      </c>
      <c r="B1793" s="2" t="s">
        <v>57</v>
      </c>
      <c r="C1793" s="149">
        <v>382.0</v>
      </c>
    </row>
    <row r="1794">
      <c r="A1794" s="2" t="s">
        <v>38</v>
      </c>
      <c r="B1794" s="2" t="s">
        <v>37</v>
      </c>
      <c r="C1794" s="149">
        <v>76.4</v>
      </c>
    </row>
    <row r="1795">
      <c r="A1795" s="2" t="s">
        <v>38</v>
      </c>
      <c r="B1795" s="2" t="s">
        <v>39</v>
      </c>
      <c r="C1795" s="149">
        <v>129.0</v>
      </c>
    </row>
    <row r="1796">
      <c r="A1796" s="2" t="s">
        <v>38</v>
      </c>
      <c r="B1796" s="2" t="s">
        <v>64</v>
      </c>
      <c r="C1796" s="149">
        <v>528.0</v>
      </c>
    </row>
    <row r="1797">
      <c r="A1797" s="2" t="s">
        <v>38</v>
      </c>
      <c r="B1797" s="2" t="s">
        <v>65</v>
      </c>
      <c r="C1797" s="149">
        <v>440.0</v>
      </c>
    </row>
    <row r="1798">
      <c r="A1798" s="2" t="s">
        <v>38</v>
      </c>
      <c r="B1798" s="2" t="s">
        <v>36</v>
      </c>
      <c r="C1798" s="149">
        <v>667.0</v>
      </c>
    </row>
    <row r="1799">
      <c r="A1799" s="2" t="s">
        <v>38</v>
      </c>
      <c r="B1799" s="2" t="s">
        <v>31</v>
      </c>
      <c r="C1799" s="149">
        <v>335.0</v>
      </c>
    </row>
    <row r="1800">
      <c r="A1800" s="2" t="s">
        <v>38</v>
      </c>
      <c r="B1800" s="2" t="s">
        <v>43</v>
      </c>
      <c r="C1800" s="149">
        <v>488.0</v>
      </c>
    </row>
    <row r="1801">
      <c r="A1801" s="2" t="s">
        <v>38</v>
      </c>
      <c r="B1801" s="2" t="s">
        <v>40</v>
      </c>
      <c r="C1801" s="149">
        <v>208.0</v>
      </c>
    </row>
    <row r="1802">
      <c r="A1802" s="2" t="s">
        <v>38</v>
      </c>
      <c r="B1802" s="2" t="s">
        <v>50</v>
      </c>
      <c r="C1802" s="149">
        <v>613.0</v>
      </c>
    </row>
    <row r="1803">
      <c r="A1803" s="2" t="s">
        <v>38</v>
      </c>
      <c r="B1803" s="2" t="s">
        <v>51</v>
      </c>
      <c r="C1803" s="149">
        <v>211.0</v>
      </c>
    </row>
    <row r="1804">
      <c r="A1804" s="2" t="s">
        <v>38</v>
      </c>
      <c r="B1804" s="2" t="s">
        <v>23</v>
      </c>
      <c r="C1804" s="149">
        <v>393.0</v>
      </c>
    </row>
    <row r="1805">
      <c r="A1805" s="2" t="s">
        <v>38</v>
      </c>
      <c r="B1805" s="2" t="s">
        <v>47</v>
      </c>
      <c r="C1805" s="149">
        <v>406.0</v>
      </c>
    </row>
    <row r="1806">
      <c r="A1806" s="2" t="s">
        <v>38</v>
      </c>
      <c r="B1806" s="2" t="s">
        <v>62</v>
      </c>
      <c r="C1806" s="149">
        <v>346.0</v>
      </c>
    </row>
    <row r="1807">
      <c r="A1807" s="2" t="s">
        <v>38</v>
      </c>
      <c r="B1807" s="2" t="s">
        <v>30</v>
      </c>
      <c r="C1807" s="149">
        <v>430.0</v>
      </c>
    </row>
    <row r="1808">
      <c r="A1808" s="2" t="s">
        <v>38</v>
      </c>
      <c r="B1808" s="2" t="s">
        <v>32</v>
      </c>
      <c r="C1808" s="149">
        <v>277.0</v>
      </c>
    </row>
    <row r="1809">
      <c r="A1809" s="2" t="s">
        <v>38</v>
      </c>
      <c r="B1809" s="2" t="s">
        <v>46</v>
      </c>
      <c r="C1809" s="149">
        <v>436.0</v>
      </c>
    </row>
    <row r="1810">
      <c r="A1810" s="2" t="s">
        <v>38</v>
      </c>
      <c r="B1810" s="2" t="s">
        <v>54</v>
      </c>
      <c r="C1810" s="149">
        <v>458.0</v>
      </c>
    </row>
    <row r="1811">
      <c r="A1811" s="2" t="s">
        <v>38</v>
      </c>
      <c r="B1811" s="2" t="s">
        <v>34</v>
      </c>
      <c r="C1811" s="149">
        <v>406.0</v>
      </c>
    </row>
    <row r="1812">
      <c r="A1812" s="2" t="s">
        <v>38</v>
      </c>
      <c r="B1812" s="2" t="s">
        <v>20</v>
      </c>
      <c r="C1812" s="149">
        <v>352.0</v>
      </c>
    </row>
    <row r="1813">
      <c r="A1813" s="2" t="s">
        <v>38</v>
      </c>
      <c r="B1813" s="2" t="s">
        <v>24</v>
      </c>
      <c r="C1813" s="149">
        <v>270.0</v>
      </c>
    </row>
    <row r="1814">
      <c r="A1814" s="2" t="s">
        <v>38</v>
      </c>
      <c r="B1814" s="2" t="s">
        <v>63</v>
      </c>
      <c r="C1814" s="149">
        <v>296.0</v>
      </c>
    </row>
    <row r="1815">
      <c r="A1815" s="2" t="s">
        <v>38</v>
      </c>
      <c r="B1815" s="2" t="s">
        <v>58</v>
      </c>
      <c r="C1815" s="149">
        <v>398.0</v>
      </c>
    </row>
    <row r="1816">
      <c r="A1816" s="2" t="s">
        <v>38</v>
      </c>
      <c r="B1816" s="2" t="s">
        <v>42</v>
      </c>
      <c r="C1816" s="149">
        <v>560.0</v>
      </c>
    </row>
    <row r="1817">
      <c r="A1817" s="2" t="s">
        <v>38</v>
      </c>
      <c r="B1817" s="2" t="s">
        <v>21</v>
      </c>
      <c r="C1817" s="149">
        <v>390.0</v>
      </c>
    </row>
    <row r="1818">
      <c r="A1818" s="2" t="s">
        <v>38</v>
      </c>
      <c r="B1818" s="2" t="s">
        <v>33</v>
      </c>
      <c r="C1818" s="149">
        <v>266.0</v>
      </c>
    </row>
    <row r="1819">
      <c r="A1819" s="2" t="s">
        <v>38</v>
      </c>
      <c r="B1819" s="2" t="s">
        <v>66</v>
      </c>
      <c r="C1819" s="149">
        <v>582.0</v>
      </c>
    </row>
    <row r="1820">
      <c r="A1820" s="2" t="s">
        <v>38</v>
      </c>
      <c r="B1820" s="2" t="s">
        <v>29</v>
      </c>
      <c r="C1820" s="149">
        <v>152.0</v>
      </c>
    </row>
    <row r="1821">
      <c r="A1821" s="2" t="s">
        <v>38</v>
      </c>
      <c r="B1821" s="2" t="s">
        <v>60</v>
      </c>
      <c r="C1821" s="149">
        <v>334.0</v>
      </c>
    </row>
    <row r="1822">
      <c r="A1822" s="2" t="s">
        <v>38</v>
      </c>
      <c r="B1822" s="2" t="s">
        <v>38</v>
      </c>
      <c r="C1822" s="149">
        <v>0.0</v>
      </c>
    </row>
    <row r="1823">
      <c r="A1823" s="2" t="s">
        <v>38</v>
      </c>
      <c r="B1823" s="2" t="s">
        <v>61</v>
      </c>
      <c r="C1823" s="149">
        <v>326.0</v>
      </c>
    </row>
    <row r="1824">
      <c r="A1824" s="2" t="s">
        <v>38</v>
      </c>
      <c r="B1824" s="2" t="s">
        <v>52</v>
      </c>
      <c r="C1824" s="149">
        <v>238.0</v>
      </c>
    </row>
    <row r="1825">
      <c r="A1825" s="2" t="s">
        <v>38</v>
      </c>
      <c r="B1825" s="2" t="s">
        <v>25</v>
      </c>
      <c r="C1825" s="149">
        <v>319.0</v>
      </c>
    </row>
    <row r="1826">
      <c r="A1826" s="2" t="s">
        <v>38</v>
      </c>
      <c r="B1826" s="2" t="s">
        <v>67</v>
      </c>
      <c r="C1826" s="149">
        <v>148.0</v>
      </c>
    </row>
    <row r="1827">
      <c r="A1827" s="2" t="s">
        <v>38</v>
      </c>
      <c r="B1827" s="2" t="s">
        <v>45</v>
      </c>
      <c r="C1827" s="149">
        <v>428.0</v>
      </c>
    </row>
    <row r="1828">
      <c r="A1828" s="2" t="s">
        <v>38</v>
      </c>
      <c r="B1828" s="2" t="s">
        <v>53</v>
      </c>
      <c r="C1828" s="149">
        <v>467.0</v>
      </c>
    </row>
    <row r="1829">
      <c r="A1829" s="2" t="s">
        <v>38</v>
      </c>
      <c r="B1829" s="2" t="s">
        <v>26</v>
      </c>
      <c r="C1829" s="149">
        <v>352.0</v>
      </c>
    </row>
    <row r="1830">
      <c r="A1830" s="2" t="s">
        <v>38</v>
      </c>
      <c r="B1830" s="2" t="s">
        <v>28</v>
      </c>
      <c r="C1830" s="149">
        <v>124.0</v>
      </c>
    </row>
    <row r="1831">
      <c r="A1831" s="2" t="s">
        <v>38</v>
      </c>
      <c r="B1831" s="2" t="s">
        <v>55</v>
      </c>
      <c r="C1831" s="149">
        <v>604.0</v>
      </c>
    </row>
    <row r="1832">
      <c r="A1832" s="2" t="s">
        <v>38</v>
      </c>
      <c r="B1832" s="2" t="s">
        <v>48</v>
      </c>
      <c r="C1832" s="149">
        <v>358.0</v>
      </c>
    </row>
    <row r="1833">
      <c r="A1833" s="2" t="s">
        <v>38</v>
      </c>
      <c r="B1833" s="2" t="s">
        <v>2035</v>
      </c>
      <c r="C1833" s="149">
        <v>662.0</v>
      </c>
    </row>
    <row r="1834">
      <c r="A1834" s="2" t="s">
        <v>38</v>
      </c>
      <c r="B1834" s="2" t="s">
        <v>59</v>
      </c>
      <c r="C1834" s="149">
        <v>348.0</v>
      </c>
    </row>
    <row r="1835">
      <c r="A1835" s="2" t="s">
        <v>38</v>
      </c>
      <c r="B1835" s="2" t="s">
        <v>44</v>
      </c>
      <c r="C1835" s="149">
        <v>407.0</v>
      </c>
    </row>
    <row r="1836">
      <c r="A1836" s="2" t="s">
        <v>38</v>
      </c>
      <c r="B1836" s="2" t="s">
        <v>2036</v>
      </c>
      <c r="C1836" s="149">
        <v>634.0</v>
      </c>
    </row>
    <row r="1837">
      <c r="A1837" s="2" t="s">
        <v>38</v>
      </c>
      <c r="B1837" s="2" t="s">
        <v>2037</v>
      </c>
      <c r="C1837" s="149">
        <v>546.0</v>
      </c>
    </row>
    <row r="1838">
      <c r="A1838" s="2" t="s">
        <v>61</v>
      </c>
      <c r="B1838" s="2" t="s">
        <v>18</v>
      </c>
      <c r="C1838" s="149">
        <v>50.3</v>
      </c>
    </row>
    <row r="1839">
      <c r="A1839" s="2" t="s">
        <v>61</v>
      </c>
      <c r="B1839" s="2" t="s">
        <v>49</v>
      </c>
      <c r="C1839" s="149">
        <v>477.0</v>
      </c>
    </row>
    <row r="1840">
      <c r="A1840" s="2" t="s">
        <v>61</v>
      </c>
      <c r="B1840" s="2" t="s">
        <v>22</v>
      </c>
      <c r="C1840" s="149">
        <v>270.0</v>
      </c>
    </row>
    <row r="1841">
      <c r="A1841" s="2" t="s">
        <v>61</v>
      </c>
      <c r="B1841" s="2" t="s">
        <v>27</v>
      </c>
      <c r="C1841" s="149">
        <v>274.0</v>
      </c>
    </row>
    <row r="1842">
      <c r="A1842" s="2" t="s">
        <v>61</v>
      </c>
      <c r="B1842" s="2" t="s">
        <v>35</v>
      </c>
      <c r="C1842" s="149">
        <v>348.0</v>
      </c>
    </row>
    <row r="1843">
      <c r="A1843" s="2" t="s">
        <v>61</v>
      </c>
      <c r="B1843" s="2" t="s">
        <v>41</v>
      </c>
      <c r="C1843" s="149">
        <v>298.0</v>
      </c>
    </row>
    <row r="1844">
      <c r="A1844" s="2" t="s">
        <v>61</v>
      </c>
      <c r="B1844" s="2" t="s">
        <v>57</v>
      </c>
      <c r="C1844" s="149">
        <v>467.0</v>
      </c>
    </row>
    <row r="1845">
      <c r="A1845" s="2" t="s">
        <v>61</v>
      </c>
      <c r="B1845" s="2" t="s">
        <v>37</v>
      </c>
      <c r="C1845" s="149">
        <v>248.0</v>
      </c>
    </row>
    <row r="1846">
      <c r="A1846" s="2" t="s">
        <v>61</v>
      </c>
      <c r="B1846" s="2" t="s">
        <v>39</v>
      </c>
      <c r="C1846" s="149">
        <v>231.0</v>
      </c>
    </row>
    <row r="1847">
      <c r="A1847" s="2" t="s">
        <v>61</v>
      </c>
      <c r="B1847" s="2" t="s">
        <v>64</v>
      </c>
      <c r="C1847" s="149">
        <v>206.0</v>
      </c>
    </row>
    <row r="1848">
      <c r="A1848" s="2" t="s">
        <v>61</v>
      </c>
      <c r="B1848" s="2" t="s">
        <v>65</v>
      </c>
      <c r="C1848" s="149">
        <v>119.0</v>
      </c>
    </row>
    <row r="1849">
      <c r="A1849" s="2" t="s">
        <v>61</v>
      </c>
      <c r="B1849" s="2" t="s">
        <v>36</v>
      </c>
      <c r="C1849" s="149">
        <v>345.0</v>
      </c>
    </row>
    <row r="1850">
      <c r="A1850" s="2" t="s">
        <v>61</v>
      </c>
      <c r="B1850" s="2" t="s">
        <v>31</v>
      </c>
      <c r="C1850" s="149">
        <v>427.0</v>
      </c>
    </row>
    <row r="1851">
      <c r="A1851" s="2" t="s">
        <v>61</v>
      </c>
      <c r="B1851" s="2" t="s">
        <v>43</v>
      </c>
      <c r="C1851" s="149">
        <v>167.0</v>
      </c>
    </row>
    <row r="1852">
      <c r="A1852" s="2" t="s">
        <v>61</v>
      </c>
      <c r="B1852" s="2" t="s">
        <v>40</v>
      </c>
      <c r="C1852" s="149">
        <v>164.0</v>
      </c>
    </row>
    <row r="1853">
      <c r="A1853" s="2" t="s">
        <v>61</v>
      </c>
      <c r="B1853" s="2" t="s">
        <v>50</v>
      </c>
      <c r="C1853" s="149">
        <v>516.0</v>
      </c>
    </row>
    <row r="1854">
      <c r="A1854" s="2" t="s">
        <v>61</v>
      </c>
      <c r="B1854" s="2" t="s">
        <v>51</v>
      </c>
      <c r="C1854" s="149">
        <v>296.0</v>
      </c>
    </row>
    <row r="1855">
      <c r="A1855" s="2" t="s">
        <v>61</v>
      </c>
      <c r="B1855" s="2" t="s">
        <v>23</v>
      </c>
      <c r="C1855" s="149">
        <v>296.0</v>
      </c>
    </row>
    <row r="1856">
      <c r="A1856" s="2" t="s">
        <v>61</v>
      </c>
      <c r="B1856" s="2" t="s">
        <v>47</v>
      </c>
      <c r="C1856" s="149">
        <v>84.1</v>
      </c>
    </row>
    <row r="1857">
      <c r="A1857" s="2" t="s">
        <v>61</v>
      </c>
      <c r="B1857" s="2" t="s">
        <v>62</v>
      </c>
      <c r="C1857" s="149">
        <v>24.7</v>
      </c>
    </row>
    <row r="1858">
      <c r="A1858" s="2" t="s">
        <v>61</v>
      </c>
      <c r="B1858" s="2" t="s">
        <v>30</v>
      </c>
      <c r="C1858" s="149">
        <v>313.0</v>
      </c>
    </row>
    <row r="1859">
      <c r="A1859" s="2" t="s">
        <v>61</v>
      </c>
      <c r="B1859" s="2" t="s">
        <v>32</v>
      </c>
      <c r="C1859" s="149">
        <v>341.0</v>
      </c>
    </row>
    <row r="1860">
      <c r="A1860" s="2" t="s">
        <v>61</v>
      </c>
      <c r="B1860" s="2" t="s">
        <v>46</v>
      </c>
      <c r="C1860" s="149">
        <v>114.0</v>
      </c>
    </row>
    <row r="1861">
      <c r="A1861" s="2" t="s">
        <v>61</v>
      </c>
      <c r="B1861" s="2" t="s">
        <v>54</v>
      </c>
      <c r="C1861" s="149">
        <v>361.0</v>
      </c>
    </row>
    <row r="1862">
      <c r="A1862" s="2" t="s">
        <v>61</v>
      </c>
      <c r="B1862" s="2" t="s">
        <v>34</v>
      </c>
      <c r="C1862" s="149">
        <v>77.6</v>
      </c>
    </row>
    <row r="1863">
      <c r="A1863" s="2" t="s">
        <v>61</v>
      </c>
      <c r="B1863" s="2" t="s">
        <v>20</v>
      </c>
      <c r="C1863" s="149">
        <v>293.0</v>
      </c>
    </row>
    <row r="1864">
      <c r="A1864" s="2" t="s">
        <v>61</v>
      </c>
      <c r="B1864" s="2" t="s">
        <v>24</v>
      </c>
      <c r="C1864" s="149">
        <v>355.0</v>
      </c>
    </row>
    <row r="1865">
      <c r="A1865" s="2" t="s">
        <v>61</v>
      </c>
      <c r="B1865" s="2" t="s">
        <v>63</v>
      </c>
      <c r="C1865" s="149">
        <v>179.0</v>
      </c>
    </row>
    <row r="1866">
      <c r="A1866" s="2" t="s">
        <v>61</v>
      </c>
      <c r="B1866" s="2" t="s">
        <v>58</v>
      </c>
      <c r="C1866" s="149">
        <v>482.0</v>
      </c>
    </row>
    <row r="1867">
      <c r="A1867" s="2" t="s">
        <v>61</v>
      </c>
      <c r="B1867" s="2" t="s">
        <v>42</v>
      </c>
      <c r="C1867" s="149">
        <v>239.0</v>
      </c>
    </row>
    <row r="1868">
      <c r="A1868" s="2" t="s">
        <v>61</v>
      </c>
      <c r="B1868" s="2" t="s">
        <v>21</v>
      </c>
      <c r="C1868" s="149">
        <v>288.0</v>
      </c>
    </row>
    <row r="1869">
      <c r="A1869" s="2" t="s">
        <v>61</v>
      </c>
      <c r="B1869" s="2" t="s">
        <v>33</v>
      </c>
      <c r="C1869" s="149">
        <v>299.0</v>
      </c>
    </row>
    <row r="1870">
      <c r="A1870" s="2" t="s">
        <v>61</v>
      </c>
      <c r="B1870" s="2" t="s">
        <v>66</v>
      </c>
      <c r="C1870" s="149">
        <v>261.0</v>
      </c>
    </row>
    <row r="1871">
      <c r="A1871" s="2" t="s">
        <v>61</v>
      </c>
      <c r="B1871" s="2" t="s">
        <v>29</v>
      </c>
      <c r="C1871" s="149">
        <v>469.0</v>
      </c>
    </row>
    <row r="1872">
      <c r="A1872" s="2" t="s">
        <v>61</v>
      </c>
      <c r="B1872" s="2" t="s">
        <v>60</v>
      </c>
      <c r="C1872" s="149">
        <v>138.0</v>
      </c>
    </row>
    <row r="1873">
      <c r="A1873" s="2" t="s">
        <v>61</v>
      </c>
      <c r="B1873" s="2" t="s">
        <v>38</v>
      </c>
      <c r="C1873" s="149">
        <v>326.0</v>
      </c>
    </row>
    <row r="1874">
      <c r="A1874" s="2" t="s">
        <v>61</v>
      </c>
      <c r="B1874" s="2" t="s">
        <v>61</v>
      </c>
      <c r="C1874" s="149">
        <v>0.0</v>
      </c>
    </row>
    <row r="1875">
      <c r="A1875" s="2" t="s">
        <v>61</v>
      </c>
      <c r="B1875" s="2" t="s">
        <v>52</v>
      </c>
      <c r="C1875" s="149">
        <v>325.0</v>
      </c>
    </row>
    <row r="1876">
      <c r="A1876" s="2" t="s">
        <v>61</v>
      </c>
      <c r="B1876" s="2" t="s">
        <v>25</v>
      </c>
      <c r="C1876" s="149">
        <v>406.0</v>
      </c>
    </row>
    <row r="1877">
      <c r="A1877" s="2" t="s">
        <v>61</v>
      </c>
      <c r="B1877" s="2" t="s">
        <v>67</v>
      </c>
      <c r="C1877" s="149">
        <v>425.0</v>
      </c>
    </row>
    <row r="1878">
      <c r="A1878" s="2" t="s">
        <v>61</v>
      </c>
      <c r="B1878" s="2" t="s">
        <v>45</v>
      </c>
      <c r="C1878" s="149">
        <v>115.0</v>
      </c>
    </row>
    <row r="1879">
      <c r="A1879" s="2" t="s">
        <v>61</v>
      </c>
      <c r="B1879" s="2" t="s">
        <v>53</v>
      </c>
      <c r="C1879" s="149">
        <v>540.0</v>
      </c>
    </row>
    <row r="1880">
      <c r="A1880" s="2" t="s">
        <v>61</v>
      </c>
      <c r="B1880" s="2" t="s">
        <v>26</v>
      </c>
      <c r="C1880" s="149">
        <v>439.0</v>
      </c>
    </row>
    <row r="1881">
      <c r="A1881" s="2" t="s">
        <v>61</v>
      </c>
      <c r="B1881" s="2" t="s">
        <v>28</v>
      </c>
      <c r="C1881" s="149">
        <v>288.0</v>
      </c>
    </row>
    <row r="1882">
      <c r="A1882" s="2" t="s">
        <v>61</v>
      </c>
      <c r="B1882" s="2" t="s">
        <v>55</v>
      </c>
      <c r="C1882" s="149">
        <v>492.0</v>
      </c>
    </row>
    <row r="1883">
      <c r="A1883" s="2" t="s">
        <v>61</v>
      </c>
      <c r="B1883" s="2" t="s">
        <v>48</v>
      </c>
      <c r="C1883" s="149">
        <v>124.0</v>
      </c>
    </row>
    <row r="1884">
      <c r="A1884" s="2" t="s">
        <v>61</v>
      </c>
      <c r="B1884" s="2" t="s">
        <v>2035</v>
      </c>
      <c r="C1884" s="149">
        <v>550.0</v>
      </c>
    </row>
    <row r="1885">
      <c r="A1885" s="2" t="s">
        <v>61</v>
      </c>
      <c r="B1885" s="2" t="s">
        <v>59</v>
      </c>
      <c r="C1885" s="149">
        <v>433.0</v>
      </c>
    </row>
    <row r="1886">
      <c r="A1886" s="2" t="s">
        <v>61</v>
      </c>
      <c r="B1886" s="2" t="s">
        <v>44</v>
      </c>
      <c r="C1886" s="149">
        <v>85.2</v>
      </c>
    </row>
    <row r="1887">
      <c r="A1887" s="2" t="s">
        <v>61</v>
      </c>
      <c r="B1887" s="2" t="s">
        <v>2036</v>
      </c>
      <c r="C1887" s="149">
        <v>517.0</v>
      </c>
    </row>
    <row r="1888">
      <c r="A1888" s="2" t="s">
        <v>61</v>
      </c>
      <c r="B1888" s="2" t="s">
        <v>2037</v>
      </c>
      <c r="C1888" s="149">
        <v>460.0</v>
      </c>
    </row>
    <row r="1889">
      <c r="A1889" s="2" t="s">
        <v>52</v>
      </c>
      <c r="B1889" s="2" t="s">
        <v>18</v>
      </c>
      <c r="C1889" s="149">
        <v>362.0</v>
      </c>
    </row>
    <row r="1890">
      <c r="A1890" s="2" t="s">
        <v>52</v>
      </c>
      <c r="B1890" s="2" t="s">
        <v>49</v>
      </c>
      <c r="C1890" s="149">
        <v>592.0</v>
      </c>
    </row>
    <row r="1891">
      <c r="A1891" s="2" t="s">
        <v>52</v>
      </c>
      <c r="B1891" s="2" t="s">
        <v>22</v>
      </c>
      <c r="C1891" s="149">
        <v>434.0</v>
      </c>
    </row>
    <row r="1892">
      <c r="A1892" s="2" t="s">
        <v>52</v>
      </c>
      <c r="B1892" s="2" t="s">
        <v>27</v>
      </c>
      <c r="C1892" s="149">
        <v>86.3</v>
      </c>
    </row>
    <row r="1893">
      <c r="A1893" s="2" t="s">
        <v>52</v>
      </c>
      <c r="B1893" s="2" t="s">
        <v>35</v>
      </c>
      <c r="C1893" s="149">
        <v>660.0</v>
      </c>
    </row>
    <row r="1894">
      <c r="A1894" s="2" t="s">
        <v>52</v>
      </c>
      <c r="B1894" s="2" t="s">
        <v>41</v>
      </c>
      <c r="C1894" s="149">
        <v>610.0</v>
      </c>
    </row>
    <row r="1895">
      <c r="A1895" s="2" t="s">
        <v>52</v>
      </c>
      <c r="B1895" s="2" t="s">
        <v>57</v>
      </c>
      <c r="C1895" s="149">
        <v>162.0</v>
      </c>
    </row>
    <row r="1896">
      <c r="A1896" s="2" t="s">
        <v>52</v>
      </c>
      <c r="B1896" s="2" t="s">
        <v>37</v>
      </c>
      <c r="C1896" s="149">
        <v>171.0</v>
      </c>
    </row>
    <row r="1897">
      <c r="A1897" s="2" t="s">
        <v>52</v>
      </c>
      <c r="B1897" s="2" t="s">
        <v>39</v>
      </c>
      <c r="C1897" s="149">
        <v>197.0</v>
      </c>
    </row>
    <row r="1898">
      <c r="A1898" s="2" t="s">
        <v>52</v>
      </c>
      <c r="B1898" s="2" t="s">
        <v>64</v>
      </c>
      <c r="C1898" s="149">
        <v>518.0</v>
      </c>
    </row>
    <row r="1899">
      <c r="A1899" s="2" t="s">
        <v>52</v>
      </c>
      <c r="B1899" s="2" t="s">
        <v>65</v>
      </c>
      <c r="C1899" s="149">
        <v>431.0</v>
      </c>
    </row>
    <row r="1900">
      <c r="A1900" s="2" t="s">
        <v>52</v>
      </c>
      <c r="B1900" s="2" t="s">
        <v>36</v>
      </c>
      <c r="C1900" s="149">
        <v>657.0</v>
      </c>
    </row>
    <row r="1901">
      <c r="A1901" s="2" t="s">
        <v>52</v>
      </c>
      <c r="B1901" s="2" t="s">
        <v>31</v>
      </c>
      <c r="C1901" s="149">
        <v>97.2</v>
      </c>
    </row>
    <row r="1902">
      <c r="A1902" s="2" t="s">
        <v>52</v>
      </c>
      <c r="B1902" s="2" t="s">
        <v>43</v>
      </c>
      <c r="C1902" s="149">
        <v>478.0</v>
      </c>
    </row>
    <row r="1903">
      <c r="A1903" s="2" t="s">
        <v>52</v>
      </c>
      <c r="B1903" s="2" t="s">
        <v>40</v>
      </c>
      <c r="C1903" s="149">
        <v>271.0</v>
      </c>
    </row>
    <row r="1904">
      <c r="A1904" s="2" t="s">
        <v>52</v>
      </c>
      <c r="B1904" s="2" t="s">
        <v>50</v>
      </c>
      <c r="C1904" s="149">
        <v>680.0</v>
      </c>
    </row>
    <row r="1905">
      <c r="A1905" s="2" t="s">
        <v>52</v>
      </c>
      <c r="B1905" s="2" t="s">
        <v>51</v>
      </c>
      <c r="C1905" s="150">
        <v>10000.0</v>
      </c>
    </row>
    <row r="1906">
      <c r="A1906" s="2" t="s">
        <v>52</v>
      </c>
      <c r="B1906" s="2" t="s">
        <v>23</v>
      </c>
      <c r="C1906" s="149">
        <v>460.0</v>
      </c>
    </row>
    <row r="1907">
      <c r="A1907" s="2" t="s">
        <v>52</v>
      </c>
      <c r="B1907" s="2" t="s">
        <v>47</v>
      </c>
      <c r="C1907" s="149">
        <v>297.0</v>
      </c>
    </row>
    <row r="1908">
      <c r="A1908" s="2" t="s">
        <v>52</v>
      </c>
      <c r="B1908" s="2" t="s">
        <v>62</v>
      </c>
      <c r="C1908" s="149">
        <v>336.0</v>
      </c>
    </row>
    <row r="1909">
      <c r="A1909" s="2" t="s">
        <v>52</v>
      </c>
      <c r="B1909" s="2" t="s">
        <v>30</v>
      </c>
      <c r="C1909" s="149">
        <v>75.9</v>
      </c>
    </row>
    <row r="1910">
      <c r="A1910" s="2" t="s">
        <v>52</v>
      </c>
      <c r="B1910" s="2" t="s">
        <v>32</v>
      </c>
      <c r="C1910" s="149">
        <v>36.7</v>
      </c>
    </row>
    <row r="1911">
      <c r="A1911" s="2" t="s">
        <v>52</v>
      </c>
      <c r="B1911" s="2" t="s">
        <v>46</v>
      </c>
      <c r="C1911" s="149">
        <v>426.0</v>
      </c>
    </row>
    <row r="1912">
      <c r="A1912" s="2" t="s">
        <v>52</v>
      </c>
      <c r="B1912" s="2" t="s">
        <v>54</v>
      </c>
      <c r="C1912" s="149">
        <v>525.0</v>
      </c>
    </row>
    <row r="1913">
      <c r="A1913" s="2" t="s">
        <v>52</v>
      </c>
      <c r="B1913" s="2" t="s">
        <v>34</v>
      </c>
      <c r="C1913" s="149">
        <v>396.0</v>
      </c>
    </row>
    <row r="1914">
      <c r="A1914" s="2" t="s">
        <v>52</v>
      </c>
      <c r="B1914" s="2" t="s">
        <v>20</v>
      </c>
      <c r="C1914" s="149">
        <v>420.0</v>
      </c>
    </row>
    <row r="1915">
      <c r="A1915" s="2" t="s">
        <v>52</v>
      </c>
      <c r="B1915" s="2" t="s">
        <v>24</v>
      </c>
      <c r="C1915" s="149">
        <v>82.0</v>
      </c>
    </row>
    <row r="1916">
      <c r="A1916" s="2" t="s">
        <v>52</v>
      </c>
      <c r="B1916" s="2" t="s">
        <v>63</v>
      </c>
      <c r="C1916" s="149">
        <v>207.0</v>
      </c>
    </row>
    <row r="1917">
      <c r="A1917" s="2" t="s">
        <v>52</v>
      </c>
      <c r="B1917" s="2" t="s">
        <v>58</v>
      </c>
      <c r="C1917" s="149">
        <v>177.0</v>
      </c>
    </row>
    <row r="1918">
      <c r="A1918" s="2" t="s">
        <v>52</v>
      </c>
      <c r="B1918" s="2" t="s">
        <v>42</v>
      </c>
      <c r="C1918" s="149">
        <v>551.0</v>
      </c>
    </row>
    <row r="1919">
      <c r="A1919" s="2" t="s">
        <v>52</v>
      </c>
      <c r="B1919" s="2" t="s">
        <v>21</v>
      </c>
      <c r="C1919" s="149">
        <v>458.0</v>
      </c>
    </row>
    <row r="1920">
      <c r="A1920" s="2" t="s">
        <v>52</v>
      </c>
      <c r="B1920" s="2" t="s">
        <v>33</v>
      </c>
      <c r="C1920" s="149">
        <v>334.0</v>
      </c>
    </row>
    <row r="1921">
      <c r="A1921" s="2" t="s">
        <v>52</v>
      </c>
      <c r="B1921" s="2" t="s">
        <v>66</v>
      </c>
      <c r="C1921" s="149">
        <v>572.0</v>
      </c>
    </row>
    <row r="1922">
      <c r="A1922" s="2" t="s">
        <v>52</v>
      </c>
      <c r="B1922" s="2" t="s">
        <v>29</v>
      </c>
      <c r="C1922" s="149">
        <v>382.0</v>
      </c>
    </row>
    <row r="1923">
      <c r="A1923" s="2" t="s">
        <v>52</v>
      </c>
      <c r="B1923" s="2" t="s">
        <v>60</v>
      </c>
      <c r="C1923" s="149">
        <v>397.0</v>
      </c>
    </row>
    <row r="1924">
      <c r="A1924" s="2" t="s">
        <v>52</v>
      </c>
      <c r="B1924" s="2" t="s">
        <v>38</v>
      </c>
      <c r="C1924" s="149">
        <v>238.0</v>
      </c>
    </row>
    <row r="1925">
      <c r="A1925" s="2" t="s">
        <v>52</v>
      </c>
      <c r="B1925" s="2" t="s">
        <v>61</v>
      </c>
      <c r="C1925" s="149">
        <v>325.0</v>
      </c>
    </row>
    <row r="1926">
      <c r="A1926" s="2" t="s">
        <v>52</v>
      </c>
      <c r="B1926" s="2" t="s">
        <v>52</v>
      </c>
      <c r="C1926" s="149">
        <v>0.0</v>
      </c>
    </row>
    <row r="1927">
      <c r="A1927" s="2" t="s">
        <v>52</v>
      </c>
      <c r="B1927" s="2" t="s">
        <v>25</v>
      </c>
      <c r="C1927" s="149">
        <v>130.0</v>
      </c>
    </row>
    <row r="1928">
      <c r="A1928" s="2" t="s">
        <v>52</v>
      </c>
      <c r="B1928" s="2" t="s">
        <v>67</v>
      </c>
      <c r="C1928" s="149">
        <v>152.0</v>
      </c>
    </row>
    <row r="1929">
      <c r="A1929" s="2" t="s">
        <v>52</v>
      </c>
      <c r="B1929" s="2" t="s">
        <v>45</v>
      </c>
      <c r="C1929" s="149">
        <v>427.0</v>
      </c>
    </row>
    <row r="1930">
      <c r="A1930" s="2" t="s">
        <v>52</v>
      </c>
      <c r="B1930" s="2" t="s">
        <v>53</v>
      </c>
      <c r="C1930" s="149">
        <v>208.0</v>
      </c>
    </row>
    <row r="1931">
      <c r="A1931" s="2" t="s">
        <v>52</v>
      </c>
      <c r="B1931" s="2" t="s">
        <v>26</v>
      </c>
      <c r="C1931" s="149">
        <v>166.0</v>
      </c>
    </row>
    <row r="1932">
      <c r="A1932" s="2" t="s">
        <v>52</v>
      </c>
      <c r="B1932" s="2" t="s">
        <v>28</v>
      </c>
      <c r="C1932" s="149">
        <v>120.0</v>
      </c>
    </row>
    <row r="1933">
      <c r="A1933" s="2" t="s">
        <v>52</v>
      </c>
      <c r="B1933" s="2" t="s">
        <v>55</v>
      </c>
      <c r="C1933" s="149">
        <v>680.0</v>
      </c>
    </row>
    <row r="1934">
      <c r="A1934" s="2" t="s">
        <v>52</v>
      </c>
      <c r="B1934" s="2" t="s">
        <v>48</v>
      </c>
      <c r="C1934" s="149">
        <v>274.0</v>
      </c>
    </row>
    <row r="1935">
      <c r="A1935" s="2" t="s">
        <v>52</v>
      </c>
      <c r="B1935" s="2" t="s">
        <v>2035</v>
      </c>
      <c r="C1935" s="149">
        <v>738.0</v>
      </c>
    </row>
    <row r="1936">
      <c r="A1936" s="2" t="s">
        <v>52</v>
      </c>
      <c r="B1936" s="2" t="s">
        <v>59</v>
      </c>
      <c r="C1936" s="149">
        <v>128.0</v>
      </c>
    </row>
    <row r="1937">
      <c r="A1937" s="2" t="s">
        <v>52</v>
      </c>
      <c r="B1937" s="2" t="s">
        <v>44</v>
      </c>
      <c r="C1937" s="149">
        <v>397.0</v>
      </c>
    </row>
    <row r="1938">
      <c r="A1938" s="2" t="s">
        <v>52</v>
      </c>
      <c r="B1938" s="2" t="s">
        <v>2036</v>
      </c>
      <c r="C1938" s="149">
        <v>764.0</v>
      </c>
    </row>
    <row r="1939">
      <c r="A1939" s="2" t="s">
        <v>52</v>
      </c>
      <c r="B1939" s="2" t="s">
        <v>2037</v>
      </c>
      <c r="C1939" s="149">
        <v>626.0</v>
      </c>
    </row>
    <row r="1940">
      <c r="A1940" s="2" t="s">
        <v>25</v>
      </c>
      <c r="B1940" s="2" t="s">
        <v>18</v>
      </c>
      <c r="C1940" s="149">
        <v>438.0</v>
      </c>
    </row>
    <row r="1941">
      <c r="A1941" s="2" t="s">
        <v>25</v>
      </c>
      <c r="B1941" s="2" t="s">
        <v>49</v>
      </c>
      <c r="C1941" s="149">
        <v>673.0</v>
      </c>
    </row>
    <row r="1942">
      <c r="A1942" s="2" t="s">
        <v>25</v>
      </c>
      <c r="B1942" s="2" t="s">
        <v>22</v>
      </c>
      <c r="C1942" s="149">
        <v>515.0</v>
      </c>
    </row>
    <row r="1943">
      <c r="A1943" s="2" t="s">
        <v>25</v>
      </c>
      <c r="B1943" s="2" t="s">
        <v>27</v>
      </c>
      <c r="C1943" s="149">
        <v>167.0</v>
      </c>
    </row>
    <row r="1944">
      <c r="A1944" s="2" t="s">
        <v>25</v>
      </c>
      <c r="B1944" s="2" t="s">
        <v>35</v>
      </c>
      <c r="C1944" s="149">
        <v>741.0</v>
      </c>
    </row>
    <row r="1945">
      <c r="A1945" s="2" t="s">
        <v>25</v>
      </c>
      <c r="B1945" s="2" t="s">
        <v>41</v>
      </c>
      <c r="C1945" s="149">
        <v>691.0</v>
      </c>
    </row>
    <row r="1946">
      <c r="A1946" s="2" t="s">
        <v>25</v>
      </c>
      <c r="B1946" s="2" t="s">
        <v>57</v>
      </c>
      <c r="C1946" s="149">
        <v>68.8</v>
      </c>
    </row>
    <row r="1947">
      <c r="A1947" s="2" t="s">
        <v>25</v>
      </c>
      <c r="B1947" s="2" t="s">
        <v>37</v>
      </c>
      <c r="C1947" s="149">
        <v>251.0</v>
      </c>
    </row>
    <row r="1948">
      <c r="A1948" s="2" t="s">
        <v>25</v>
      </c>
      <c r="B1948" s="2" t="s">
        <v>39</v>
      </c>
      <c r="C1948" s="149">
        <v>278.0</v>
      </c>
    </row>
    <row r="1949">
      <c r="A1949" s="2" t="s">
        <v>25</v>
      </c>
      <c r="B1949" s="2" t="s">
        <v>64</v>
      </c>
      <c r="C1949" s="149">
        <v>599.0</v>
      </c>
    </row>
    <row r="1950">
      <c r="A1950" s="2" t="s">
        <v>25</v>
      </c>
      <c r="B1950" s="2" t="s">
        <v>65</v>
      </c>
      <c r="C1950" s="149">
        <v>511.0</v>
      </c>
    </row>
    <row r="1951">
      <c r="A1951" s="2" t="s">
        <v>25</v>
      </c>
      <c r="B1951" s="2" t="s">
        <v>36</v>
      </c>
      <c r="C1951" s="149">
        <v>738.0</v>
      </c>
    </row>
    <row r="1952">
      <c r="A1952" s="2" t="s">
        <v>25</v>
      </c>
      <c r="B1952" s="2" t="s">
        <v>31</v>
      </c>
      <c r="C1952" s="149">
        <v>80.3</v>
      </c>
    </row>
    <row r="1953">
      <c r="A1953" s="2" t="s">
        <v>25</v>
      </c>
      <c r="B1953" s="2" t="s">
        <v>43</v>
      </c>
      <c r="C1953" s="149">
        <v>559.0</v>
      </c>
    </row>
    <row r="1954">
      <c r="A1954" s="2" t="s">
        <v>25</v>
      </c>
      <c r="B1954" s="2" t="s">
        <v>40</v>
      </c>
      <c r="C1954" s="149">
        <v>352.0</v>
      </c>
    </row>
    <row r="1955">
      <c r="A1955" s="2" t="s">
        <v>25</v>
      </c>
      <c r="B1955" s="2" t="s">
        <v>50</v>
      </c>
      <c r="C1955" s="149">
        <v>761.0</v>
      </c>
    </row>
    <row r="1956">
      <c r="A1956" s="2" t="s">
        <v>25</v>
      </c>
      <c r="B1956" s="2" t="s">
        <v>51</v>
      </c>
      <c r="C1956" s="149">
        <v>113.0</v>
      </c>
    </row>
    <row r="1957">
      <c r="A1957" s="2" t="s">
        <v>25</v>
      </c>
      <c r="B1957" s="2" t="s">
        <v>23</v>
      </c>
      <c r="C1957" s="149">
        <v>541.0</v>
      </c>
    </row>
    <row r="1958">
      <c r="A1958" s="2" t="s">
        <v>25</v>
      </c>
      <c r="B1958" s="2" t="s">
        <v>47</v>
      </c>
      <c r="C1958" s="149">
        <v>378.0</v>
      </c>
    </row>
    <row r="1959">
      <c r="A1959" s="2" t="s">
        <v>25</v>
      </c>
      <c r="B1959" s="2" t="s">
        <v>62</v>
      </c>
      <c r="C1959" s="149">
        <v>417.0</v>
      </c>
    </row>
    <row r="1960">
      <c r="A1960" s="2" t="s">
        <v>25</v>
      </c>
      <c r="B1960" s="2" t="s">
        <v>30</v>
      </c>
      <c r="C1960" s="149">
        <v>195.0</v>
      </c>
    </row>
    <row r="1961">
      <c r="A1961" s="2" t="s">
        <v>25</v>
      </c>
      <c r="B1961" s="2" t="s">
        <v>32</v>
      </c>
      <c r="C1961" s="149">
        <v>145.0</v>
      </c>
    </row>
    <row r="1962">
      <c r="A1962" s="2" t="s">
        <v>25</v>
      </c>
      <c r="B1962" s="2" t="s">
        <v>46</v>
      </c>
      <c r="C1962" s="149">
        <v>507.0</v>
      </c>
    </row>
    <row r="1963">
      <c r="A1963" s="2" t="s">
        <v>25</v>
      </c>
      <c r="B1963" s="2" t="s">
        <v>54</v>
      </c>
      <c r="C1963" s="149">
        <v>606.0</v>
      </c>
    </row>
    <row r="1964">
      <c r="A1964" s="2" t="s">
        <v>25</v>
      </c>
      <c r="B1964" s="2" t="s">
        <v>34</v>
      </c>
      <c r="C1964" s="149">
        <v>477.0</v>
      </c>
    </row>
    <row r="1965">
      <c r="A1965" s="2" t="s">
        <v>25</v>
      </c>
      <c r="B1965" s="2" t="s">
        <v>20</v>
      </c>
      <c r="C1965" s="149">
        <v>500.0</v>
      </c>
    </row>
    <row r="1966">
      <c r="A1966" s="2" t="s">
        <v>25</v>
      </c>
      <c r="B1966" s="2" t="s">
        <v>24</v>
      </c>
      <c r="C1966" s="149">
        <v>51.0</v>
      </c>
    </row>
    <row r="1967">
      <c r="A1967" s="2" t="s">
        <v>25</v>
      </c>
      <c r="B1967" s="2" t="s">
        <v>63</v>
      </c>
      <c r="C1967" s="149">
        <v>284.0</v>
      </c>
    </row>
    <row r="1968">
      <c r="A1968" s="2" t="s">
        <v>25</v>
      </c>
      <c r="B1968" s="2" t="s">
        <v>58</v>
      </c>
      <c r="C1968" s="149">
        <v>83.9</v>
      </c>
    </row>
    <row r="1969">
      <c r="A1969" s="2" t="s">
        <v>25</v>
      </c>
      <c r="B1969" s="2" t="s">
        <v>42</v>
      </c>
      <c r="C1969" s="149">
        <v>631.0</v>
      </c>
    </row>
    <row r="1970">
      <c r="A1970" s="2" t="s">
        <v>25</v>
      </c>
      <c r="B1970" s="2" t="s">
        <v>21</v>
      </c>
      <c r="C1970" s="149">
        <v>538.0</v>
      </c>
    </row>
    <row r="1971">
      <c r="A1971" s="2" t="s">
        <v>25</v>
      </c>
      <c r="B1971" s="2" t="s">
        <v>33</v>
      </c>
      <c r="C1971" s="149">
        <v>414.0</v>
      </c>
    </row>
    <row r="1972">
      <c r="A1972" s="2" t="s">
        <v>25</v>
      </c>
      <c r="B1972" s="2" t="s">
        <v>66</v>
      </c>
      <c r="C1972" s="149">
        <v>653.0</v>
      </c>
    </row>
    <row r="1973">
      <c r="A1973" s="2" t="s">
        <v>25</v>
      </c>
      <c r="B1973" s="2" t="s">
        <v>29</v>
      </c>
      <c r="C1973" s="149">
        <v>462.0</v>
      </c>
    </row>
    <row r="1974">
      <c r="A1974" s="2" t="s">
        <v>25</v>
      </c>
      <c r="B1974" s="2" t="s">
        <v>60</v>
      </c>
      <c r="C1974" s="149">
        <v>477.0</v>
      </c>
    </row>
    <row r="1975">
      <c r="A1975" s="2" t="s">
        <v>25</v>
      </c>
      <c r="B1975" s="2" t="s">
        <v>38</v>
      </c>
      <c r="C1975" s="149">
        <v>319.0</v>
      </c>
    </row>
    <row r="1976">
      <c r="A1976" s="2" t="s">
        <v>25</v>
      </c>
      <c r="B1976" s="2" t="s">
        <v>61</v>
      </c>
      <c r="C1976" s="149">
        <v>406.0</v>
      </c>
    </row>
    <row r="1977">
      <c r="A1977" s="2" t="s">
        <v>25</v>
      </c>
      <c r="B1977" s="2" t="s">
        <v>52</v>
      </c>
      <c r="C1977" s="149">
        <v>130.0</v>
      </c>
    </row>
    <row r="1978">
      <c r="A1978" s="2" t="s">
        <v>25</v>
      </c>
      <c r="B1978" s="2" t="s">
        <v>25</v>
      </c>
      <c r="C1978" s="149">
        <v>0.0</v>
      </c>
    </row>
    <row r="1979">
      <c r="A1979" s="2" t="s">
        <v>25</v>
      </c>
      <c r="B1979" s="2" t="s">
        <v>67</v>
      </c>
      <c r="C1979" s="149">
        <v>159.0</v>
      </c>
    </row>
    <row r="1980">
      <c r="A1980" s="2" t="s">
        <v>25</v>
      </c>
      <c r="B1980" s="2" t="s">
        <v>45</v>
      </c>
      <c r="C1980" s="149">
        <v>503.0</v>
      </c>
    </row>
    <row r="1981">
      <c r="A1981" s="2" t="s">
        <v>25</v>
      </c>
      <c r="B1981" s="2" t="s">
        <v>53</v>
      </c>
      <c r="C1981" s="149">
        <v>155.0</v>
      </c>
    </row>
    <row r="1982">
      <c r="A1982" s="2" t="s">
        <v>25</v>
      </c>
      <c r="B1982" s="2" t="s">
        <v>26</v>
      </c>
      <c r="C1982" s="149">
        <v>44.4</v>
      </c>
    </row>
    <row r="1983">
      <c r="A1983" s="2" t="s">
        <v>25</v>
      </c>
      <c r="B1983" s="2" t="s">
        <v>28</v>
      </c>
      <c r="C1983" s="149">
        <v>196.0</v>
      </c>
    </row>
    <row r="1984">
      <c r="A1984" s="2" t="s">
        <v>25</v>
      </c>
      <c r="B1984" s="2" t="s">
        <v>55</v>
      </c>
      <c r="C1984" s="149">
        <v>756.0</v>
      </c>
    </row>
    <row r="1985">
      <c r="A1985" s="2" t="s">
        <v>25</v>
      </c>
      <c r="B1985" s="2" t="s">
        <v>48</v>
      </c>
      <c r="C1985" s="149">
        <v>350.0</v>
      </c>
    </row>
    <row r="1986">
      <c r="A1986" s="2" t="s">
        <v>25</v>
      </c>
      <c r="B1986" s="2" t="s">
        <v>2035</v>
      </c>
      <c r="C1986" s="149">
        <v>814.0</v>
      </c>
    </row>
    <row r="1987">
      <c r="A1987" s="2" t="s">
        <v>25</v>
      </c>
      <c r="B1987" s="2" t="s">
        <v>59</v>
      </c>
      <c r="C1987" s="149">
        <v>26.9</v>
      </c>
    </row>
    <row r="1988">
      <c r="A1988" s="2" t="s">
        <v>25</v>
      </c>
      <c r="B1988" s="2" t="s">
        <v>44</v>
      </c>
      <c r="C1988" s="149">
        <v>477.0</v>
      </c>
    </row>
    <row r="1989">
      <c r="A1989" s="2" t="s">
        <v>25</v>
      </c>
      <c r="B1989" s="2" t="s">
        <v>2036</v>
      </c>
      <c r="C1989" s="149">
        <v>840.0</v>
      </c>
    </row>
    <row r="1990">
      <c r="A1990" s="2" t="s">
        <v>25</v>
      </c>
      <c r="B1990" s="2" t="s">
        <v>2037</v>
      </c>
      <c r="C1990" s="149">
        <v>702.0</v>
      </c>
    </row>
    <row r="1991">
      <c r="A1991" s="2" t="s">
        <v>67</v>
      </c>
      <c r="B1991" s="2" t="s">
        <v>18</v>
      </c>
      <c r="C1991" s="149">
        <v>462.0</v>
      </c>
    </row>
    <row r="1992">
      <c r="A1992" s="2" t="s">
        <v>67</v>
      </c>
      <c r="B1992" s="2" t="s">
        <v>49</v>
      </c>
      <c r="C1992" s="149">
        <v>635.0</v>
      </c>
    </row>
    <row r="1993">
      <c r="A1993" s="2" t="s">
        <v>67</v>
      </c>
      <c r="B1993" s="2" t="s">
        <v>22</v>
      </c>
      <c r="C1993" s="149">
        <v>478.0</v>
      </c>
    </row>
    <row r="1994">
      <c r="A1994" s="2" t="s">
        <v>67</v>
      </c>
      <c r="B1994" s="2" t="s">
        <v>27</v>
      </c>
      <c r="C1994" s="149">
        <v>152.0</v>
      </c>
    </row>
    <row r="1995">
      <c r="A1995" s="2" t="s">
        <v>67</v>
      </c>
      <c r="B1995" s="2" t="s">
        <v>35</v>
      </c>
      <c r="C1995" s="149">
        <v>760.0</v>
      </c>
    </row>
    <row r="1996">
      <c r="A1996" s="2" t="s">
        <v>67</v>
      </c>
      <c r="B1996" s="2" t="s">
        <v>41</v>
      </c>
      <c r="C1996" s="149">
        <v>710.0</v>
      </c>
    </row>
    <row r="1997">
      <c r="A1997" s="2" t="s">
        <v>67</v>
      </c>
      <c r="B1997" s="2" t="s">
        <v>57</v>
      </c>
      <c r="C1997" s="149">
        <v>225.0</v>
      </c>
    </row>
    <row r="1998">
      <c r="A1998" s="2" t="s">
        <v>67</v>
      </c>
      <c r="B1998" s="2" t="s">
        <v>37</v>
      </c>
      <c r="C1998" s="149">
        <v>202.0</v>
      </c>
    </row>
    <row r="1999">
      <c r="A1999" s="2" t="s">
        <v>67</v>
      </c>
      <c r="B1999" s="2" t="s">
        <v>39</v>
      </c>
      <c r="C1999" s="149">
        <v>240.0</v>
      </c>
    </row>
    <row r="2000">
      <c r="A2000" s="2" t="s">
        <v>67</v>
      </c>
      <c r="B2000" s="2" t="s">
        <v>64</v>
      </c>
      <c r="C2000" s="149">
        <v>618.0</v>
      </c>
    </row>
    <row r="2001">
      <c r="A2001" s="2" t="s">
        <v>67</v>
      </c>
      <c r="B2001" s="2" t="s">
        <v>65</v>
      </c>
      <c r="C2001" s="149">
        <v>530.0</v>
      </c>
    </row>
    <row r="2002">
      <c r="A2002" s="2" t="s">
        <v>67</v>
      </c>
      <c r="B2002" s="2" t="s">
        <v>36</v>
      </c>
      <c r="C2002" s="149">
        <v>757.0</v>
      </c>
    </row>
    <row r="2003">
      <c r="A2003" s="2" t="s">
        <v>67</v>
      </c>
      <c r="B2003" s="2" t="s">
        <v>31</v>
      </c>
      <c r="C2003" s="149">
        <v>237.0</v>
      </c>
    </row>
    <row r="2004">
      <c r="A2004" s="2" t="s">
        <v>67</v>
      </c>
      <c r="B2004" s="2" t="s">
        <v>43</v>
      </c>
      <c r="C2004" s="149">
        <v>578.0</v>
      </c>
    </row>
    <row r="2005">
      <c r="A2005" s="2" t="s">
        <v>67</v>
      </c>
      <c r="B2005" s="2" t="s">
        <v>40</v>
      </c>
      <c r="C2005" s="149">
        <v>319.0</v>
      </c>
    </row>
    <row r="2006">
      <c r="A2006" s="2" t="s">
        <v>67</v>
      </c>
      <c r="B2006" s="2" t="s">
        <v>50</v>
      </c>
      <c r="C2006" s="149">
        <v>724.0</v>
      </c>
    </row>
    <row r="2007">
      <c r="A2007" s="2" t="s">
        <v>67</v>
      </c>
      <c r="B2007" s="2" t="s">
        <v>51</v>
      </c>
      <c r="C2007" s="149">
        <v>132.0</v>
      </c>
    </row>
    <row r="2008">
      <c r="A2008" s="2" t="s">
        <v>67</v>
      </c>
      <c r="B2008" s="2" t="s">
        <v>23</v>
      </c>
      <c r="C2008" s="149">
        <v>503.0</v>
      </c>
    </row>
    <row r="2009">
      <c r="A2009" s="2" t="s">
        <v>67</v>
      </c>
      <c r="B2009" s="2" t="s">
        <v>47</v>
      </c>
      <c r="C2009" s="149">
        <v>397.0</v>
      </c>
    </row>
    <row r="2010">
      <c r="A2010" s="2" t="s">
        <v>67</v>
      </c>
      <c r="B2010" s="2" t="s">
        <v>62</v>
      </c>
      <c r="C2010" s="149">
        <v>436.0</v>
      </c>
    </row>
    <row r="2011">
      <c r="A2011" s="2" t="s">
        <v>67</v>
      </c>
      <c r="B2011" s="2" t="s">
        <v>30</v>
      </c>
      <c r="C2011" s="149">
        <v>228.0</v>
      </c>
    </row>
    <row r="2012">
      <c r="A2012" s="2" t="s">
        <v>67</v>
      </c>
      <c r="B2012" s="2" t="s">
        <v>32</v>
      </c>
      <c r="C2012" s="149">
        <v>189.0</v>
      </c>
    </row>
    <row r="2013">
      <c r="A2013" s="2" t="s">
        <v>67</v>
      </c>
      <c r="B2013" s="2" t="s">
        <v>46</v>
      </c>
      <c r="C2013" s="149">
        <v>526.0</v>
      </c>
    </row>
    <row r="2014">
      <c r="A2014" s="2" t="s">
        <v>67</v>
      </c>
      <c r="B2014" s="2" t="s">
        <v>54</v>
      </c>
      <c r="C2014" s="149">
        <v>568.0</v>
      </c>
    </row>
    <row r="2015">
      <c r="A2015" s="2" t="s">
        <v>67</v>
      </c>
      <c r="B2015" s="2" t="s">
        <v>34</v>
      </c>
      <c r="C2015" s="149">
        <v>496.0</v>
      </c>
    </row>
    <row r="2016">
      <c r="A2016" s="2" t="s">
        <v>67</v>
      </c>
      <c r="B2016" s="2" t="s">
        <v>20</v>
      </c>
      <c r="C2016" s="149">
        <v>463.0</v>
      </c>
    </row>
    <row r="2017">
      <c r="A2017" s="2" t="s">
        <v>67</v>
      </c>
      <c r="B2017" s="2" t="s">
        <v>24</v>
      </c>
      <c r="C2017" s="149">
        <v>119.0</v>
      </c>
    </row>
    <row r="2018">
      <c r="A2018" s="2" t="s">
        <v>67</v>
      </c>
      <c r="B2018" s="2" t="s">
        <v>63</v>
      </c>
      <c r="C2018" s="149">
        <v>303.0</v>
      </c>
    </row>
    <row r="2019">
      <c r="A2019" s="2" t="s">
        <v>67</v>
      </c>
      <c r="B2019" s="2" t="s">
        <v>58</v>
      </c>
      <c r="C2019" s="149">
        <v>241.0</v>
      </c>
    </row>
    <row r="2020">
      <c r="A2020" s="2" t="s">
        <v>67</v>
      </c>
      <c r="B2020" s="2" t="s">
        <v>42</v>
      </c>
      <c r="C2020" s="149">
        <v>650.0</v>
      </c>
    </row>
    <row r="2021">
      <c r="A2021" s="2" t="s">
        <v>67</v>
      </c>
      <c r="B2021" s="2" t="s">
        <v>21</v>
      </c>
      <c r="C2021" s="149">
        <v>501.0</v>
      </c>
    </row>
    <row r="2022">
      <c r="A2022" s="2" t="s">
        <v>67</v>
      </c>
      <c r="B2022" s="2" t="s">
        <v>33</v>
      </c>
      <c r="C2022" s="149">
        <v>377.0</v>
      </c>
    </row>
    <row r="2023">
      <c r="A2023" s="2" t="s">
        <v>67</v>
      </c>
      <c r="B2023" s="2" t="s">
        <v>66</v>
      </c>
      <c r="C2023" s="149">
        <v>672.0</v>
      </c>
    </row>
    <row r="2024">
      <c r="A2024" s="2" t="s">
        <v>67</v>
      </c>
      <c r="B2024" s="2" t="s">
        <v>29</v>
      </c>
      <c r="C2024" s="149">
        <v>294.0</v>
      </c>
    </row>
    <row r="2025">
      <c r="A2025" s="2" t="s">
        <v>67</v>
      </c>
      <c r="B2025" s="2" t="s">
        <v>60</v>
      </c>
      <c r="C2025" s="149">
        <v>444.0</v>
      </c>
    </row>
    <row r="2026">
      <c r="A2026" s="2" t="s">
        <v>67</v>
      </c>
      <c r="B2026" s="2" t="s">
        <v>38</v>
      </c>
      <c r="C2026" s="149">
        <v>148.0</v>
      </c>
    </row>
    <row r="2027">
      <c r="A2027" s="2" t="s">
        <v>67</v>
      </c>
      <c r="B2027" s="2" t="s">
        <v>61</v>
      </c>
      <c r="C2027" s="149">
        <v>425.0</v>
      </c>
    </row>
    <row r="2028">
      <c r="A2028" s="2" t="s">
        <v>67</v>
      </c>
      <c r="B2028" s="2" t="s">
        <v>52</v>
      </c>
      <c r="C2028" s="149">
        <v>152.0</v>
      </c>
    </row>
    <row r="2029">
      <c r="A2029" s="2" t="s">
        <v>67</v>
      </c>
      <c r="B2029" s="2" t="s">
        <v>25</v>
      </c>
      <c r="C2029" s="149">
        <v>159.0</v>
      </c>
    </row>
    <row r="2030">
      <c r="A2030" s="2" t="s">
        <v>67</v>
      </c>
      <c r="B2030" s="2" t="s">
        <v>67</v>
      </c>
      <c r="C2030" s="149">
        <v>0.0</v>
      </c>
    </row>
    <row r="2031">
      <c r="A2031" s="2" t="s">
        <v>67</v>
      </c>
      <c r="B2031" s="2" t="s">
        <v>45</v>
      </c>
      <c r="C2031" s="149">
        <v>527.0</v>
      </c>
    </row>
    <row r="2032">
      <c r="A2032" s="2" t="s">
        <v>67</v>
      </c>
      <c r="B2032" s="2" t="s">
        <v>53</v>
      </c>
      <c r="C2032" s="149">
        <v>312.0</v>
      </c>
    </row>
    <row r="2033">
      <c r="A2033" s="2" t="s">
        <v>67</v>
      </c>
      <c r="B2033" s="2" t="s">
        <v>26</v>
      </c>
      <c r="C2033" s="149">
        <v>208.0</v>
      </c>
    </row>
    <row r="2034">
      <c r="A2034" s="2" t="s">
        <v>67</v>
      </c>
      <c r="B2034" s="2" t="s">
        <v>28</v>
      </c>
      <c r="C2034" s="149">
        <v>158.0</v>
      </c>
    </row>
    <row r="2035">
      <c r="A2035" s="2" t="s">
        <v>67</v>
      </c>
      <c r="B2035" s="2" t="s">
        <v>55</v>
      </c>
      <c r="C2035" s="149">
        <v>723.0</v>
      </c>
    </row>
    <row r="2036">
      <c r="A2036" s="2" t="s">
        <v>67</v>
      </c>
      <c r="B2036" s="2" t="s">
        <v>48</v>
      </c>
      <c r="C2036" s="149">
        <v>374.0</v>
      </c>
    </row>
    <row r="2037">
      <c r="A2037" s="2" t="s">
        <v>67</v>
      </c>
      <c r="B2037" s="2" t="s">
        <v>2035</v>
      </c>
      <c r="C2037" s="149">
        <v>781.0</v>
      </c>
    </row>
    <row r="2038">
      <c r="A2038" s="2" t="s">
        <v>67</v>
      </c>
      <c r="B2038" s="2" t="s">
        <v>59</v>
      </c>
      <c r="C2038" s="149">
        <v>191.0</v>
      </c>
    </row>
    <row r="2039">
      <c r="A2039" s="2" t="s">
        <v>67</v>
      </c>
      <c r="B2039" s="2" t="s">
        <v>44</v>
      </c>
      <c r="C2039" s="149">
        <v>497.0</v>
      </c>
    </row>
    <row r="2040">
      <c r="A2040" s="2" t="s">
        <v>67</v>
      </c>
      <c r="B2040" s="2" t="s">
        <v>2036</v>
      </c>
      <c r="C2040" s="149">
        <v>748.0</v>
      </c>
    </row>
    <row r="2041">
      <c r="A2041" s="2" t="s">
        <v>67</v>
      </c>
      <c r="B2041" s="2" t="s">
        <v>2037</v>
      </c>
      <c r="C2041" s="149">
        <v>688.0</v>
      </c>
    </row>
    <row r="2042">
      <c r="A2042" s="2" t="s">
        <v>45</v>
      </c>
      <c r="B2042" s="2" t="s">
        <v>18</v>
      </c>
      <c r="C2042" s="149">
        <v>101.0</v>
      </c>
    </row>
    <row r="2043">
      <c r="A2043" s="2" t="s">
        <v>45</v>
      </c>
      <c r="B2043" s="2" t="s">
        <v>49</v>
      </c>
      <c r="C2043" s="149">
        <v>586.0</v>
      </c>
    </row>
    <row r="2044">
      <c r="A2044" s="2" t="s">
        <v>45</v>
      </c>
      <c r="B2044" s="2" t="s">
        <v>22</v>
      </c>
      <c r="C2044" s="149">
        <v>379.0</v>
      </c>
    </row>
    <row r="2045">
      <c r="A2045" s="2" t="s">
        <v>45</v>
      </c>
      <c r="B2045" s="2" t="s">
        <v>27</v>
      </c>
      <c r="C2045" s="149">
        <v>376.0</v>
      </c>
    </row>
    <row r="2046">
      <c r="A2046" s="2" t="s">
        <v>45</v>
      </c>
      <c r="B2046" s="2" t="s">
        <v>35</v>
      </c>
      <c r="C2046" s="149">
        <v>234.0</v>
      </c>
    </row>
    <row r="2047">
      <c r="A2047" s="2" t="s">
        <v>45</v>
      </c>
      <c r="B2047" s="2" t="s">
        <v>41</v>
      </c>
      <c r="C2047" s="149">
        <v>184.0</v>
      </c>
    </row>
    <row r="2048">
      <c r="A2048" s="2" t="s">
        <v>45</v>
      </c>
      <c r="B2048" s="2" t="s">
        <v>57</v>
      </c>
      <c r="C2048" s="149">
        <v>569.0</v>
      </c>
    </row>
    <row r="2049">
      <c r="A2049" s="2" t="s">
        <v>45</v>
      </c>
      <c r="B2049" s="2" t="s">
        <v>37</v>
      </c>
      <c r="C2049" s="149">
        <v>350.0</v>
      </c>
    </row>
    <row r="2050">
      <c r="A2050" s="2" t="s">
        <v>45</v>
      </c>
      <c r="B2050" s="2" t="s">
        <v>39</v>
      </c>
      <c r="C2050" s="149">
        <v>333.0</v>
      </c>
    </row>
    <row r="2051">
      <c r="A2051" s="2" t="s">
        <v>45</v>
      </c>
      <c r="B2051" s="2" t="s">
        <v>64</v>
      </c>
      <c r="C2051" s="149">
        <v>92.3</v>
      </c>
    </row>
    <row r="2052">
      <c r="A2052" s="2" t="s">
        <v>45</v>
      </c>
      <c r="B2052" s="2" t="s">
        <v>65</v>
      </c>
      <c r="C2052" s="149">
        <v>39.9</v>
      </c>
    </row>
    <row r="2053">
      <c r="A2053" s="2" t="s">
        <v>45</v>
      </c>
      <c r="B2053" s="2" t="s">
        <v>36</v>
      </c>
      <c r="C2053" s="149">
        <v>231.0</v>
      </c>
    </row>
    <row r="2054">
      <c r="A2054" s="2" t="s">
        <v>45</v>
      </c>
      <c r="B2054" s="2" t="s">
        <v>31</v>
      </c>
      <c r="C2054" s="149">
        <v>436.0</v>
      </c>
    </row>
    <row r="2055">
      <c r="A2055" s="2" t="s">
        <v>45</v>
      </c>
      <c r="B2055" s="2" t="s">
        <v>43</v>
      </c>
      <c r="C2055" s="149">
        <v>122.0</v>
      </c>
    </row>
    <row r="2056">
      <c r="A2056" s="2" t="s">
        <v>45</v>
      </c>
      <c r="B2056" s="2" t="s">
        <v>40</v>
      </c>
      <c r="C2056" s="149">
        <v>266.0</v>
      </c>
    </row>
    <row r="2057">
      <c r="A2057" s="2" t="s">
        <v>45</v>
      </c>
      <c r="B2057" s="2" t="s">
        <v>50</v>
      </c>
      <c r="C2057" s="149">
        <v>625.0</v>
      </c>
    </row>
    <row r="2058">
      <c r="A2058" s="2" t="s">
        <v>45</v>
      </c>
      <c r="B2058" s="2" t="s">
        <v>51</v>
      </c>
      <c r="C2058" s="149">
        <v>397.0</v>
      </c>
    </row>
    <row r="2059">
      <c r="A2059" s="2" t="s">
        <v>45</v>
      </c>
      <c r="B2059" s="2" t="s">
        <v>23</v>
      </c>
      <c r="C2059" s="149">
        <v>404.0</v>
      </c>
    </row>
    <row r="2060">
      <c r="A2060" s="2" t="s">
        <v>45</v>
      </c>
      <c r="B2060" s="2" t="s">
        <v>47</v>
      </c>
      <c r="C2060" s="149">
        <v>87.6</v>
      </c>
    </row>
    <row r="2061">
      <c r="A2061" s="2" t="s">
        <v>45</v>
      </c>
      <c r="B2061" s="2" t="s">
        <v>62</v>
      </c>
      <c r="C2061" s="149">
        <v>91.1</v>
      </c>
    </row>
    <row r="2062">
      <c r="A2062" s="2" t="s">
        <v>45</v>
      </c>
      <c r="B2062" s="2" t="s">
        <v>30</v>
      </c>
      <c r="C2062" s="149">
        <v>322.0</v>
      </c>
    </row>
    <row r="2063">
      <c r="A2063" s="2" t="s">
        <v>45</v>
      </c>
      <c r="B2063" s="2" t="s">
        <v>32</v>
      </c>
      <c r="C2063" s="149">
        <v>350.0</v>
      </c>
    </row>
    <row r="2064">
      <c r="A2064" s="2" t="s">
        <v>45</v>
      </c>
      <c r="B2064" s="2" t="s">
        <v>46</v>
      </c>
      <c r="C2064" s="149">
        <v>0.0</v>
      </c>
    </row>
    <row r="2065">
      <c r="A2065" s="2" t="s">
        <v>45</v>
      </c>
      <c r="B2065" s="2" t="s">
        <v>54</v>
      </c>
      <c r="C2065" s="149">
        <v>469.0</v>
      </c>
    </row>
    <row r="2066">
      <c r="A2066" s="2" t="s">
        <v>45</v>
      </c>
      <c r="B2066" s="2" t="s">
        <v>34</v>
      </c>
      <c r="C2066" s="149">
        <v>186.0</v>
      </c>
    </row>
    <row r="2067">
      <c r="A2067" s="2" t="s">
        <v>45</v>
      </c>
      <c r="B2067" s="2" t="s">
        <v>20</v>
      </c>
      <c r="C2067" s="149">
        <v>402.0</v>
      </c>
    </row>
    <row r="2068">
      <c r="A2068" s="2" t="s">
        <v>45</v>
      </c>
      <c r="B2068" s="2" t="s">
        <v>24</v>
      </c>
      <c r="C2068" s="149">
        <v>457.0</v>
      </c>
    </row>
    <row r="2069">
      <c r="A2069" s="2" t="s">
        <v>45</v>
      </c>
      <c r="B2069" s="2" t="s">
        <v>63</v>
      </c>
      <c r="C2069" s="149">
        <v>174.0</v>
      </c>
    </row>
    <row r="2070">
      <c r="A2070" s="2" t="s">
        <v>45</v>
      </c>
      <c r="B2070" s="2" t="s">
        <v>58</v>
      </c>
      <c r="C2070" s="149">
        <v>584.0</v>
      </c>
    </row>
    <row r="2071">
      <c r="A2071" s="2" t="s">
        <v>45</v>
      </c>
      <c r="B2071" s="2" t="s">
        <v>42</v>
      </c>
      <c r="C2071" s="149">
        <v>125.0</v>
      </c>
    </row>
    <row r="2072">
      <c r="A2072" s="2" t="s">
        <v>45</v>
      </c>
      <c r="B2072" s="2" t="s">
        <v>21</v>
      </c>
      <c r="C2072" s="149">
        <v>397.0</v>
      </c>
    </row>
    <row r="2073">
      <c r="A2073" s="2" t="s">
        <v>45</v>
      </c>
      <c r="B2073" s="2" t="s">
        <v>33</v>
      </c>
      <c r="C2073" s="149">
        <v>401.0</v>
      </c>
    </row>
    <row r="2074">
      <c r="A2074" s="2" t="s">
        <v>45</v>
      </c>
      <c r="B2074" s="2" t="s">
        <v>66</v>
      </c>
      <c r="C2074" s="149">
        <v>236.0</v>
      </c>
    </row>
    <row r="2075">
      <c r="A2075" s="2" t="s">
        <v>45</v>
      </c>
      <c r="B2075" s="2" t="s">
        <v>29</v>
      </c>
      <c r="C2075" s="149">
        <v>571.0</v>
      </c>
    </row>
    <row r="2076">
      <c r="A2076" s="2" t="s">
        <v>45</v>
      </c>
      <c r="B2076" s="2" t="s">
        <v>60</v>
      </c>
      <c r="C2076" s="149">
        <v>247.0</v>
      </c>
    </row>
    <row r="2077">
      <c r="A2077" s="2" t="s">
        <v>45</v>
      </c>
      <c r="B2077" s="2" t="s">
        <v>38</v>
      </c>
      <c r="C2077" s="149">
        <v>428.0</v>
      </c>
    </row>
    <row r="2078">
      <c r="A2078" s="2" t="s">
        <v>45</v>
      </c>
      <c r="B2078" s="2" t="s">
        <v>61</v>
      </c>
      <c r="C2078" s="149">
        <v>115.0</v>
      </c>
    </row>
    <row r="2079">
      <c r="A2079" s="2" t="s">
        <v>45</v>
      </c>
      <c r="B2079" s="2" t="s">
        <v>52</v>
      </c>
      <c r="C2079" s="149">
        <v>427.0</v>
      </c>
    </row>
    <row r="2080">
      <c r="A2080" s="2" t="s">
        <v>45</v>
      </c>
      <c r="B2080" s="2" t="s">
        <v>25</v>
      </c>
      <c r="C2080" s="149">
        <v>503.0</v>
      </c>
    </row>
    <row r="2081">
      <c r="A2081" s="2" t="s">
        <v>45</v>
      </c>
      <c r="B2081" s="2" t="s">
        <v>67</v>
      </c>
      <c r="C2081" s="149">
        <v>527.0</v>
      </c>
    </row>
    <row r="2082">
      <c r="A2082" s="2" t="s">
        <v>45</v>
      </c>
      <c r="B2082" s="2" t="s">
        <v>45</v>
      </c>
      <c r="C2082" s="149">
        <v>0.0</v>
      </c>
    </row>
    <row r="2083">
      <c r="A2083" s="2" t="s">
        <v>45</v>
      </c>
      <c r="B2083" s="2" t="s">
        <v>53</v>
      </c>
      <c r="C2083" s="149">
        <v>548.0</v>
      </c>
    </row>
    <row r="2084">
      <c r="A2084" s="2" t="s">
        <v>45</v>
      </c>
      <c r="B2084" s="2" t="s">
        <v>26</v>
      </c>
      <c r="C2084" s="149">
        <v>540.0</v>
      </c>
    </row>
    <row r="2085">
      <c r="A2085" s="2" t="s">
        <v>45</v>
      </c>
      <c r="B2085" s="2" t="s">
        <v>28</v>
      </c>
      <c r="C2085" s="149">
        <v>389.0</v>
      </c>
    </row>
    <row r="2086">
      <c r="A2086" s="2" t="s">
        <v>45</v>
      </c>
      <c r="B2086" s="2" t="s">
        <v>55</v>
      </c>
      <c r="C2086" s="149">
        <v>600.0</v>
      </c>
    </row>
    <row r="2087">
      <c r="A2087" s="2" t="s">
        <v>45</v>
      </c>
      <c r="B2087" s="2" t="s">
        <v>48</v>
      </c>
      <c r="C2087" s="149">
        <v>101.0</v>
      </c>
    </row>
    <row r="2088">
      <c r="A2088" s="2" t="s">
        <v>45</v>
      </c>
      <c r="B2088" s="2" t="s">
        <v>2035</v>
      </c>
      <c r="C2088" s="149">
        <v>657.0</v>
      </c>
    </row>
    <row r="2089">
      <c r="A2089" s="2" t="s">
        <v>45</v>
      </c>
      <c r="B2089" s="2" t="s">
        <v>59</v>
      </c>
      <c r="C2089" s="149">
        <v>535.0</v>
      </c>
    </row>
    <row r="2090">
      <c r="A2090" s="2" t="s">
        <v>45</v>
      </c>
      <c r="B2090" s="2" t="s">
        <v>44</v>
      </c>
      <c r="C2090" s="149">
        <v>134.0</v>
      </c>
    </row>
    <row r="2091">
      <c r="A2091" s="2" t="s">
        <v>45</v>
      </c>
      <c r="B2091" s="2" t="s">
        <v>2036</v>
      </c>
      <c r="C2091" s="149">
        <v>625.0</v>
      </c>
    </row>
    <row r="2092">
      <c r="A2092" s="2" t="s">
        <v>45</v>
      </c>
      <c r="B2092" s="2" t="s">
        <v>2037</v>
      </c>
      <c r="C2092" s="149">
        <v>568.0</v>
      </c>
    </row>
    <row r="2093">
      <c r="A2093" s="2" t="s">
        <v>53</v>
      </c>
      <c r="B2093" s="2" t="s">
        <v>18</v>
      </c>
      <c r="C2093" s="149">
        <v>584.0</v>
      </c>
    </row>
    <row r="2094">
      <c r="A2094" s="2" t="s">
        <v>53</v>
      </c>
      <c r="B2094" s="2" t="s">
        <v>49</v>
      </c>
      <c r="C2094" s="149">
        <v>820.0</v>
      </c>
    </row>
    <row r="2095">
      <c r="A2095" s="2" t="s">
        <v>53</v>
      </c>
      <c r="B2095" s="2" t="s">
        <v>22</v>
      </c>
      <c r="C2095" s="149">
        <v>663.0</v>
      </c>
    </row>
    <row r="2096">
      <c r="A2096" s="2" t="s">
        <v>53</v>
      </c>
      <c r="B2096" s="2" t="s">
        <v>27</v>
      </c>
      <c r="C2096" s="149">
        <v>315.0</v>
      </c>
    </row>
    <row r="2097">
      <c r="A2097" s="2" t="s">
        <v>53</v>
      </c>
      <c r="B2097" s="2" t="s">
        <v>35</v>
      </c>
      <c r="C2097" s="149">
        <v>782.0</v>
      </c>
    </row>
    <row r="2098">
      <c r="A2098" s="2" t="s">
        <v>53</v>
      </c>
      <c r="B2098" s="2" t="s">
        <v>41</v>
      </c>
      <c r="C2098" s="149">
        <v>731.0</v>
      </c>
    </row>
    <row r="2099">
      <c r="A2099" s="2" t="s">
        <v>53</v>
      </c>
      <c r="B2099" s="2" t="s">
        <v>57</v>
      </c>
      <c r="C2099" s="149">
        <v>187.0</v>
      </c>
    </row>
    <row r="2100">
      <c r="A2100" s="2" t="s">
        <v>53</v>
      </c>
      <c r="B2100" s="2" t="s">
        <v>37</v>
      </c>
      <c r="C2100" s="149">
        <v>399.0</v>
      </c>
    </row>
    <row r="2101">
      <c r="A2101" s="2" t="s">
        <v>53</v>
      </c>
      <c r="B2101" s="2" t="s">
        <v>39</v>
      </c>
      <c r="C2101" s="149">
        <v>425.0</v>
      </c>
    </row>
    <row r="2102">
      <c r="A2102" s="2" t="s">
        <v>53</v>
      </c>
      <c r="B2102" s="2" t="s">
        <v>64</v>
      </c>
      <c r="C2102" s="149">
        <v>640.0</v>
      </c>
    </row>
    <row r="2103">
      <c r="A2103" s="2" t="s">
        <v>53</v>
      </c>
      <c r="B2103" s="2" t="s">
        <v>65</v>
      </c>
      <c r="C2103" s="149">
        <v>587.0</v>
      </c>
    </row>
    <row r="2104">
      <c r="A2104" s="2" t="s">
        <v>53</v>
      </c>
      <c r="B2104" s="2" t="s">
        <v>36</v>
      </c>
      <c r="C2104" s="149">
        <v>779.0</v>
      </c>
    </row>
    <row r="2105">
      <c r="A2105" s="2" t="s">
        <v>53</v>
      </c>
      <c r="B2105" s="2" t="s">
        <v>31</v>
      </c>
      <c r="C2105" s="149">
        <v>131.0</v>
      </c>
    </row>
    <row r="2106">
      <c r="A2106" s="2" t="s">
        <v>53</v>
      </c>
      <c r="B2106" s="2" t="s">
        <v>43</v>
      </c>
      <c r="C2106" s="149">
        <v>670.0</v>
      </c>
    </row>
    <row r="2107">
      <c r="A2107" s="2" t="s">
        <v>53</v>
      </c>
      <c r="B2107" s="2" t="s">
        <v>40</v>
      </c>
      <c r="C2107" s="149">
        <v>486.0</v>
      </c>
    </row>
    <row r="2108">
      <c r="A2108" s="2" t="s">
        <v>53</v>
      </c>
      <c r="B2108" s="2" t="s">
        <v>50</v>
      </c>
      <c r="C2108" s="149">
        <v>909.0</v>
      </c>
    </row>
    <row r="2109">
      <c r="A2109" s="2" t="s">
        <v>53</v>
      </c>
      <c r="B2109" s="2" t="s">
        <v>51</v>
      </c>
      <c r="C2109" s="149">
        <v>261.0</v>
      </c>
    </row>
    <row r="2110">
      <c r="A2110" s="2" t="s">
        <v>53</v>
      </c>
      <c r="B2110" s="2" t="s">
        <v>23</v>
      </c>
      <c r="C2110" s="149">
        <v>688.0</v>
      </c>
    </row>
    <row r="2111">
      <c r="A2111" s="2" t="s">
        <v>53</v>
      </c>
      <c r="B2111" s="2" t="s">
        <v>47</v>
      </c>
      <c r="C2111" s="149">
        <v>476.0</v>
      </c>
    </row>
    <row r="2112">
      <c r="A2112" s="2" t="s">
        <v>53</v>
      </c>
      <c r="B2112" s="2" t="s">
        <v>62</v>
      </c>
      <c r="C2112" s="149">
        <v>551.0</v>
      </c>
    </row>
    <row r="2113">
      <c r="A2113" s="2" t="s">
        <v>53</v>
      </c>
      <c r="B2113" s="2" t="s">
        <v>30</v>
      </c>
      <c r="C2113" s="149">
        <v>246.0</v>
      </c>
    </row>
    <row r="2114">
      <c r="A2114" s="2" t="s">
        <v>53</v>
      </c>
      <c r="B2114" s="2" t="s">
        <v>32</v>
      </c>
      <c r="C2114" s="149">
        <v>196.0</v>
      </c>
    </row>
    <row r="2115">
      <c r="A2115" s="2" t="s">
        <v>53</v>
      </c>
      <c r="B2115" s="2" t="s">
        <v>46</v>
      </c>
      <c r="C2115" s="149">
        <v>548.0</v>
      </c>
    </row>
    <row r="2116">
      <c r="A2116" s="2" t="s">
        <v>53</v>
      </c>
      <c r="B2116" s="2" t="s">
        <v>54</v>
      </c>
      <c r="C2116" s="149">
        <v>753.0</v>
      </c>
    </row>
    <row r="2117">
      <c r="A2117" s="2" t="s">
        <v>53</v>
      </c>
      <c r="B2117" s="2" t="s">
        <v>34</v>
      </c>
      <c r="C2117" s="149">
        <v>611.0</v>
      </c>
    </row>
    <row r="2118">
      <c r="A2118" s="2" t="s">
        <v>53</v>
      </c>
      <c r="B2118" s="2" t="s">
        <v>20</v>
      </c>
      <c r="C2118" s="149">
        <v>648.0</v>
      </c>
    </row>
    <row r="2119">
      <c r="A2119" s="2" t="s">
        <v>53</v>
      </c>
      <c r="B2119" s="2" t="s">
        <v>24</v>
      </c>
      <c r="C2119" s="149">
        <v>199.0</v>
      </c>
    </row>
    <row r="2120">
      <c r="A2120" s="2" t="s">
        <v>53</v>
      </c>
      <c r="B2120" s="2" t="s">
        <v>63</v>
      </c>
      <c r="C2120" s="149">
        <v>377.0</v>
      </c>
    </row>
    <row r="2121">
      <c r="A2121" s="2" t="s">
        <v>53</v>
      </c>
      <c r="B2121" s="2" t="s">
        <v>58</v>
      </c>
      <c r="C2121" s="149">
        <v>197.0</v>
      </c>
    </row>
    <row r="2122">
      <c r="A2122" s="2" t="s">
        <v>53</v>
      </c>
      <c r="B2122" s="2" t="s">
        <v>42</v>
      </c>
      <c r="C2122" s="149">
        <v>672.0</v>
      </c>
    </row>
    <row r="2123">
      <c r="A2123" s="2" t="s">
        <v>53</v>
      </c>
      <c r="B2123" s="2" t="s">
        <v>21</v>
      </c>
      <c r="C2123" s="149">
        <v>686.0</v>
      </c>
    </row>
    <row r="2124">
      <c r="A2124" s="2" t="s">
        <v>53</v>
      </c>
      <c r="B2124" s="2" t="s">
        <v>33</v>
      </c>
      <c r="C2124" s="149">
        <v>562.0</v>
      </c>
    </row>
    <row r="2125">
      <c r="A2125" s="2" t="s">
        <v>53</v>
      </c>
      <c r="B2125" s="2" t="s">
        <v>66</v>
      </c>
      <c r="C2125" s="149">
        <v>787.0</v>
      </c>
    </row>
    <row r="2126">
      <c r="A2126" s="2" t="s">
        <v>53</v>
      </c>
      <c r="B2126" s="2" t="s">
        <v>29</v>
      </c>
      <c r="C2126" s="149">
        <v>610.0</v>
      </c>
    </row>
    <row r="2127">
      <c r="A2127" s="2" t="s">
        <v>53</v>
      </c>
      <c r="B2127" s="2" t="s">
        <v>60</v>
      </c>
      <c r="C2127" s="149">
        <v>611.0</v>
      </c>
    </row>
    <row r="2128">
      <c r="A2128" s="2" t="s">
        <v>53</v>
      </c>
      <c r="B2128" s="2" t="s">
        <v>38</v>
      </c>
      <c r="C2128" s="149">
        <v>467.0</v>
      </c>
    </row>
    <row r="2129">
      <c r="A2129" s="2" t="s">
        <v>53</v>
      </c>
      <c r="B2129" s="2" t="s">
        <v>61</v>
      </c>
      <c r="C2129" s="149">
        <v>540.0</v>
      </c>
    </row>
    <row r="2130">
      <c r="A2130" s="2" t="s">
        <v>53</v>
      </c>
      <c r="B2130" s="2" t="s">
        <v>52</v>
      </c>
      <c r="C2130" s="149">
        <v>208.0</v>
      </c>
    </row>
    <row r="2131">
      <c r="A2131" s="2" t="s">
        <v>53</v>
      </c>
      <c r="B2131" s="2" t="s">
        <v>25</v>
      </c>
      <c r="C2131" s="149">
        <v>155.0</v>
      </c>
    </row>
    <row r="2132">
      <c r="A2132" s="2" t="s">
        <v>53</v>
      </c>
      <c r="B2132" s="2" t="s">
        <v>67</v>
      </c>
      <c r="C2132" s="149">
        <v>312.0</v>
      </c>
    </row>
    <row r="2133">
      <c r="A2133" s="2" t="s">
        <v>53</v>
      </c>
      <c r="B2133" s="2" t="s">
        <v>45</v>
      </c>
      <c r="C2133" s="149">
        <v>548.0</v>
      </c>
    </row>
    <row r="2134">
      <c r="A2134" s="2" t="s">
        <v>53</v>
      </c>
      <c r="B2134" s="2" t="s">
        <v>53</v>
      </c>
      <c r="C2134" s="149">
        <v>0.0</v>
      </c>
    </row>
    <row r="2135">
      <c r="A2135" s="2" t="s">
        <v>53</v>
      </c>
      <c r="B2135" s="2" t="s">
        <v>26</v>
      </c>
      <c r="C2135" s="149">
        <v>191.0</v>
      </c>
    </row>
    <row r="2136">
      <c r="A2136" s="2" t="s">
        <v>53</v>
      </c>
      <c r="B2136" s="2" t="s">
        <v>28</v>
      </c>
      <c r="C2136" s="149">
        <v>349.0</v>
      </c>
    </row>
    <row r="2137">
      <c r="A2137" s="2" t="s">
        <v>53</v>
      </c>
      <c r="B2137" s="2" t="s">
        <v>55</v>
      </c>
      <c r="C2137" s="149">
        <v>961.0</v>
      </c>
    </row>
    <row r="2138">
      <c r="A2138" s="2" t="s">
        <v>53</v>
      </c>
      <c r="B2138" s="2" t="s">
        <v>48</v>
      </c>
      <c r="C2138" s="149">
        <v>460.0</v>
      </c>
    </row>
    <row r="2139">
      <c r="A2139" s="2" t="s">
        <v>53</v>
      </c>
      <c r="B2139" s="2" t="s">
        <v>2035</v>
      </c>
      <c r="C2139" s="149">
        <v>1018.0</v>
      </c>
    </row>
    <row r="2140">
      <c r="A2140" s="2" t="s">
        <v>53</v>
      </c>
      <c r="B2140" s="2" t="s">
        <v>59</v>
      </c>
      <c r="C2140" s="149">
        <v>153.0</v>
      </c>
    </row>
    <row r="2141">
      <c r="A2141" s="2" t="s">
        <v>53</v>
      </c>
      <c r="B2141" s="2" t="s">
        <v>44</v>
      </c>
      <c r="C2141" s="149">
        <v>611.0</v>
      </c>
    </row>
    <row r="2142">
      <c r="A2142" s="2" t="s">
        <v>53</v>
      </c>
      <c r="B2142" s="2" t="s">
        <v>2036</v>
      </c>
      <c r="C2142" s="149">
        <v>986.0</v>
      </c>
    </row>
    <row r="2143">
      <c r="A2143" s="2" t="s">
        <v>53</v>
      </c>
      <c r="B2143" s="2" t="s">
        <v>2037</v>
      </c>
      <c r="C2143" s="149">
        <v>854.0</v>
      </c>
    </row>
    <row r="2144">
      <c r="A2144" s="2" t="s">
        <v>26</v>
      </c>
      <c r="B2144" s="2" t="s">
        <v>18</v>
      </c>
      <c r="C2144" s="149">
        <v>473.0</v>
      </c>
    </row>
    <row r="2145">
      <c r="A2145" s="2" t="s">
        <v>26</v>
      </c>
      <c r="B2145" s="2" t="s">
        <v>49</v>
      </c>
      <c r="C2145" s="149">
        <v>706.0</v>
      </c>
    </row>
    <row r="2146">
      <c r="A2146" s="2" t="s">
        <v>26</v>
      </c>
      <c r="B2146" s="2" t="s">
        <v>22</v>
      </c>
      <c r="C2146" s="149">
        <v>548.0</v>
      </c>
    </row>
    <row r="2147">
      <c r="A2147" s="2" t="s">
        <v>26</v>
      </c>
      <c r="B2147" s="2" t="s">
        <v>27</v>
      </c>
      <c r="C2147" s="149">
        <v>200.0</v>
      </c>
    </row>
    <row r="2148">
      <c r="A2148" s="2" t="s">
        <v>26</v>
      </c>
      <c r="B2148" s="2" t="s">
        <v>35</v>
      </c>
      <c r="C2148" s="149">
        <v>774.0</v>
      </c>
    </row>
    <row r="2149">
      <c r="A2149" s="2" t="s">
        <v>26</v>
      </c>
      <c r="B2149" s="2" t="s">
        <v>41</v>
      </c>
      <c r="C2149" s="149">
        <v>724.0</v>
      </c>
    </row>
    <row r="2150">
      <c r="A2150" s="2" t="s">
        <v>26</v>
      </c>
      <c r="B2150" s="2" t="s">
        <v>57</v>
      </c>
      <c r="C2150" s="149">
        <v>36.0</v>
      </c>
    </row>
    <row r="2151">
      <c r="A2151" s="2" t="s">
        <v>26</v>
      </c>
      <c r="B2151" s="2" t="s">
        <v>37</v>
      </c>
      <c r="C2151" s="149">
        <v>284.0</v>
      </c>
    </row>
    <row r="2152">
      <c r="A2152" s="2" t="s">
        <v>26</v>
      </c>
      <c r="B2152" s="2" t="s">
        <v>39</v>
      </c>
      <c r="C2152" s="149">
        <v>311.0</v>
      </c>
    </row>
    <row r="2153">
      <c r="A2153" s="2" t="s">
        <v>26</v>
      </c>
      <c r="B2153" s="2" t="s">
        <v>64</v>
      </c>
      <c r="C2153" s="149">
        <v>632.0</v>
      </c>
    </row>
    <row r="2154">
      <c r="A2154" s="2" t="s">
        <v>26</v>
      </c>
      <c r="B2154" s="2" t="s">
        <v>65</v>
      </c>
      <c r="C2154" s="149">
        <v>544.0</v>
      </c>
    </row>
    <row r="2155">
      <c r="A2155" s="2" t="s">
        <v>26</v>
      </c>
      <c r="B2155" s="2" t="s">
        <v>36</v>
      </c>
      <c r="C2155" s="149">
        <v>771.0</v>
      </c>
    </row>
    <row r="2156">
      <c r="A2156" s="2" t="s">
        <v>26</v>
      </c>
      <c r="B2156" s="2" t="s">
        <v>31</v>
      </c>
      <c r="C2156" s="149">
        <v>116.0</v>
      </c>
    </row>
    <row r="2157">
      <c r="A2157" s="2" t="s">
        <v>26</v>
      </c>
      <c r="B2157" s="2" t="s">
        <v>43</v>
      </c>
      <c r="C2157" s="149">
        <v>592.0</v>
      </c>
    </row>
    <row r="2158">
      <c r="A2158" s="2" t="s">
        <v>26</v>
      </c>
      <c r="B2158" s="2" t="s">
        <v>40</v>
      </c>
      <c r="C2158" s="149">
        <v>385.0</v>
      </c>
    </row>
    <row r="2159">
      <c r="A2159" s="2" t="s">
        <v>26</v>
      </c>
      <c r="B2159" s="2" t="s">
        <v>50</v>
      </c>
      <c r="C2159" s="149">
        <v>794.0</v>
      </c>
    </row>
    <row r="2160">
      <c r="A2160" s="2" t="s">
        <v>26</v>
      </c>
      <c r="B2160" s="2" t="s">
        <v>51</v>
      </c>
      <c r="C2160" s="149">
        <v>146.0</v>
      </c>
    </row>
    <row r="2161">
      <c r="A2161" s="2" t="s">
        <v>26</v>
      </c>
      <c r="B2161" s="2" t="s">
        <v>23</v>
      </c>
      <c r="C2161" s="149">
        <v>574.0</v>
      </c>
    </row>
    <row r="2162">
      <c r="A2162" s="2" t="s">
        <v>26</v>
      </c>
      <c r="B2162" s="2" t="s">
        <v>47</v>
      </c>
      <c r="C2162" s="149">
        <v>411.0</v>
      </c>
    </row>
    <row r="2163">
      <c r="A2163" s="2" t="s">
        <v>26</v>
      </c>
      <c r="B2163" s="2" t="s">
        <v>62</v>
      </c>
      <c r="C2163" s="149">
        <v>450.0</v>
      </c>
    </row>
    <row r="2164">
      <c r="A2164" s="2" t="s">
        <v>26</v>
      </c>
      <c r="B2164" s="2" t="s">
        <v>30</v>
      </c>
      <c r="C2164" s="149">
        <v>230.0</v>
      </c>
    </row>
    <row r="2165">
      <c r="A2165" s="2" t="s">
        <v>26</v>
      </c>
      <c r="B2165" s="2" t="s">
        <v>32</v>
      </c>
      <c r="C2165" s="149">
        <v>181.0</v>
      </c>
    </row>
    <row r="2166">
      <c r="A2166" s="2" t="s">
        <v>26</v>
      </c>
      <c r="B2166" s="2" t="s">
        <v>46</v>
      </c>
      <c r="C2166" s="149">
        <v>540.0</v>
      </c>
    </row>
    <row r="2167">
      <c r="A2167" s="2" t="s">
        <v>26</v>
      </c>
      <c r="B2167" s="2" t="s">
        <v>54</v>
      </c>
      <c r="C2167" s="149">
        <v>639.0</v>
      </c>
    </row>
    <row r="2168">
      <c r="A2168" s="2" t="s">
        <v>26</v>
      </c>
      <c r="B2168" s="2" t="s">
        <v>34</v>
      </c>
      <c r="C2168" s="149">
        <v>510.0</v>
      </c>
    </row>
    <row r="2169">
      <c r="A2169" s="2" t="s">
        <v>26</v>
      </c>
      <c r="B2169" s="2" t="s">
        <v>20</v>
      </c>
      <c r="C2169" s="149">
        <v>534.0</v>
      </c>
    </row>
    <row r="2170">
      <c r="A2170" s="2" t="s">
        <v>26</v>
      </c>
      <c r="B2170" s="2" t="s">
        <v>24</v>
      </c>
      <c r="C2170" s="149">
        <v>84.2</v>
      </c>
    </row>
    <row r="2171">
      <c r="A2171" s="2" t="s">
        <v>26</v>
      </c>
      <c r="B2171" s="2" t="s">
        <v>63</v>
      </c>
      <c r="C2171" s="149">
        <v>317.0</v>
      </c>
    </row>
    <row r="2172">
      <c r="A2172" s="2" t="s">
        <v>26</v>
      </c>
      <c r="B2172" s="2" t="s">
        <v>58</v>
      </c>
      <c r="C2172" s="149">
        <v>39.0</v>
      </c>
    </row>
    <row r="2173">
      <c r="A2173" s="2" t="s">
        <v>26</v>
      </c>
      <c r="B2173" s="2" t="s">
        <v>42</v>
      </c>
      <c r="C2173" s="149">
        <v>665.0</v>
      </c>
    </row>
    <row r="2174">
      <c r="A2174" s="2" t="s">
        <v>26</v>
      </c>
      <c r="B2174" s="2" t="s">
        <v>21</v>
      </c>
      <c r="C2174" s="149">
        <v>572.0</v>
      </c>
    </row>
    <row r="2175">
      <c r="A2175" s="2" t="s">
        <v>26</v>
      </c>
      <c r="B2175" s="2" t="s">
        <v>33</v>
      </c>
      <c r="C2175" s="149">
        <v>448.0</v>
      </c>
    </row>
    <row r="2176">
      <c r="A2176" s="2" t="s">
        <v>26</v>
      </c>
      <c r="B2176" s="2" t="s">
        <v>66</v>
      </c>
      <c r="C2176" s="149">
        <v>686.0</v>
      </c>
    </row>
    <row r="2177">
      <c r="A2177" s="2" t="s">
        <v>26</v>
      </c>
      <c r="B2177" s="2" t="s">
        <v>29</v>
      </c>
      <c r="C2177" s="149">
        <v>495.0</v>
      </c>
    </row>
    <row r="2178">
      <c r="A2178" s="2" t="s">
        <v>26</v>
      </c>
      <c r="B2178" s="2" t="s">
        <v>60</v>
      </c>
      <c r="C2178" s="149">
        <v>510.0</v>
      </c>
    </row>
    <row r="2179">
      <c r="A2179" s="2" t="s">
        <v>26</v>
      </c>
      <c r="B2179" s="2" t="s">
        <v>38</v>
      </c>
      <c r="C2179" s="149">
        <v>352.0</v>
      </c>
    </row>
    <row r="2180">
      <c r="A2180" s="2" t="s">
        <v>26</v>
      </c>
      <c r="B2180" s="2" t="s">
        <v>61</v>
      </c>
      <c r="C2180" s="149">
        <v>439.0</v>
      </c>
    </row>
    <row r="2181">
      <c r="A2181" s="2" t="s">
        <v>26</v>
      </c>
      <c r="B2181" s="2" t="s">
        <v>52</v>
      </c>
      <c r="C2181" s="149">
        <v>166.0</v>
      </c>
    </row>
    <row r="2182">
      <c r="A2182" s="2" t="s">
        <v>26</v>
      </c>
      <c r="B2182" s="2" t="s">
        <v>25</v>
      </c>
      <c r="C2182" s="149">
        <v>44.4</v>
      </c>
    </row>
    <row r="2183">
      <c r="A2183" s="2" t="s">
        <v>26</v>
      </c>
      <c r="B2183" s="2" t="s">
        <v>67</v>
      </c>
      <c r="C2183" s="149">
        <v>208.0</v>
      </c>
    </row>
    <row r="2184">
      <c r="A2184" s="2" t="s">
        <v>26</v>
      </c>
      <c r="B2184" s="2" t="s">
        <v>45</v>
      </c>
      <c r="C2184" s="149">
        <v>540.0</v>
      </c>
    </row>
    <row r="2185">
      <c r="A2185" s="2" t="s">
        <v>26</v>
      </c>
      <c r="B2185" s="2" t="s">
        <v>53</v>
      </c>
      <c r="C2185" s="149">
        <v>191.0</v>
      </c>
    </row>
    <row r="2186">
      <c r="A2186" s="2" t="s">
        <v>26</v>
      </c>
      <c r="B2186" s="2" t="s">
        <v>26</v>
      </c>
      <c r="C2186" s="149">
        <v>0.0</v>
      </c>
    </row>
    <row r="2187">
      <c r="A2187" s="2" t="s">
        <v>26</v>
      </c>
      <c r="B2187" s="2" t="s">
        <v>28</v>
      </c>
      <c r="C2187" s="149">
        <v>232.0</v>
      </c>
    </row>
    <row r="2188">
      <c r="A2188" s="2" t="s">
        <v>26</v>
      </c>
      <c r="B2188" s="2" t="s">
        <v>55</v>
      </c>
      <c r="C2188" s="149">
        <v>792.0</v>
      </c>
    </row>
    <row r="2189">
      <c r="A2189" s="2" t="s">
        <v>26</v>
      </c>
      <c r="B2189" s="2" t="s">
        <v>48</v>
      </c>
      <c r="C2189" s="149">
        <v>386.0</v>
      </c>
    </row>
    <row r="2190">
      <c r="A2190" s="2" t="s">
        <v>26</v>
      </c>
      <c r="B2190" s="2" t="s">
        <v>2035</v>
      </c>
      <c r="C2190" s="149">
        <v>849.0</v>
      </c>
    </row>
    <row r="2191">
      <c r="A2191" s="2" t="s">
        <v>26</v>
      </c>
      <c r="B2191" s="2" t="s">
        <v>59</v>
      </c>
      <c r="C2191" s="149">
        <v>46.5</v>
      </c>
    </row>
    <row r="2192">
      <c r="A2192" s="2" t="s">
        <v>26</v>
      </c>
      <c r="B2192" s="2" t="s">
        <v>44</v>
      </c>
      <c r="C2192" s="149">
        <v>511.0</v>
      </c>
    </row>
    <row r="2193">
      <c r="A2193" s="2" t="s">
        <v>26</v>
      </c>
      <c r="B2193" s="2" t="s">
        <v>2036</v>
      </c>
      <c r="C2193" s="149">
        <v>876.0</v>
      </c>
    </row>
    <row r="2194">
      <c r="A2194" s="2" t="s">
        <v>26</v>
      </c>
      <c r="B2194" s="2" t="s">
        <v>2037</v>
      </c>
      <c r="C2194" s="149">
        <v>737.0</v>
      </c>
    </row>
    <row r="2195">
      <c r="A2195" s="2" t="s">
        <v>28</v>
      </c>
      <c r="B2195" s="2" t="s">
        <v>18</v>
      </c>
      <c r="C2195" s="149">
        <v>325.0</v>
      </c>
    </row>
    <row r="2196">
      <c r="A2196" s="2" t="s">
        <v>28</v>
      </c>
      <c r="B2196" s="2" t="s">
        <v>49</v>
      </c>
      <c r="C2196" s="149">
        <v>478.0</v>
      </c>
    </row>
    <row r="2197">
      <c r="A2197" s="2" t="s">
        <v>28</v>
      </c>
      <c r="B2197" s="2" t="s">
        <v>22</v>
      </c>
      <c r="C2197" s="149">
        <v>320.0</v>
      </c>
    </row>
    <row r="2198">
      <c r="A2198" s="2" t="s">
        <v>28</v>
      </c>
      <c r="B2198" s="2" t="s">
        <v>27</v>
      </c>
      <c r="C2198" s="149">
        <v>30.3</v>
      </c>
    </row>
    <row r="2199">
      <c r="A2199" s="2" t="s">
        <v>28</v>
      </c>
      <c r="B2199" s="2" t="s">
        <v>35</v>
      </c>
      <c r="C2199" s="149">
        <v>623.0</v>
      </c>
    </row>
    <row r="2200">
      <c r="A2200" s="2" t="s">
        <v>28</v>
      </c>
      <c r="B2200" s="2" t="s">
        <v>41</v>
      </c>
      <c r="C2200" s="149">
        <v>573.0</v>
      </c>
    </row>
    <row r="2201">
      <c r="A2201" s="2" t="s">
        <v>28</v>
      </c>
      <c r="B2201" s="2" t="s">
        <v>57</v>
      </c>
      <c r="C2201" s="149">
        <v>262.0</v>
      </c>
    </row>
    <row r="2202">
      <c r="A2202" s="2" t="s">
        <v>28</v>
      </c>
      <c r="B2202" s="2" t="s">
        <v>37</v>
      </c>
      <c r="C2202" s="149">
        <v>56.3</v>
      </c>
    </row>
    <row r="2203">
      <c r="A2203" s="2" t="s">
        <v>28</v>
      </c>
      <c r="B2203" s="2" t="s">
        <v>39</v>
      </c>
      <c r="C2203" s="149">
        <v>82.6</v>
      </c>
    </row>
    <row r="2204">
      <c r="A2204" s="2" t="s">
        <v>28</v>
      </c>
      <c r="B2204" s="2" t="s">
        <v>64</v>
      </c>
      <c r="C2204" s="149">
        <v>481.0</v>
      </c>
    </row>
    <row r="2205">
      <c r="A2205" s="2" t="s">
        <v>28</v>
      </c>
      <c r="B2205" s="2" t="s">
        <v>65</v>
      </c>
      <c r="C2205" s="149">
        <v>393.0</v>
      </c>
    </row>
    <row r="2206">
      <c r="A2206" s="2" t="s">
        <v>28</v>
      </c>
      <c r="B2206" s="2" t="s">
        <v>36</v>
      </c>
      <c r="C2206" s="149">
        <v>620.0</v>
      </c>
    </row>
    <row r="2207">
      <c r="A2207" s="2" t="s">
        <v>28</v>
      </c>
      <c r="B2207" s="2" t="s">
        <v>31</v>
      </c>
      <c r="C2207" s="149">
        <v>215.0</v>
      </c>
    </row>
    <row r="2208">
      <c r="A2208" s="2" t="s">
        <v>28</v>
      </c>
      <c r="B2208" s="2" t="s">
        <v>43</v>
      </c>
      <c r="C2208" s="149">
        <v>441.0</v>
      </c>
    </row>
    <row r="2209">
      <c r="A2209" s="2" t="s">
        <v>28</v>
      </c>
      <c r="B2209" s="2" t="s">
        <v>40</v>
      </c>
      <c r="C2209" s="149">
        <v>161.0</v>
      </c>
    </row>
    <row r="2210">
      <c r="A2210" s="2" t="s">
        <v>28</v>
      </c>
      <c r="B2210" s="2" t="s">
        <v>50</v>
      </c>
      <c r="C2210" s="149">
        <v>566.0</v>
      </c>
    </row>
    <row r="2211">
      <c r="A2211" s="2" t="s">
        <v>28</v>
      </c>
      <c r="B2211" s="2" t="s">
        <v>51</v>
      </c>
      <c r="C2211" s="149">
        <v>90.8</v>
      </c>
    </row>
    <row r="2212">
      <c r="A2212" s="2" t="s">
        <v>28</v>
      </c>
      <c r="B2212" s="2" t="s">
        <v>23</v>
      </c>
      <c r="C2212" s="149">
        <v>346.0</v>
      </c>
    </row>
    <row r="2213">
      <c r="A2213" s="2" t="s">
        <v>28</v>
      </c>
      <c r="B2213" s="2" t="s">
        <v>47</v>
      </c>
      <c r="C2213" s="149">
        <v>270.0</v>
      </c>
    </row>
    <row r="2214">
      <c r="A2214" s="2" t="s">
        <v>28</v>
      </c>
      <c r="B2214" s="2" t="s">
        <v>62</v>
      </c>
      <c r="C2214" s="149">
        <v>299.0</v>
      </c>
    </row>
    <row r="2215">
      <c r="A2215" s="2" t="s">
        <v>28</v>
      </c>
      <c r="B2215" s="2" t="s">
        <v>30</v>
      </c>
      <c r="C2215" s="149">
        <v>196.0</v>
      </c>
    </row>
    <row r="2216">
      <c r="A2216" s="2" t="s">
        <v>28</v>
      </c>
      <c r="B2216" s="2" t="s">
        <v>32</v>
      </c>
      <c r="C2216" s="149">
        <v>157.0</v>
      </c>
    </row>
    <row r="2217">
      <c r="A2217" s="2" t="s">
        <v>28</v>
      </c>
      <c r="B2217" s="2" t="s">
        <v>46</v>
      </c>
      <c r="C2217" s="149">
        <v>389.0</v>
      </c>
    </row>
    <row r="2218">
      <c r="A2218" s="2" t="s">
        <v>28</v>
      </c>
      <c r="B2218" s="2" t="s">
        <v>54</v>
      </c>
      <c r="C2218" s="149">
        <v>411.0</v>
      </c>
    </row>
    <row r="2219">
      <c r="A2219" s="2" t="s">
        <v>28</v>
      </c>
      <c r="B2219" s="2" t="s">
        <v>34</v>
      </c>
      <c r="C2219" s="149">
        <v>359.0</v>
      </c>
    </row>
    <row r="2220">
      <c r="A2220" s="2" t="s">
        <v>28</v>
      </c>
      <c r="B2220" s="2" t="s">
        <v>20</v>
      </c>
      <c r="C2220" s="149">
        <v>305.0</v>
      </c>
    </row>
    <row r="2221">
      <c r="A2221" s="2" t="s">
        <v>28</v>
      </c>
      <c r="B2221" s="2" t="s">
        <v>24</v>
      </c>
      <c r="C2221" s="149">
        <v>150.0</v>
      </c>
    </row>
    <row r="2222">
      <c r="A2222" s="2" t="s">
        <v>28</v>
      </c>
      <c r="B2222" s="2" t="s">
        <v>63</v>
      </c>
      <c r="C2222" s="149">
        <v>176.0</v>
      </c>
    </row>
    <row r="2223">
      <c r="A2223" s="2" t="s">
        <v>28</v>
      </c>
      <c r="B2223" s="2" t="s">
        <v>58</v>
      </c>
      <c r="C2223" s="149">
        <v>278.0</v>
      </c>
    </row>
    <row r="2224">
      <c r="A2224" s="2" t="s">
        <v>28</v>
      </c>
      <c r="B2224" s="2" t="s">
        <v>42</v>
      </c>
      <c r="C2224" s="149">
        <v>514.0</v>
      </c>
    </row>
    <row r="2225">
      <c r="A2225" s="2" t="s">
        <v>28</v>
      </c>
      <c r="B2225" s="2" t="s">
        <v>21</v>
      </c>
      <c r="C2225" s="149">
        <v>343.0</v>
      </c>
    </row>
    <row r="2226">
      <c r="A2226" s="2" t="s">
        <v>28</v>
      </c>
      <c r="B2226" s="2" t="s">
        <v>33</v>
      </c>
      <c r="C2226" s="149">
        <v>220.0</v>
      </c>
    </row>
    <row r="2227">
      <c r="A2227" s="2" t="s">
        <v>28</v>
      </c>
      <c r="B2227" s="2" t="s">
        <v>66</v>
      </c>
      <c r="C2227" s="149">
        <v>535.0</v>
      </c>
    </row>
    <row r="2228">
      <c r="A2228" s="2" t="s">
        <v>28</v>
      </c>
      <c r="B2228" s="2" t="s">
        <v>29</v>
      </c>
      <c r="C2228" s="149">
        <v>267.0</v>
      </c>
    </row>
    <row r="2229">
      <c r="A2229" s="2" t="s">
        <v>28</v>
      </c>
      <c r="B2229" s="2" t="s">
        <v>60</v>
      </c>
      <c r="C2229" s="149">
        <v>287.0</v>
      </c>
    </row>
    <row r="2230">
      <c r="A2230" s="2" t="s">
        <v>28</v>
      </c>
      <c r="B2230" s="2" t="s">
        <v>38</v>
      </c>
      <c r="C2230" s="149">
        <v>124.0</v>
      </c>
    </row>
    <row r="2231">
      <c r="A2231" s="2" t="s">
        <v>28</v>
      </c>
      <c r="B2231" s="2" t="s">
        <v>61</v>
      </c>
      <c r="C2231" s="149">
        <v>288.0</v>
      </c>
    </row>
    <row r="2232">
      <c r="A2232" s="2" t="s">
        <v>28</v>
      </c>
      <c r="B2232" s="2" t="s">
        <v>52</v>
      </c>
      <c r="C2232" s="149">
        <v>120.0</v>
      </c>
    </row>
    <row r="2233">
      <c r="A2233" s="2" t="s">
        <v>28</v>
      </c>
      <c r="B2233" s="2" t="s">
        <v>25</v>
      </c>
      <c r="C2233" s="149">
        <v>196.0</v>
      </c>
    </row>
    <row r="2234">
      <c r="A2234" s="2" t="s">
        <v>28</v>
      </c>
      <c r="B2234" s="2" t="s">
        <v>67</v>
      </c>
      <c r="C2234" s="149">
        <v>158.0</v>
      </c>
    </row>
    <row r="2235">
      <c r="A2235" s="2" t="s">
        <v>28</v>
      </c>
      <c r="B2235" s="2" t="s">
        <v>45</v>
      </c>
      <c r="C2235" s="149">
        <v>389.0</v>
      </c>
    </row>
    <row r="2236">
      <c r="A2236" s="2" t="s">
        <v>28</v>
      </c>
      <c r="B2236" s="2" t="s">
        <v>53</v>
      </c>
      <c r="C2236" s="149">
        <v>349.0</v>
      </c>
    </row>
    <row r="2237">
      <c r="A2237" s="2" t="s">
        <v>28</v>
      </c>
      <c r="B2237" s="2" t="s">
        <v>26</v>
      </c>
      <c r="C2237" s="149">
        <v>232.0</v>
      </c>
    </row>
    <row r="2238">
      <c r="A2238" s="2" t="s">
        <v>28</v>
      </c>
      <c r="B2238" s="2" t="s">
        <v>28</v>
      </c>
      <c r="C2238" s="149">
        <v>0.0</v>
      </c>
    </row>
    <row r="2239">
      <c r="A2239" s="2" t="s">
        <v>28</v>
      </c>
      <c r="B2239" s="2" t="s">
        <v>55</v>
      </c>
      <c r="C2239" s="149">
        <v>566.0</v>
      </c>
    </row>
    <row r="2240">
      <c r="A2240" s="2" t="s">
        <v>28</v>
      </c>
      <c r="B2240" s="2" t="s">
        <v>48</v>
      </c>
      <c r="C2240" s="149">
        <v>247.0</v>
      </c>
    </row>
    <row r="2241">
      <c r="A2241" s="2" t="s">
        <v>28</v>
      </c>
      <c r="B2241" s="2" t="s">
        <v>2035</v>
      </c>
      <c r="C2241" s="149">
        <v>623.0</v>
      </c>
    </row>
    <row r="2242">
      <c r="A2242" s="2" t="s">
        <v>28</v>
      </c>
      <c r="B2242" s="2" t="s">
        <v>59</v>
      </c>
      <c r="C2242" s="149">
        <v>228.0</v>
      </c>
    </row>
    <row r="2243">
      <c r="A2243" s="2" t="s">
        <v>28</v>
      </c>
      <c r="B2243" s="2" t="s">
        <v>44</v>
      </c>
      <c r="C2243" s="149">
        <v>360.0</v>
      </c>
    </row>
    <row r="2244">
      <c r="A2244" s="2" t="s">
        <v>28</v>
      </c>
      <c r="B2244" s="2" t="s">
        <v>2036</v>
      </c>
      <c r="C2244" s="149">
        <v>591.0</v>
      </c>
    </row>
    <row r="2245">
      <c r="A2245" s="2" t="s">
        <v>28</v>
      </c>
      <c r="B2245" s="2" t="s">
        <v>2037</v>
      </c>
      <c r="C2245" s="149">
        <v>511.0</v>
      </c>
    </row>
    <row r="2246">
      <c r="A2246" s="2" t="s">
        <v>55</v>
      </c>
      <c r="B2246" s="2" t="s">
        <v>18</v>
      </c>
      <c r="C2246" s="149">
        <v>529.0</v>
      </c>
    </row>
    <row r="2247">
      <c r="A2247" s="2" t="s">
        <v>55</v>
      </c>
      <c r="B2247" s="2" t="s">
        <v>49</v>
      </c>
      <c r="C2247" s="149">
        <v>306.0</v>
      </c>
    </row>
    <row r="2248">
      <c r="A2248" s="2" t="s">
        <v>55</v>
      </c>
      <c r="B2248" s="2" t="s">
        <v>22</v>
      </c>
      <c r="C2248" s="149">
        <v>224.0</v>
      </c>
    </row>
    <row r="2249">
      <c r="A2249" s="2" t="s">
        <v>55</v>
      </c>
      <c r="B2249" s="2" t="s">
        <v>27</v>
      </c>
      <c r="C2249" s="149">
        <v>600.0</v>
      </c>
    </row>
    <row r="2250">
      <c r="A2250" s="2" t="s">
        <v>55</v>
      </c>
      <c r="B2250" s="2" t="s">
        <v>35</v>
      </c>
      <c r="C2250" s="149">
        <v>834.0</v>
      </c>
    </row>
    <row r="2251">
      <c r="A2251" s="2" t="s">
        <v>55</v>
      </c>
      <c r="B2251" s="2" t="s">
        <v>41</v>
      </c>
      <c r="C2251" s="149">
        <v>784.0</v>
      </c>
    </row>
    <row r="2252">
      <c r="A2252" s="2" t="s">
        <v>55</v>
      </c>
      <c r="B2252" s="2" t="s">
        <v>57</v>
      </c>
      <c r="C2252" s="149">
        <v>822.0</v>
      </c>
    </row>
    <row r="2253">
      <c r="A2253" s="2" t="s">
        <v>55</v>
      </c>
      <c r="B2253" s="2" t="s">
        <v>37</v>
      </c>
      <c r="C2253" s="149">
        <v>526.0</v>
      </c>
    </row>
    <row r="2254">
      <c r="A2254" s="2" t="s">
        <v>55</v>
      </c>
      <c r="B2254" s="2" t="s">
        <v>39</v>
      </c>
      <c r="C2254" s="149">
        <v>484.0</v>
      </c>
    </row>
    <row r="2255">
      <c r="A2255" s="2" t="s">
        <v>55</v>
      </c>
      <c r="B2255" s="2" t="s">
        <v>64</v>
      </c>
      <c r="C2255" s="149">
        <v>692.0</v>
      </c>
    </row>
    <row r="2256">
      <c r="A2256" s="2" t="s">
        <v>55</v>
      </c>
      <c r="B2256" s="2" t="s">
        <v>65</v>
      </c>
      <c r="C2256" s="149">
        <v>604.0</v>
      </c>
    </row>
    <row r="2257">
      <c r="A2257" s="2" t="s">
        <v>55</v>
      </c>
      <c r="B2257" s="2" t="s">
        <v>36</v>
      </c>
      <c r="C2257" s="149">
        <v>831.0</v>
      </c>
    </row>
    <row r="2258">
      <c r="A2258" s="2" t="s">
        <v>55</v>
      </c>
      <c r="B2258" s="2" t="s">
        <v>31</v>
      </c>
      <c r="C2258" s="149">
        <v>841.0</v>
      </c>
    </row>
    <row r="2259">
      <c r="A2259" s="2" t="s">
        <v>55</v>
      </c>
      <c r="B2259" s="2" t="s">
        <v>43</v>
      </c>
      <c r="C2259" s="149">
        <v>652.0</v>
      </c>
    </row>
    <row r="2260">
      <c r="A2260" s="2" t="s">
        <v>55</v>
      </c>
      <c r="B2260" s="2" t="s">
        <v>40</v>
      </c>
      <c r="C2260" s="149">
        <v>468.0</v>
      </c>
    </row>
    <row r="2261">
      <c r="A2261" s="2" t="s">
        <v>55</v>
      </c>
      <c r="B2261" s="2" t="s">
        <v>50</v>
      </c>
      <c r="C2261" s="149">
        <v>40.5</v>
      </c>
    </row>
    <row r="2262">
      <c r="A2262" s="2" t="s">
        <v>55</v>
      </c>
      <c r="B2262" s="2" t="s">
        <v>51</v>
      </c>
      <c r="C2262" s="149">
        <v>651.0</v>
      </c>
    </row>
    <row r="2263">
      <c r="A2263" s="2" t="s">
        <v>55</v>
      </c>
      <c r="B2263" s="2" t="s">
        <v>23</v>
      </c>
      <c r="C2263" s="149">
        <v>205.0</v>
      </c>
    </row>
    <row r="2264">
      <c r="A2264" s="2" t="s">
        <v>55</v>
      </c>
      <c r="B2264" s="2" t="s">
        <v>47</v>
      </c>
      <c r="C2264" s="149">
        <v>570.0</v>
      </c>
    </row>
    <row r="2265">
      <c r="A2265" s="2" t="s">
        <v>55</v>
      </c>
      <c r="B2265" s="2" t="s">
        <v>62</v>
      </c>
      <c r="C2265" s="149">
        <v>510.0</v>
      </c>
    </row>
    <row r="2266">
      <c r="A2266" s="2" t="s">
        <v>55</v>
      </c>
      <c r="B2266" s="2" t="s">
        <v>30</v>
      </c>
      <c r="C2266" s="149">
        <v>727.0</v>
      </c>
    </row>
    <row r="2267">
      <c r="A2267" s="2" t="s">
        <v>55</v>
      </c>
      <c r="B2267" s="2" t="s">
        <v>32</v>
      </c>
      <c r="C2267" s="149">
        <v>756.0</v>
      </c>
    </row>
    <row r="2268">
      <c r="A2268" s="2" t="s">
        <v>55</v>
      </c>
      <c r="B2268" s="2" t="s">
        <v>46</v>
      </c>
      <c r="C2268" s="149">
        <v>600.0</v>
      </c>
    </row>
    <row r="2269">
      <c r="A2269" s="2" t="s">
        <v>55</v>
      </c>
      <c r="B2269" s="2" t="s">
        <v>54</v>
      </c>
      <c r="C2269" s="149">
        <v>132.0</v>
      </c>
    </row>
    <row r="2270">
      <c r="A2270" s="2" t="s">
        <v>55</v>
      </c>
      <c r="B2270" s="2" t="s">
        <v>34</v>
      </c>
      <c r="C2270" s="149">
        <v>421.0</v>
      </c>
    </row>
    <row r="2271">
      <c r="A2271" s="2" t="s">
        <v>55</v>
      </c>
      <c r="B2271" s="2" t="s">
        <v>20</v>
      </c>
      <c r="C2271" s="149">
        <v>252.0</v>
      </c>
    </row>
    <row r="2272">
      <c r="A2272" s="2" t="s">
        <v>55</v>
      </c>
      <c r="B2272" s="2" t="s">
        <v>24</v>
      </c>
      <c r="C2272" s="149">
        <v>710.0</v>
      </c>
    </row>
    <row r="2273">
      <c r="A2273" s="2" t="s">
        <v>55</v>
      </c>
      <c r="B2273" s="2" t="s">
        <v>63</v>
      </c>
      <c r="C2273" s="149">
        <v>594.0</v>
      </c>
    </row>
    <row r="2274">
      <c r="A2274" s="2" t="s">
        <v>55</v>
      </c>
      <c r="B2274" s="2" t="s">
        <v>58</v>
      </c>
      <c r="C2274" s="149">
        <v>838.0</v>
      </c>
    </row>
    <row r="2275">
      <c r="A2275" s="2" t="s">
        <v>55</v>
      </c>
      <c r="B2275" s="2" t="s">
        <v>42</v>
      </c>
      <c r="C2275" s="149">
        <v>725.0</v>
      </c>
    </row>
    <row r="2276">
      <c r="A2276" s="2" t="s">
        <v>55</v>
      </c>
      <c r="B2276" s="2" t="s">
        <v>21</v>
      </c>
      <c r="C2276" s="149">
        <v>214.0</v>
      </c>
    </row>
    <row r="2277">
      <c r="A2277" s="2" t="s">
        <v>55</v>
      </c>
      <c r="B2277" s="2" t="s">
        <v>33</v>
      </c>
      <c r="C2277" s="149">
        <v>347.0</v>
      </c>
    </row>
    <row r="2278">
      <c r="A2278" s="2" t="s">
        <v>55</v>
      </c>
      <c r="B2278" s="2" t="s">
        <v>66</v>
      </c>
      <c r="C2278" s="149">
        <v>763.0</v>
      </c>
    </row>
    <row r="2279">
      <c r="A2279" s="2" t="s">
        <v>55</v>
      </c>
      <c r="B2279" s="2" t="s">
        <v>29</v>
      </c>
      <c r="C2279" s="149">
        <v>519.0</v>
      </c>
    </row>
    <row r="2280">
      <c r="A2280" s="2" t="s">
        <v>55</v>
      </c>
      <c r="B2280" s="2" t="s">
        <v>60</v>
      </c>
      <c r="C2280" s="149">
        <v>357.0</v>
      </c>
    </row>
    <row r="2281">
      <c r="A2281" s="2" t="s">
        <v>55</v>
      </c>
      <c r="B2281" s="2" t="s">
        <v>38</v>
      </c>
      <c r="C2281" s="149">
        <v>604.0</v>
      </c>
    </row>
    <row r="2282">
      <c r="A2282" s="2" t="s">
        <v>55</v>
      </c>
      <c r="B2282" s="2" t="s">
        <v>61</v>
      </c>
      <c r="C2282" s="149">
        <v>492.0</v>
      </c>
    </row>
    <row r="2283">
      <c r="A2283" s="2" t="s">
        <v>55</v>
      </c>
      <c r="B2283" s="2" t="s">
        <v>52</v>
      </c>
      <c r="C2283" s="149">
        <v>680.0</v>
      </c>
    </row>
    <row r="2284">
      <c r="A2284" s="2" t="s">
        <v>55</v>
      </c>
      <c r="B2284" s="2" t="s">
        <v>25</v>
      </c>
      <c r="C2284" s="149">
        <v>756.0</v>
      </c>
    </row>
    <row r="2285">
      <c r="A2285" s="2" t="s">
        <v>55</v>
      </c>
      <c r="B2285" s="2" t="s">
        <v>67</v>
      </c>
      <c r="C2285" s="149">
        <v>723.0</v>
      </c>
    </row>
    <row r="2286">
      <c r="A2286" s="2" t="s">
        <v>55</v>
      </c>
      <c r="B2286" s="2" t="s">
        <v>45</v>
      </c>
      <c r="C2286" s="149">
        <v>600.0</v>
      </c>
    </row>
    <row r="2287">
      <c r="A2287" s="2" t="s">
        <v>55</v>
      </c>
      <c r="B2287" s="2" t="s">
        <v>53</v>
      </c>
      <c r="C2287" s="149">
        <v>961.0</v>
      </c>
    </row>
    <row r="2288">
      <c r="A2288" s="2" t="s">
        <v>55</v>
      </c>
      <c r="B2288" s="2" t="s">
        <v>26</v>
      </c>
      <c r="C2288" s="149">
        <v>792.0</v>
      </c>
    </row>
    <row r="2289">
      <c r="A2289" s="2" t="s">
        <v>55</v>
      </c>
      <c r="B2289" s="2" t="s">
        <v>28</v>
      </c>
      <c r="C2289" s="149">
        <v>566.0</v>
      </c>
    </row>
    <row r="2290">
      <c r="A2290" s="2" t="s">
        <v>55</v>
      </c>
      <c r="B2290" s="2" t="s">
        <v>55</v>
      </c>
      <c r="C2290" s="149">
        <v>0.0</v>
      </c>
    </row>
    <row r="2291">
      <c r="A2291" s="2" t="s">
        <v>55</v>
      </c>
      <c r="B2291" s="2" t="s">
        <v>48</v>
      </c>
      <c r="C2291" s="149">
        <v>603.0</v>
      </c>
    </row>
    <row r="2292">
      <c r="A2292" s="2" t="s">
        <v>55</v>
      </c>
      <c r="B2292" s="2" t="s">
        <v>2035</v>
      </c>
      <c r="C2292" s="149">
        <v>61.1</v>
      </c>
    </row>
    <row r="2293">
      <c r="A2293" s="2" t="s">
        <v>55</v>
      </c>
      <c r="B2293" s="2" t="s">
        <v>59</v>
      </c>
      <c r="C2293" s="149">
        <v>788.0</v>
      </c>
    </row>
    <row r="2294">
      <c r="A2294" s="2" t="s">
        <v>55</v>
      </c>
      <c r="B2294" s="2" t="s">
        <v>44</v>
      </c>
      <c r="C2294" s="149">
        <v>571.0</v>
      </c>
    </row>
    <row r="2295">
      <c r="A2295" s="2" t="s">
        <v>55</v>
      </c>
      <c r="B2295" s="2" t="s">
        <v>2036</v>
      </c>
      <c r="C2295" s="149">
        <v>47.7</v>
      </c>
    </row>
    <row r="2296">
      <c r="A2296" s="2" t="s">
        <v>55</v>
      </c>
      <c r="B2296" s="2" t="s">
        <v>2037</v>
      </c>
      <c r="C2296" s="149">
        <v>313.0</v>
      </c>
    </row>
    <row r="2297">
      <c r="A2297" s="2" t="s">
        <v>48</v>
      </c>
      <c r="B2297" s="2" t="s">
        <v>18</v>
      </c>
      <c r="C2297" s="149">
        <v>111.0</v>
      </c>
    </row>
    <row r="2298">
      <c r="A2298" s="2" t="s">
        <v>48</v>
      </c>
      <c r="B2298" s="2" t="s">
        <v>49</v>
      </c>
      <c r="C2298" s="149">
        <v>589.0</v>
      </c>
    </row>
    <row r="2299">
      <c r="A2299" s="2" t="s">
        <v>48</v>
      </c>
      <c r="B2299" s="2" t="s">
        <v>22</v>
      </c>
      <c r="C2299" s="149">
        <v>388.0</v>
      </c>
    </row>
    <row r="2300">
      <c r="A2300" s="2" t="s">
        <v>48</v>
      </c>
      <c r="B2300" s="2" t="s">
        <v>27</v>
      </c>
      <c r="C2300" s="149">
        <v>224.0</v>
      </c>
    </row>
    <row r="2301">
      <c r="A2301" s="2" t="s">
        <v>48</v>
      </c>
      <c r="B2301" s="2" t="s">
        <v>35</v>
      </c>
      <c r="C2301" s="149">
        <v>335.0</v>
      </c>
    </row>
    <row r="2302">
      <c r="A2302" s="2" t="s">
        <v>48</v>
      </c>
      <c r="B2302" s="2" t="s">
        <v>41</v>
      </c>
      <c r="C2302" s="149">
        <v>285.0</v>
      </c>
    </row>
    <row r="2303">
      <c r="A2303" s="2" t="s">
        <v>48</v>
      </c>
      <c r="B2303" s="2" t="s">
        <v>57</v>
      </c>
      <c r="C2303" s="149">
        <v>434.0</v>
      </c>
    </row>
    <row r="2304">
      <c r="A2304" s="2" t="s">
        <v>48</v>
      </c>
      <c r="B2304" s="2" t="s">
        <v>37</v>
      </c>
      <c r="C2304" s="149">
        <v>280.0</v>
      </c>
    </row>
    <row r="2305">
      <c r="A2305" s="2" t="s">
        <v>48</v>
      </c>
      <c r="B2305" s="2" t="s">
        <v>39</v>
      </c>
      <c r="C2305" s="149">
        <v>263.0</v>
      </c>
    </row>
    <row r="2306">
      <c r="A2306" s="2" t="s">
        <v>48</v>
      </c>
      <c r="B2306" s="2" t="s">
        <v>64</v>
      </c>
      <c r="C2306" s="149">
        <v>193.0</v>
      </c>
    </row>
    <row r="2307">
      <c r="A2307" s="2" t="s">
        <v>48</v>
      </c>
      <c r="B2307" s="2" t="s">
        <v>65</v>
      </c>
      <c r="C2307" s="149">
        <v>141.0</v>
      </c>
    </row>
    <row r="2308">
      <c r="A2308" s="2" t="s">
        <v>48</v>
      </c>
      <c r="B2308" s="2" t="s">
        <v>36</v>
      </c>
      <c r="C2308" s="149">
        <v>332.0</v>
      </c>
    </row>
    <row r="2309">
      <c r="A2309" s="2" t="s">
        <v>48</v>
      </c>
      <c r="B2309" s="2" t="s">
        <v>31</v>
      </c>
      <c r="C2309" s="149">
        <v>340.0</v>
      </c>
    </row>
    <row r="2310">
      <c r="A2310" s="2" t="s">
        <v>48</v>
      </c>
      <c r="B2310" s="2" t="s">
        <v>43</v>
      </c>
      <c r="C2310" s="149">
        <v>223.0</v>
      </c>
    </row>
    <row r="2311">
      <c r="A2311" s="2" t="s">
        <v>48</v>
      </c>
      <c r="B2311" s="2" t="s">
        <v>40</v>
      </c>
      <c r="C2311" s="149">
        <v>196.0</v>
      </c>
    </row>
    <row r="2312">
      <c r="A2312" s="2" t="s">
        <v>48</v>
      </c>
      <c r="B2312" s="2" t="s">
        <v>50</v>
      </c>
      <c r="C2312" s="149">
        <v>634.0</v>
      </c>
    </row>
    <row r="2313">
      <c r="A2313" s="2" t="s">
        <v>48</v>
      </c>
      <c r="B2313" s="2" t="s">
        <v>51</v>
      </c>
      <c r="C2313" s="149">
        <v>245.0</v>
      </c>
    </row>
    <row r="2314">
      <c r="A2314" s="2" t="s">
        <v>48</v>
      </c>
      <c r="B2314" s="2" t="s">
        <v>23</v>
      </c>
      <c r="C2314" s="149">
        <v>414.0</v>
      </c>
    </row>
    <row r="2315">
      <c r="A2315" s="2" t="s">
        <v>48</v>
      </c>
      <c r="B2315" s="2" t="s">
        <v>47</v>
      </c>
      <c r="C2315" s="149">
        <v>44.6</v>
      </c>
    </row>
    <row r="2316">
      <c r="A2316" s="2" t="s">
        <v>48</v>
      </c>
      <c r="B2316" s="2" t="s">
        <v>62</v>
      </c>
      <c r="C2316" s="149">
        <v>101.0</v>
      </c>
    </row>
    <row r="2317">
      <c r="A2317" s="2" t="s">
        <v>48</v>
      </c>
      <c r="B2317" s="2" t="s">
        <v>30</v>
      </c>
      <c r="C2317" s="149">
        <v>226.0</v>
      </c>
    </row>
    <row r="2318">
      <c r="A2318" s="2" t="s">
        <v>48</v>
      </c>
      <c r="B2318" s="2" t="s">
        <v>32</v>
      </c>
      <c r="C2318" s="149">
        <v>255.0</v>
      </c>
    </row>
    <row r="2319">
      <c r="A2319" s="2" t="s">
        <v>48</v>
      </c>
      <c r="B2319" s="2" t="s">
        <v>46</v>
      </c>
      <c r="C2319" s="149">
        <v>101.0</v>
      </c>
    </row>
    <row r="2320">
      <c r="A2320" s="2" t="s">
        <v>48</v>
      </c>
      <c r="B2320" s="2" t="s">
        <v>54</v>
      </c>
      <c r="C2320" s="149">
        <v>479.0</v>
      </c>
    </row>
    <row r="2321">
      <c r="A2321" s="2" t="s">
        <v>48</v>
      </c>
      <c r="B2321" s="2" t="s">
        <v>34</v>
      </c>
      <c r="C2321" s="149">
        <v>196.0</v>
      </c>
    </row>
    <row r="2322">
      <c r="A2322" s="2" t="s">
        <v>48</v>
      </c>
      <c r="B2322" s="2" t="s">
        <v>20</v>
      </c>
      <c r="C2322" s="149">
        <v>417.0</v>
      </c>
    </row>
    <row r="2323">
      <c r="A2323" s="2" t="s">
        <v>48</v>
      </c>
      <c r="B2323" s="2" t="s">
        <v>24</v>
      </c>
      <c r="C2323" s="149">
        <v>304.0</v>
      </c>
    </row>
    <row r="2324">
      <c r="A2324" s="2" t="s">
        <v>48</v>
      </c>
      <c r="B2324" s="2" t="s">
        <v>63</v>
      </c>
      <c r="C2324" s="149">
        <v>78.7</v>
      </c>
    </row>
    <row r="2325">
      <c r="A2325" s="2" t="s">
        <v>48</v>
      </c>
      <c r="B2325" s="2" t="s">
        <v>58</v>
      </c>
      <c r="C2325" s="149">
        <v>449.0</v>
      </c>
    </row>
    <row r="2326">
      <c r="A2326" s="2" t="s">
        <v>48</v>
      </c>
      <c r="B2326" s="2" t="s">
        <v>42</v>
      </c>
      <c r="C2326" s="149">
        <v>225.0</v>
      </c>
    </row>
    <row r="2327">
      <c r="A2327" s="2" t="s">
        <v>48</v>
      </c>
      <c r="B2327" s="2" t="s">
        <v>21</v>
      </c>
      <c r="C2327" s="149">
        <v>406.0</v>
      </c>
    </row>
    <row r="2328">
      <c r="A2328" s="2" t="s">
        <v>48</v>
      </c>
      <c r="B2328" s="2" t="s">
        <v>33</v>
      </c>
      <c r="C2328" s="149">
        <v>331.0</v>
      </c>
    </row>
    <row r="2329">
      <c r="A2329" s="2" t="s">
        <v>48</v>
      </c>
      <c r="B2329" s="2" t="s">
        <v>66</v>
      </c>
      <c r="C2329" s="149">
        <v>336.0</v>
      </c>
    </row>
    <row r="2330">
      <c r="A2330" s="2" t="s">
        <v>48</v>
      </c>
      <c r="B2330" s="2" t="s">
        <v>29</v>
      </c>
      <c r="C2330" s="149">
        <v>502.0</v>
      </c>
    </row>
    <row r="2331">
      <c r="A2331" s="2" t="s">
        <v>48</v>
      </c>
      <c r="B2331" s="2" t="s">
        <v>60</v>
      </c>
      <c r="C2331" s="149">
        <v>256.0</v>
      </c>
    </row>
    <row r="2332">
      <c r="A2332" s="2" t="s">
        <v>48</v>
      </c>
      <c r="B2332" s="2" t="s">
        <v>38</v>
      </c>
      <c r="C2332" s="149">
        <v>358.0</v>
      </c>
    </row>
    <row r="2333">
      <c r="A2333" s="2" t="s">
        <v>48</v>
      </c>
      <c r="B2333" s="2" t="s">
        <v>61</v>
      </c>
      <c r="C2333" s="149">
        <v>124.0</v>
      </c>
    </row>
    <row r="2334">
      <c r="A2334" s="2" t="s">
        <v>48</v>
      </c>
      <c r="B2334" s="2" t="s">
        <v>52</v>
      </c>
      <c r="C2334" s="149">
        <v>274.0</v>
      </c>
    </row>
    <row r="2335">
      <c r="A2335" s="2" t="s">
        <v>48</v>
      </c>
      <c r="B2335" s="2" t="s">
        <v>25</v>
      </c>
      <c r="C2335" s="149">
        <v>350.0</v>
      </c>
    </row>
    <row r="2336">
      <c r="A2336" s="2" t="s">
        <v>48</v>
      </c>
      <c r="B2336" s="2" t="s">
        <v>67</v>
      </c>
      <c r="C2336" s="149">
        <v>374.0</v>
      </c>
    </row>
    <row r="2337">
      <c r="A2337" s="2" t="s">
        <v>48</v>
      </c>
      <c r="B2337" s="2" t="s">
        <v>45</v>
      </c>
      <c r="C2337" s="149">
        <v>101.0</v>
      </c>
    </row>
    <row r="2338">
      <c r="A2338" s="2" t="s">
        <v>48</v>
      </c>
      <c r="B2338" s="2" t="s">
        <v>53</v>
      </c>
      <c r="C2338" s="149">
        <v>460.0</v>
      </c>
    </row>
    <row r="2339">
      <c r="A2339" s="2" t="s">
        <v>48</v>
      </c>
      <c r="B2339" s="2" t="s">
        <v>26</v>
      </c>
      <c r="C2339" s="149">
        <v>386.0</v>
      </c>
    </row>
    <row r="2340">
      <c r="A2340" s="2" t="s">
        <v>48</v>
      </c>
      <c r="B2340" s="2" t="s">
        <v>28</v>
      </c>
      <c r="C2340" s="149">
        <v>247.0</v>
      </c>
    </row>
    <row r="2341">
      <c r="A2341" s="2" t="s">
        <v>48</v>
      </c>
      <c r="B2341" s="2" t="s">
        <v>55</v>
      </c>
      <c r="C2341" s="149">
        <v>603.0</v>
      </c>
    </row>
    <row r="2342">
      <c r="A2342" s="2" t="s">
        <v>48</v>
      </c>
      <c r="B2342" s="2" t="s">
        <v>48</v>
      </c>
      <c r="C2342" s="149">
        <v>0.0</v>
      </c>
    </row>
    <row r="2343">
      <c r="A2343" s="2" t="s">
        <v>48</v>
      </c>
      <c r="B2343" s="2" t="s">
        <v>2035</v>
      </c>
      <c r="C2343" s="149">
        <v>664.0</v>
      </c>
    </row>
    <row r="2344">
      <c r="A2344" s="2" t="s">
        <v>48</v>
      </c>
      <c r="B2344" s="2" t="s">
        <v>59</v>
      </c>
      <c r="C2344" s="149">
        <v>399.0</v>
      </c>
    </row>
    <row r="2345">
      <c r="A2345" s="2" t="s">
        <v>48</v>
      </c>
      <c r="B2345" s="2" t="s">
        <v>44</v>
      </c>
      <c r="C2345" s="149">
        <v>144.0</v>
      </c>
    </row>
    <row r="2346">
      <c r="A2346" s="2" t="s">
        <v>48</v>
      </c>
      <c r="B2346" s="2" t="s">
        <v>2036</v>
      </c>
      <c r="C2346" s="149">
        <v>635.0</v>
      </c>
    </row>
    <row r="2347">
      <c r="A2347" s="2" t="s">
        <v>48</v>
      </c>
      <c r="B2347" s="2" t="s">
        <v>2037</v>
      </c>
      <c r="C2347" s="149">
        <v>578.0</v>
      </c>
    </row>
    <row r="2348">
      <c r="A2348" s="2" t="s">
        <v>2035</v>
      </c>
      <c r="B2348" s="2" t="s">
        <v>18</v>
      </c>
      <c r="C2348" s="149">
        <v>590.0</v>
      </c>
    </row>
    <row r="2349">
      <c r="A2349" s="2" t="s">
        <v>2035</v>
      </c>
      <c r="B2349" s="2" t="s">
        <v>49</v>
      </c>
      <c r="C2349" s="149">
        <v>371.0</v>
      </c>
    </row>
    <row r="2350">
      <c r="A2350" s="2" t="s">
        <v>2035</v>
      </c>
      <c r="B2350" s="2" t="s">
        <v>22</v>
      </c>
      <c r="C2350" s="149">
        <v>281.0</v>
      </c>
    </row>
    <row r="2351">
      <c r="A2351" s="2" t="s">
        <v>2035</v>
      </c>
      <c r="B2351" s="2" t="s">
        <v>27</v>
      </c>
      <c r="C2351" s="149">
        <v>657.0</v>
      </c>
    </row>
    <row r="2352">
      <c r="A2352" s="2" t="s">
        <v>2035</v>
      </c>
      <c r="B2352" s="2" t="s">
        <v>35</v>
      </c>
      <c r="C2352" s="149">
        <v>891.0</v>
      </c>
    </row>
    <row r="2353">
      <c r="A2353" s="2" t="s">
        <v>2035</v>
      </c>
      <c r="B2353" s="2" t="s">
        <v>41</v>
      </c>
      <c r="C2353" s="149">
        <v>841.0</v>
      </c>
    </row>
    <row r="2354">
      <c r="A2354" s="2" t="s">
        <v>2035</v>
      </c>
      <c r="B2354" s="2" t="s">
        <v>57</v>
      </c>
      <c r="C2354" s="149">
        <v>880.0</v>
      </c>
    </row>
    <row r="2355">
      <c r="A2355" s="2" t="s">
        <v>2035</v>
      </c>
      <c r="B2355" s="2" t="s">
        <v>37</v>
      </c>
      <c r="C2355" s="149">
        <v>584.0</v>
      </c>
    </row>
    <row r="2356">
      <c r="A2356" s="2" t="s">
        <v>2035</v>
      </c>
      <c r="B2356" s="2" t="s">
        <v>39</v>
      </c>
      <c r="C2356" s="149">
        <v>541.0</v>
      </c>
    </row>
    <row r="2357">
      <c r="A2357" s="2" t="s">
        <v>2035</v>
      </c>
      <c r="B2357" s="2" t="s">
        <v>64</v>
      </c>
      <c r="C2357" s="149">
        <v>749.0</v>
      </c>
    </row>
    <row r="2358">
      <c r="A2358" s="2" t="s">
        <v>2035</v>
      </c>
      <c r="B2358" s="2" t="s">
        <v>65</v>
      </c>
      <c r="C2358" s="149">
        <v>662.0</v>
      </c>
    </row>
    <row r="2359">
      <c r="A2359" s="2" t="s">
        <v>2035</v>
      </c>
      <c r="B2359" s="2" t="s">
        <v>36</v>
      </c>
      <c r="C2359" s="149">
        <v>888.0</v>
      </c>
    </row>
    <row r="2360">
      <c r="A2360" s="2" t="s">
        <v>2035</v>
      </c>
      <c r="B2360" s="2" t="s">
        <v>31</v>
      </c>
      <c r="C2360" s="149">
        <v>898.0</v>
      </c>
    </row>
    <row r="2361">
      <c r="A2361" s="2" t="s">
        <v>2035</v>
      </c>
      <c r="B2361" s="2" t="s">
        <v>43</v>
      </c>
      <c r="C2361" s="149">
        <v>710.0</v>
      </c>
    </row>
    <row r="2362">
      <c r="A2362" s="2" t="s">
        <v>2035</v>
      </c>
      <c r="B2362" s="2" t="s">
        <v>40</v>
      </c>
      <c r="C2362" s="149">
        <v>526.0</v>
      </c>
    </row>
    <row r="2363">
      <c r="A2363" s="2" t="s">
        <v>2035</v>
      </c>
      <c r="B2363" s="2" t="s">
        <v>50</v>
      </c>
      <c r="C2363" s="149">
        <v>56.5</v>
      </c>
    </row>
    <row r="2364">
      <c r="A2364" s="2" t="s">
        <v>2035</v>
      </c>
      <c r="B2364" s="2" t="s">
        <v>51</v>
      </c>
      <c r="C2364" s="149">
        <v>708.0</v>
      </c>
    </row>
    <row r="2365">
      <c r="A2365" s="2" t="s">
        <v>2035</v>
      </c>
      <c r="B2365" s="2" t="s">
        <v>23</v>
      </c>
      <c r="C2365" s="149">
        <v>263.0</v>
      </c>
    </row>
    <row r="2366">
      <c r="A2366" s="2" t="s">
        <v>2035</v>
      </c>
      <c r="B2366" s="2" t="s">
        <v>47</v>
      </c>
      <c r="C2366" s="149">
        <v>627.0</v>
      </c>
    </row>
    <row r="2367">
      <c r="A2367" s="2" t="s">
        <v>2035</v>
      </c>
      <c r="B2367" s="2" t="s">
        <v>62</v>
      </c>
      <c r="C2367" s="149">
        <v>568.0</v>
      </c>
    </row>
    <row r="2368">
      <c r="A2368" s="2" t="s">
        <v>2035</v>
      </c>
      <c r="B2368" s="2" t="s">
        <v>30</v>
      </c>
      <c r="C2368" s="149">
        <v>785.0</v>
      </c>
    </row>
    <row r="2369">
      <c r="A2369" s="2" t="s">
        <v>2035</v>
      </c>
      <c r="B2369" s="2" t="s">
        <v>32</v>
      </c>
      <c r="C2369" s="149">
        <v>813.0</v>
      </c>
    </row>
    <row r="2370">
      <c r="A2370" s="2" t="s">
        <v>2035</v>
      </c>
      <c r="B2370" s="2" t="s">
        <v>46</v>
      </c>
      <c r="C2370" s="149">
        <v>657.0</v>
      </c>
    </row>
    <row r="2371">
      <c r="A2371" s="2" t="s">
        <v>2035</v>
      </c>
      <c r="B2371" s="2" t="s">
        <v>54</v>
      </c>
      <c r="C2371" s="149">
        <v>190.0</v>
      </c>
    </row>
    <row r="2372">
      <c r="A2372" s="2" t="s">
        <v>2035</v>
      </c>
      <c r="B2372" s="2" t="s">
        <v>34</v>
      </c>
      <c r="C2372" s="149">
        <v>478.0</v>
      </c>
    </row>
    <row r="2373">
      <c r="A2373" s="2" t="s">
        <v>2035</v>
      </c>
      <c r="B2373" s="2" t="s">
        <v>20</v>
      </c>
      <c r="C2373" s="149">
        <v>309.0</v>
      </c>
    </row>
    <row r="2374">
      <c r="A2374" s="2" t="s">
        <v>2035</v>
      </c>
      <c r="B2374" s="2" t="s">
        <v>24</v>
      </c>
      <c r="C2374" s="149">
        <v>768.0</v>
      </c>
    </row>
    <row r="2375">
      <c r="A2375" s="2" t="s">
        <v>2035</v>
      </c>
      <c r="B2375" s="2" t="s">
        <v>63</v>
      </c>
      <c r="C2375" s="149">
        <v>651.0</v>
      </c>
    </row>
    <row r="2376">
      <c r="A2376" s="2" t="s">
        <v>2035</v>
      </c>
      <c r="B2376" s="2" t="s">
        <v>58</v>
      </c>
      <c r="C2376" s="149">
        <v>895.0</v>
      </c>
    </row>
    <row r="2377">
      <c r="A2377" s="2" t="s">
        <v>2035</v>
      </c>
      <c r="B2377" s="2" t="s">
        <v>42</v>
      </c>
      <c r="C2377" s="149">
        <v>782.0</v>
      </c>
    </row>
    <row r="2378">
      <c r="A2378" s="2" t="s">
        <v>2035</v>
      </c>
      <c r="B2378" s="2" t="s">
        <v>21</v>
      </c>
      <c r="C2378" s="149">
        <v>271.0</v>
      </c>
    </row>
    <row r="2379">
      <c r="A2379" s="2" t="s">
        <v>2035</v>
      </c>
      <c r="B2379" s="2" t="s">
        <v>33</v>
      </c>
      <c r="C2379" s="149">
        <v>405.0</v>
      </c>
    </row>
    <row r="2380">
      <c r="A2380" s="2" t="s">
        <v>2035</v>
      </c>
      <c r="B2380" s="2" t="s">
        <v>66</v>
      </c>
      <c r="C2380" s="149">
        <v>820.0</v>
      </c>
    </row>
    <row r="2381">
      <c r="A2381" s="2" t="s">
        <v>2035</v>
      </c>
      <c r="B2381" s="2" t="s">
        <v>29</v>
      </c>
      <c r="C2381" s="149">
        <v>577.0</v>
      </c>
    </row>
    <row r="2382">
      <c r="A2382" s="2" t="s">
        <v>2035</v>
      </c>
      <c r="B2382" s="2" t="s">
        <v>60</v>
      </c>
      <c r="C2382" s="149">
        <v>414.0</v>
      </c>
    </row>
    <row r="2383">
      <c r="A2383" s="2" t="s">
        <v>2035</v>
      </c>
      <c r="B2383" s="2" t="s">
        <v>38</v>
      </c>
      <c r="C2383" s="149">
        <v>662.0</v>
      </c>
    </row>
    <row r="2384">
      <c r="A2384" s="2" t="s">
        <v>2035</v>
      </c>
      <c r="B2384" s="2" t="s">
        <v>61</v>
      </c>
      <c r="C2384" s="149">
        <v>550.0</v>
      </c>
    </row>
    <row r="2385">
      <c r="A2385" s="2" t="s">
        <v>2035</v>
      </c>
      <c r="B2385" s="2" t="s">
        <v>52</v>
      </c>
      <c r="C2385" s="149">
        <v>738.0</v>
      </c>
    </row>
    <row r="2386">
      <c r="A2386" s="2" t="s">
        <v>2035</v>
      </c>
      <c r="B2386" s="2" t="s">
        <v>25</v>
      </c>
      <c r="C2386" s="149">
        <v>814.0</v>
      </c>
    </row>
    <row r="2387">
      <c r="A2387" s="2" t="s">
        <v>2035</v>
      </c>
      <c r="B2387" s="2" t="s">
        <v>67</v>
      </c>
      <c r="C2387" s="149">
        <v>781.0</v>
      </c>
    </row>
    <row r="2388">
      <c r="A2388" s="2" t="s">
        <v>2035</v>
      </c>
      <c r="B2388" s="2" t="s">
        <v>45</v>
      </c>
      <c r="C2388" s="149">
        <v>657.0</v>
      </c>
    </row>
    <row r="2389">
      <c r="A2389" s="2" t="s">
        <v>2035</v>
      </c>
      <c r="B2389" s="2" t="s">
        <v>53</v>
      </c>
      <c r="C2389" s="149">
        <v>1018.0</v>
      </c>
    </row>
    <row r="2390">
      <c r="A2390" s="2" t="s">
        <v>2035</v>
      </c>
      <c r="B2390" s="2" t="s">
        <v>26</v>
      </c>
      <c r="C2390" s="149">
        <v>849.0</v>
      </c>
    </row>
    <row r="2391">
      <c r="A2391" s="2" t="s">
        <v>2035</v>
      </c>
      <c r="B2391" s="2" t="s">
        <v>28</v>
      </c>
      <c r="C2391" s="149">
        <v>623.0</v>
      </c>
    </row>
    <row r="2392">
      <c r="A2392" s="2" t="s">
        <v>2035</v>
      </c>
      <c r="B2392" s="2" t="s">
        <v>55</v>
      </c>
      <c r="C2392" s="149">
        <v>61.1</v>
      </c>
    </row>
    <row r="2393">
      <c r="A2393" s="2" t="s">
        <v>2035</v>
      </c>
      <c r="B2393" s="2" t="s">
        <v>48</v>
      </c>
      <c r="C2393" s="149">
        <v>664.0</v>
      </c>
    </row>
    <row r="2394">
      <c r="A2394" s="2" t="s">
        <v>2035</v>
      </c>
      <c r="B2394" s="2" t="s">
        <v>2035</v>
      </c>
      <c r="C2394" s="149">
        <v>0.0</v>
      </c>
    </row>
    <row r="2395">
      <c r="A2395" s="2" t="s">
        <v>2035</v>
      </c>
      <c r="B2395" s="2" t="s">
        <v>59</v>
      </c>
      <c r="C2395" s="149">
        <v>845.0</v>
      </c>
    </row>
    <row r="2396">
      <c r="A2396" s="2" t="s">
        <v>2035</v>
      </c>
      <c r="B2396" s="2" t="s">
        <v>44</v>
      </c>
      <c r="C2396" s="149">
        <v>628.0</v>
      </c>
    </row>
    <row r="2397">
      <c r="A2397" s="2" t="s">
        <v>2035</v>
      </c>
      <c r="B2397" s="2" t="s">
        <v>2036</v>
      </c>
      <c r="C2397" s="149">
        <v>51.9</v>
      </c>
    </row>
    <row r="2398">
      <c r="A2398" s="2" t="s">
        <v>2035</v>
      </c>
      <c r="B2398" s="2" t="s">
        <v>2037</v>
      </c>
      <c r="C2398" s="149">
        <v>374.0</v>
      </c>
    </row>
    <row r="2399">
      <c r="A2399" s="2" t="s">
        <v>59</v>
      </c>
      <c r="B2399" s="2" t="s">
        <v>18</v>
      </c>
      <c r="C2399" s="149">
        <v>470.0</v>
      </c>
    </row>
    <row r="2400">
      <c r="A2400" s="2" t="s">
        <v>59</v>
      </c>
      <c r="B2400" s="2" t="s">
        <v>49</v>
      </c>
      <c r="C2400" s="149">
        <v>703.0</v>
      </c>
    </row>
    <row r="2401">
      <c r="A2401" s="2" t="s">
        <v>59</v>
      </c>
      <c r="B2401" s="2" t="s">
        <v>22</v>
      </c>
      <c r="C2401" s="149">
        <v>545.0</v>
      </c>
    </row>
    <row r="2402">
      <c r="A2402" s="2" t="s">
        <v>59</v>
      </c>
      <c r="B2402" s="2" t="s">
        <v>27</v>
      </c>
      <c r="C2402" s="149">
        <v>197.0</v>
      </c>
    </row>
    <row r="2403">
      <c r="A2403" s="2" t="s">
        <v>59</v>
      </c>
      <c r="B2403" s="2" t="s">
        <v>35</v>
      </c>
      <c r="C2403" s="149">
        <v>771.0</v>
      </c>
    </row>
    <row r="2404">
      <c r="A2404" s="2" t="s">
        <v>59</v>
      </c>
      <c r="B2404" s="2" t="s">
        <v>41</v>
      </c>
      <c r="C2404" s="149">
        <v>721.0</v>
      </c>
    </row>
    <row r="2405">
      <c r="A2405" s="2" t="s">
        <v>59</v>
      </c>
      <c r="B2405" s="2" t="s">
        <v>57</v>
      </c>
      <c r="C2405" s="149">
        <v>39.5</v>
      </c>
    </row>
    <row r="2406">
      <c r="A2406" s="2" t="s">
        <v>59</v>
      </c>
      <c r="B2406" s="2" t="s">
        <v>37</v>
      </c>
      <c r="C2406" s="149">
        <v>278.0</v>
      </c>
    </row>
    <row r="2407">
      <c r="A2407" s="2" t="s">
        <v>59</v>
      </c>
      <c r="B2407" s="2" t="s">
        <v>39</v>
      </c>
      <c r="C2407" s="149">
        <v>304.0</v>
      </c>
    </row>
    <row r="2408">
      <c r="A2408" s="2" t="s">
        <v>59</v>
      </c>
      <c r="B2408" s="2" t="s">
        <v>64</v>
      </c>
      <c r="C2408" s="149">
        <v>626.0</v>
      </c>
    </row>
    <row r="2409">
      <c r="A2409" s="2" t="s">
        <v>59</v>
      </c>
      <c r="B2409" s="2" t="s">
        <v>65</v>
      </c>
      <c r="C2409" s="149">
        <v>538.0</v>
      </c>
    </row>
    <row r="2410">
      <c r="A2410" s="2" t="s">
        <v>59</v>
      </c>
      <c r="B2410" s="2" t="s">
        <v>36</v>
      </c>
      <c r="C2410" s="149">
        <v>764.0</v>
      </c>
    </row>
    <row r="2411">
      <c r="A2411" s="2" t="s">
        <v>59</v>
      </c>
      <c r="B2411" s="2" t="s">
        <v>31</v>
      </c>
      <c r="C2411" s="149">
        <v>78.0</v>
      </c>
    </row>
    <row r="2412">
      <c r="A2412" s="2" t="s">
        <v>59</v>
      </c>
      <c r="B2412" s="2" t="s">
        <v>43</v>
      </c>
      <c r="C2412" s="149">
        <v>585.0</v>
      </c>
    </row>
    <row r="2413">
      <c r="A2413" s="2" t="s">
        <v>59</v>
      </c>
      <c r="B2413" s="2" t="s">
        <v>40</v>
      </c>
      <c r="C2413" s="149">
        <v>379.0</v>
      </c>
    </row>
    <row r="2414">
      <c r="A2414" s="2" t="s">
        <v>59</v>
      </c>
      <c r="B2414" s="2" t="s">
        <v>50</v>
      </c>
      <c r="C2414" s="149">
        <v>812.0</v>
      </c>
    </row>
    <row r="2415">
      <c r="A2415" s="2" t="s">
        <v>59</v>
      </c>
      <c r="B2415" s="2" t="s">
        <v>51</v>
      </c>
      <c r="C2415" s="149">
        <v>137.0</v>
      </c>
    </row>
    <row r="2416">
      <c r="A2416" s="2" t="s">
        <v>59</v>
      </c>
      <c r="B2416" s="2" t="s">
        <v>23</v>
      </c>
      <c r="C2416" s="149">
        <v>592.0</v>
      </c>
    </row>
    <row r="2417">
      <c r="A2417" s="2" t="s">
        <v>59</v>
      </c>
      <c r="B2417" s="2" t="s">
        <v>47</v>
      </c>
      <c r="C2417" s="149">
        <v>422.0</v>
      </c>
    </row>
    <row r="2418">
      <c r="A2418" s="2" t="s">
        <v>59</v>
      </c>
      <c r="B2418" s="2" t="s">
        <v>62</v>
      </c>
      <c r="C2418" s="149">
        <v>444.0</v>
      </c>
    </row>
    <row r="2419">
      <c r="A2419" s="2" t="s">
        <v>59</v>
      </c>
      <c r="B2419" s="2" t="s">
        <v>30</v>
      </c>
      <c r="C2419" s="149">
        <v>192.0</v>
      </c>
    </row>
    <row r="2420">
      <c r="A2420" s="2" t="s">
        <v>59</v>
      </c>
      <c r="B2420" s="2" t="s">
        <v>32</v>
      </c>
      <c r="C2420" s="149">
        <v>143.0</v>
      </c>
    </row>
    <row r="2421">
      <c r="A2421" s="2" t="s">
        <v>59</v>
      </c>
      <c r="B2421" s="2" t="s">
        <v>46</v>
      </c>
      <c r="C2421" s="149">
        <v>535.0</v>
      </c>
    </row>
    <row r="2422">
      <c r="A2422" s="2" t="s">
        <v>59</v>
      </c>
      <c r="B2422" s="2" t="s">
        <v>54</v>
      </c>
      <c r="C2422" s="149">
        <v>657.0</v>
      </c>
    </row>
    <row r="2423">
      <c r="A2423" s="2" t="s">
        <v>59</v>
      </c>
      <c r="B2423" s="2" t="s">
        <v>34</v>
      </c>
      <c r="C2423" s="149">
        <v>504.0</v>
      </c>
    </row>
    <row r="2424">
      <c r="A2424" s="2" t="s">
        <v>59</v>
      </c>
      <c r="B2424" s="2" t="s">
        <v>20</v>
      </c>
      <c r="C2424" s="149">
        <v>552.0</v>
      </c>
    </row>
    <row r="2425">
      <c r="A2425" s="2" t="s">
        <v>59</v>
      </c>
      <c r="B2425" s="2" t="s">
        <v>24</v>
      </c>
      <c r="C2425" s="149">
        <v>78.4</v>
      </c>
    </row>
    <row r="2426">
      <c r="A2426" s="2" t="s">
        <v>59</v>
      </c>
      <c r="B2426" s="2" t="s">
        <v>63</v>
      </c>
      <c r="C2426" s="149">
        <v>325.0</v>
      </c>
    </row>
    <row r="2427">
      <c r="A2427" s="2" t="s">
        <v>59</v>
      </c>
      <c r="B2427" s="2" t="s">
        <v>58</v>
      </c>
      <c r="C2427" s="149">
        <v>54.6</v>
      </c>
    </row>
    <row r="2428">
      <c r="A2428" s="2" t="s">
        <v>59</v>
      </c>
      <c r="B2428" s="2" t="s">
        <v>42</v>
      </c>
      <c r="C2428" s="149">
        <v>658.0</v>
      </c>
    </row>
    <row r="2429">
      <c r="A2429" s="2" t="s">
        <v>59</v>
      </c>
      <c r="B2429" s="2" t="s">
        <v>21</v>
      </c>
      <c r="C2429" s="149">
        <v>577.0</v>
      </c>
    </row>
    <row r="2430">
      <c r="A2430" s="2" t="s">
        <v>59</v>
      </c>
      <c r="B2430" s="2" t="s">
        <v>33</v>
      </c>
      <c r="C2430" s="149">
        <v>442.0</v>
      </c>
    </row>
    <row r="2431">
      <c r="A2431" s="2" t="s">
        <v>59</v>
      </c>
      <c r="B2431" s="2" t="s">
        <v>66</v>
      </c>
      <c r="C2431" s="149">
        <v>679.0</v>
      </c>
    </row>
    <row r="2432">
      <c r="A2432" s="2" t="s">
        <v>59</v>
      </c>
      <c r="B2432" s="2" t="s">
        <v>29</v>
      </c>
      <c r="C2432" s="149">
        <v>492.0</v>
      </c>
    </row>
    <row r="2433">
      <c r="A2433" s="2" t="s">
        <v>59</v>
      </c>
      <c r="B2433" s="2" t="s">
        <v>60</v>
      </c>
      <c r="C2433" s="149">
        <v>508.0</v>
      </c>
    </row>
    <row r="2434">
      <c r="A2434" s="2" t="s">
        <v>59</v>
      </c>
      <c r="B2434" s="2" t="s">
        <v>38</v>
      </c>
      <c r="C2434" s="149">
        <v>348.0</v>
      </c>
    </row>
    <row r="2435">
      <c r="A2435" s="2" t="s">
        <v>59</v>
      </c>
      <c r="B2435" s="2" t="s">
        <v>61</v>
      </c>
      <c r="C2435" s="149">
        <v>433.0</v>
      </c>
    </row>
    <row r="2436">
      <c r="A2436" s="2" t="s">
        <v>59</v>
      </c>
      <c r="B2436" s="2" t="s">
        <v>52</v>
      </c>
      <c r="C2436" s="149">
        <v>128.0</v>
      </c>
    </row>
    <row r="2437">
      <c r="A2437" s="2" t="s">
        <v>59</v>
      </c>
      <c r="B2437" s="2" t="s">
        <v>25</v>
      </c>
      <c r="C2437" s="149">
        <v>26.9</v>
      </c>
    </row>
    <row r="2438">
      <c r="A2438" s="2" t="s">
        <v>59</v>
      </c>
      <c r="B2438" s="2" t="s">
        <v>67</v>
      </c>
      <c r="C2438" s="149">
        <v>191.0</v>
      </c>
    </row>
    <row r="2439">
      <c r="A2439" s="2" t="s">
        <v>59</v>
      </c>
      <c r="B2439" s="2" t="s">
        <v>45</v>
      </c>
      <c r="C2439" s="149">
        <v>535.0</v>
      </c>
    </row>
    <row r="2440">
      <c r="A2440" s="2" t="s">
        <v>59</v>
      </c>
      <c r="B2440" s="2" t="s">
        <v>53</v>
      </c>
      <c r="C2440" s="149">
        <v>153.0</v>
      </c>
    </row>
    <row r="2441">
      <c r="A2441" s="2" t="s">
        <v>59</v>
      </c>
      <c r="B2441" s="2" t="s">
        <v>26</v>
      </c>
      <c r="C2441" s="149">
        <v>46.5</v>
      </c>
    </row>
    <row r="2442">
      <c r="A2442" s="2" t="s">
        <v>59</v>
      </c>
      <c r="B2442" s="2" t="s">
        <v>28</v>
      </c>
      <c r="C2442" s="149">
        <v>228.0</v>
      </c>
    </row>
    <row r="2443">
      <c r="A2443" s="2" t="s">
        <v>59</v>
      </c>
      <c r="B2443" s="2" t="s">
        <v>55</v>
      </c>
      <c r="C2443" s="149">
        <v>788.0</v>
      </c>
    </row>
    <row r="2444">
      <c r="A2444" s="2" t="s">
        <v>59</v>
      </c>
      <c r="B2444" s="2" t="s">
        <v>48</v>
      </c>
      <c r="C2444" s="149">
        <v>399.0</v>
      </c>
    </row>
    <row r="2445">
      <c r="A2445" s="2" t="s">
        <v>59</v>
      </c>
      <c r="B2445" s="2" t="s">
        <v>2035</v>
      </c>
      <c r="C2445" s="149">
        <v>845.0</v>
      </c>
    </row>
    <row r="2446">
      <c r="A2446" s="2" t="s">
        <v>59</v>
      </c>
      <c r="B2446" s="2" t="s">
        <v>59</v>
      </c>
      <c r="C2446" s="149">
        <v>0.0</v>
      </c>
    </row>
    <row r="2447">
      <c r="A2447" s="2" t="s">
        <v>59</v>
      </c>
      <c r="B2447" s="2" t="s">
        <v>44</v>
      </c>
      <c r="C2447" s="149">
        <v>508.0</v>
      </c>
    </row>
    <row r="2448">
      <c r="A2448" s="2" t="s">
        <v>59</v>
      </c>
      <c r="B2448" s="2" t="s">
        <v>2036</v>
      </c>
      <c r="C2448" s="149">
        <v>872.0</v>
      </c>
    </row>
    <row r="2449">
      <c r="A2449" s="2" t="s">
        <v>59</v>
      </c>
      <c r="B2449" s="2" t="s">
        <v>2037</v>
      </c>
      <c r="C2449" s="149">
        <v>734.0</v>
      </c>
    </row>
    <row r="2450">
      <c r="A2450" s="2" t="s">
        <v>44</v>
      </c>
      <c r="B2450" s="2" t="s">
        <v>18</v>
      </c>
      <c r="C2450" s="149">
        <v>34.5</v>
      </c>
    </row>
    <row r="2451">
      <c r="A2451" s="2" t="s">
        <v>44</v>
      </c>
      <c r="B2451" s="2" t="s">
        <v>49</v>
      </c>
      <c r="C2451" s="149">
        <v>554.0</v>
      </c>
    </row>
    <row r="2452">
      <c r="A2452" s="2" t="s">
        <v>44</v>
      </c>
      <c r="B2452" s="2" t="s">
        <v>22</v>
      </c>
      <c r="C2452" s="149">
        <v>348.0</v>
      </c>
    </row>
    <row r="2453">
      <c r="A2453" s="2" t="s">
        <v>44</v>
      </c>
      <c r="B2453" s="2" t="s">
        <v>27</v>
      </c>
      <c r="C2453" s="149">
        <v>345.0</v>
      </c>
    </row>
    <row r="2454">
      <c r="A2454" s="2" t="s">
        <v>44</v>
      </c>
      <c r="B2454" s="2" t="s">
        <v>35</v>
      </c>
      <c r="C2454" s="149">
        <v>278.0</v>
      </c>
    </row>
    <row r="2455">
      <c r="A2455" s="2" t="s">
        <v>44</v>
      </c>
      <c r="B2455" s="2" t="s">
        <v>41</v>
      </c>
      <c r="C2455" s="149">
        <v>198.0</v>
      </c>
    </row>
    <row r="2456">
      <c r="A2456" s="2" t="s">
        <v>44</v>
      </c>
      <c r="B2456" s="2" t="s">
        <v>57</v>
      </c>
      <c r="C2456" s="149">
        <v>539.0</v>
      </c>
    </row>
    <row r="2457">
      <c r="A2457" s="2" t="s">
        <v>44</v>
      </c>
      <c r="B2457" s="2" t="s">
        <v>37</v>
      </c>
      <c r="C2457" s="149">
        <v>320.0</v>
      </c>
    </row>
    <row r="2458">
      <c r="A2458" s="2" t="s">
        <v>44</v>
      </c>
      <c r="B2458" s="2" t="s">
        <v>39</v>
      </c>
      <c r="C2458" s="149">
        <v>303.0</v>
      </c>
    </row>
    <row r="2459">
      <c r="A2459" s="2" t="s">
        <v>44</v>
      </c>
      <c r="B2459" s="2" t="s">
        <v>64</v>
      </c>
      <c r="C2459" s="149">
        <v>121.0</v>
      </c>
    </row>
    <row r="2460">
      <c r="A2460" s="2" t="s">
        <v>44</v>
      </c>
      <c r="B2460" s="2" t="s">
        <v>65</v>
      </c>
      <c r="C2460" s="149">
        <v>150.0</v>
      </c>
    </row>
    <row r="2461">
      <c r="A2461" s="2" t="s">
        <v>44</v>
      </c>
      <c r="B2461" s="2" t="s">
        <v>36</v>
      </c>
      <c r="C2461" s="149">
        <v>274.0</v>
      </c>
    </row>
    <row r="2462">
      <c r="A2462" s="2" t="s">
        <v>44</v>
      </c>
      <c r="B2462" s="2" t="s">
        <v>31</v>
      </c>
      <c r="C2462" s="149">
        <v>499.0</v>
      </c>
    </row>
    <row r="2463">
      <c r="A2463" s="2" t="s">
        <v>44</v>
      </c>
      <c r="B2463" s="2" t="s">
        <v>43</v>
      </c>
      <c r="C2463" s="149">
        <v>81.4</v>
      </c>
    </row>
    <row r="2464">
      <c r="A2464" s="2" t="s">
        <v>44</v>
      </c>
      <c r="B2464" s="2" t="s">
        <v>40</v>
      </c>
      <c r="C2464" s="149">
        <v>236.0</v>
      </c>
    </row>
    <row r="2465">
      <c r="A2465" s="2" t="s">
        <v>44</v>
      </c>
      <c r="B2465" s="2" t="s">
        <v>50</v>
      </c>
      <c r="C2465" s="149">
        <v>595.0</v>
      </c>
    </row>
    <row r="2466">
      <c r="A2466" s="2" t="s">
        <v>44</v>
      </c>
      <c r="B2466" s="2" t="s">
        <v>51</v>
      </c>
      <c r="C2466" s="149">
        <v>369.0</v>
      </c>
    </row>
    <row r="2467">
      <c r="A2467" s="2" t="s">
        <v>44</v>
      </c>
      <c r="B2467" s="2" t="s">
        <v>23</v>
      </c>
      <c r="C2467" s="149">
        <v>374.0</v>
      </c>
    </row>
    <row r="2468">
      <c r="A2468" s="2" t="s">
        <v>44</v>
      </c>
      <c r="B2468" s="2" t="s">
        <v>47</v>
      </c>
      <c r="C2468" s="149">
        <v>103.0</v>
      </c>
    </row>
    <row r="2469">
      <c r="A2469" s="2" t="s">
        <v>44</v>
      </c>
      <c r="B2469" s="2" t="s">
        <v>62</v>
      </c>
      <c r="C2469" s="149">
        <v>59.4</v>
      </c>
    </row>
    <row r="2470">
      <c r="A2470" s="2" t="s">
        <v>44</v>
      </c>
      <c r="B2470" s="2" t="s">
        <v>30</v>
      </c>
      <c r="C2470" s="149">
        <v>385.0</v>
      </c>
    </row>
    <row r="2471">
      <c r="A2471" s="2" t="s">
        <v>44</v>
      </c>
      <c r="B2471" s="2" t="s">
        <v>32</v>
      </c>
      <c r="C2471" s="149">
        <v>414.0</v>
      </c>
    </row>
    <row r="2472">
      <c r="A2472" s="2" t="s">
        <v>44</v>
      </c>
      <c r="B2472" s="2" t="s">
        <v>46</v>
      </c>
      <c r="C2472" s="149">
        <v>134.0</v>
      </c>
    </row>
    <row r="2473">
      <c r="A2473" s="2" t="s">
        <v>44</v>
      </c>
      <c r="B2473" s="2" t="s">
        <v>54</v>
      </c>
      <c r="C2473" s="149">
        <v>440.0</v>
      </c>
    </row>
    <row r="2474">
      <c r="A2474" s="2" t="s">
        <v>44</v>
      </c>
      <c r="B2474" s="2" t="s">
        <v>34</v>
      </c>
      <c r="C2474" s="149">
        <v>156.0</v>
      </c>
    </row>
    <row r="2475">
      <c r="A2475" s="2" t="s">
        <v>44</v>
      </c>
      <c r="B2475" s="2" t="s">
        <v>20</v>
      </c>
      <c r="C2475" s="149">
        <v>372.0</v>
      </c>
    </row>
    <row r="2476">
      <c r="A2476" s="2" t="s">
        <v>44</v>
      </c>
      <c r="B2476" s="2" t="s">
        <v>24</v>
      </c>
      <c r="C2476" s="149">
        <v>427.0</v>
      </c>
    </row>
    <row r="2477">
      <c r="A2477" s="2" t="s">
        <v>44</v>
      </c>
      <c r="B2477" s="2" t="s">
        <v>63</v>
      </c>
      <c r="C2477" s="149">
        <v>251.0</v>
      </c>
    </row>
    <row r="2478">
      <c r="A2478" s="2" t="s">
        <v>44</v>
      </c>
      <c r="B2478" s="2" t="s">
        <v>58</v>
      </c>
      <c r="C2478" s="149">
        <v>554.0</v>
      </c>
    </row>
    <row r="2479">
      <c r="A2479" s="2" t="s">
        <v>44</v>
      </c>
      <c r="B2479" s="2" t="s">
        <v>42</v>
      </c>
      <c r="C2479" s="149">
        <v>157.0</v>
      </c>
    </row>
    <row r="2480">
      <c r="A2480" s="2" t="s">
        <v>44</v>
      </c>
      <c r="B2480" s="2" t="s">
        <v>21</v>
      </c>
      <c r="C2480" s="149">
        <v>367.0</v>
      </c>
    </row>
    <row r="2481">
      <c r="A2481" s="2" t="s">
        <v>44</v>
      </c>
      <c r="B2481" s="2" t="s">
        <v>33</v>
      </c>
      <c r="C2481" s="149">
        <v>371.0</v>
      </c>
    </row>
    <row r="2482">
      <c r="A2482" s="2" t="s">
        <v>44</v>
      </c>
      <c r="B2482" s="2" t="s">
        <v>66</v>
      </c>
      <c r="C2482" s="149">
        <v>176.0</v>
      </c>
    </row>
    <row r="2483">
      <c r="A2483" s="2" t="s">
        <v>44</v>
      </c>
      <c r="B2483" s="2" t="s">
        <v>29</v>
      </c>
      <c r="C2483" s="149">
        <v>550.0</v>
      </c>
    </row>
    <row r="2484">
      <c r="A2484" s="2" t="s">
        <v>44</v>
      </c>
      <c r="B2484" s="2" t="s">
        <v>60</v>
      </c>
      <c r="C2484" s="149">
        <v>217.0</v>
      </c>
    </row>
    <row r="2485">
      <c r="A2485" s="2" t="s">
        <v>44</v>
      </c>
      <c r="B2485" s="2" t="s">
        <v>38</v>
      </c>
      <c r="C2485" s="149">
        <v>407.0</v>
      </c>
    </row>
    <row r="2486">
      <c r="A2486" s="2" t="s">
        <v>44</v>
      </c>
      <c r="B2486" s="2" t="s">
        <v>61</v>
      </c>
      <c r="C2486" s="149">
        <v>85.2</v>
      </c>
    </row>
    <row r="2487">
      <c r="A2487" s="2" t="s">
        <v>44</v>
      </c>
      <c r="B2487" s="2" t="s">
        <v>52</v>
      </c>
      <c r="C2487" s="149">
        <v>397.0</v>
      </c>
    </row>
    <row r="2488">
      <c r="A2488" s="2" t="s">
        <v>44</v>
      </c>
      <c r="B2488" s="2" t="s">
        <v>25</v>
      </c>
      <c r="C2488" s="149">
        <v>477.0</v>
      </c>
    </row>
    <row r="2489">
      <c r="A2489" s="2" t="s">
        <v>44</v>
      </c>
      <c r="B2489" s="2" t="s">
        <v>67</v>
      </c>
      <c r="C2489" s="149">
        <v>497.0</v>
      </c>
    </row>
    <row r="2490">
      <c r="A2490" s="2" t="s">
        <v>44</v>
      </c>
      <c r="B2490" s="2" t="s">
        <v>45</v>
      </c>
      <c r="C2490" s="149">
        <v>134.0</v>
      </c>
    </row>
    <row r="2491">
      <c r="A2491" s="2" t="s">
        <v>44</v>
      </c>
      <c r="B2491" s="2" t="s">
        <v>53</v>
      </c>
      <c r="C2491" s="149">
        <v>611.0</v>
      </c>
    </row>
    <row r="2492">
      <c r="A2492" s="2" t="s">
        <v>44</v>
      </c>
      <c r="B2492" s="2" t="s">
        <v>26</v>
      </c>
      <c r="C2492" s="149">
        <v>511.0</v>
      </c>
    </row>
    <row r="2493">
      <c r="A2493" s="2" t="s">
        <v>44</v>
      </c>
      <c r="B2493" s="2" t="s">
        <v>28</v>
      </c>
      <c r="C2493" s="149">
        <v>360.0</v>
      </c>
    </row>
    <row r="2494">
      <c r="A2494" s="2" t="s">
        <v>44</v>
      </c>
      <c r="B2494" s="2" t="s">
        <v>55</v>
      </c>
      <c r="C2494" s="149">
        <v>571.0</v>
      </c>
    </row>
    <row r="2495">
      <c r="A2495" s="2" t="s">
        <v>44</v>
      </c>
      <c r="B2495" s="2" t="s">
        <v>48</v>
      </c>
      <c r="C2495" s="149">
        <v>144.0</v>
      </c>
    </row>
    <row r="2496">
      <c r="A2496" s="2" t="s">
        <v>44</v>
      </c>
      <c r="B2496" s="2" t="s">
        <v>2035</v>
      </c>
      <c r="C2496" s="149">
        <v>628.0</v>
      </c>
    </row>
    <row r="2497">
      <c r="A2497" s="2" t="s">
        <v>44</v>
      </c>
      <c r="B2497" s="2" t="s">
        <v>59</v>
      </c>
      <c r="C2497" s="149">
        <v>508.0</v>
      </c>
    </row>
    <row r="2498">
      <c r="A2498" s="2" t="s">
        <v>44</v>
      </c>
      <c r="B2498" s="2" t="s">
        <v>44</v>
      </c>
      <c r="C2498" s="149">
        <v>0.0</v>
      </c>
    </row>
    <row r="2499">
      <c r="A2499" s="2" t="s">
        <v>44</v>
      </c>
      <c r="B2499" s="2" t="s">
        <v>2036</v>
      </c>
      <c r="C2499" s="149">
        <v>596.0</v>
      </c>
    </row>
    <row r="2500">
      <c r="A2500" s="2" t="s">
        <v>44</v>
      </c>
      <c r="B2500" s="2" t="s">
        <v>2037</v>
      </c>
      <c r="C2500" s="149">
        <v>538.0</v>
      </c>
    </row>
    <row r="2501">
      <c r="A2501" s="2" t="s">
        <v>2036</v>
      </c>
      <c r="B2501" s="2" t="s">
        <v>18</v>
      </c>
      <c r="C2501" s="149">
        <v>562.0</v>
      </c>
    </row>
    <row r="2502">
      <c r="A2502" s="2" t="s">
        <v>2036</v>
      </c>
      <c r="B2502" s="2" t="s">
        <v>49</v>
      </c>
      <c r="C2502" s="149">
        <v>338.0</v>
      </c>
    </row>
    <row r="2503">
      <c r="A2503" s="2" t="s">
        <v>2036</v>
      </c>
      <c r="B2503" s="2" t="s">
        <v>22</v>
      </c>
      <c r="C2503" s="149">
        <v>249.0</v>
      </c>
    </row>
    <row r="2504">
      <c r="A2504" s="2" t="s">
        <v>2036</v>
      </c>
      <c r="B2504" s="2" t="s">
        <v>27</v>
      </c>
      <c r="C2504" s="149">
        <v>601.0</v>
      </c>
    </row>
    <row r="2505">
      <c r="A2505" s="2" t="s">
        <v>2036</v>
      </c>
      <c r="B2505" s="2" t="s">
        <v>35</v>
      </c>
      <c r="C2505" s="149">
        <v>859.0</v>
      </c>
    </row>
    <row r="2506">
      <c r="A2506" s="2" t="s">
        <v>2036</v>
      </c>
      <c r="B2506" s="2" t="s">
        <v>41</v>
      </c>
      <c r="C2506" s="149">
        <v>809.0</v>
      </c>
    </row>
    <row r="2507">
      <c r="A2507" s="2" t="s">
        <v>2036</v>
      </c>
      <c r="B2507" s="2" t="s">
        <v>57</v>
      </c>
      <c r="C2507" s="149">
        <v>823.0</v>
      </c>
    </row>
    <row r="2508">
      <c r="A2508" s="2" t="s">
        <v>2036</v>
      </c>
      <c r="B2508" s="2" t="s">
        <v>37</v>
      </c>
      <c r="C2508" s="149">
        <v>527.0</v>
      </c>
    </row>
    <row r="2509">
      <c r="A2509" s="2" t="s">
        <v>2036</v>
      </c>
      <c r="B2509" s="2" t="s">
        <v>39</v>
      </c>
      <c r="C2509" s="149">
        <v>485.0</v>
      </c>
    </row>
    <row r="2510">
      <c r="A2510" s="2" t="s">
        <v>2036</v>
      </c>
      <c r="B2510" s="2" t="s">
        <v>64</v>
      </c>
      <c r="C2510" s="149">
        <v>717.0</v>
      </c>
    </row>
    <row r="2511">
      <c r="A2511" s="2" t="s">
        <v>2036</v>
      </c>
      <c r="B2511" s="2" t="s">
        <v>65</v>
      </c>
      <c r="C2511" s="149">
        <v>663.0</v>
      </c>
    </row>
    <row r="2512">
      <c r="A2512" s="2" t="s">
        <v>2036</v>
      </c>
      <c r="B2512" s="2" t="s">
        <v>36</v>
      </c>
      <c r="C2512" s="149">
        <v>855.0</v>
      </c>
    </row>
    <row r="2513">
      <c r="A2513" s="2" t="s">
        <v>2036</v>
      </c>
      <c r="B2513" s="2" t="s">
        <v>31</v>
      </c>
      <c r="C2513" s="149">
        <v>856.0</v>
      </c>
    </row>
    <row r="2514">
      <c r="A2514" s="2" t="s">
        <v>2036</v>
      </c>
      <c r="B2514" s="2" t="s">
        <v>43</v>
      </c>
      <c r="C2514" s="149">
        <v>747.0</v>
      </c>
    </row>
    <row r="2515">
      <c r="A2515" s="2" t="s">
        <v>2036</v>
      </c>
      <c r="B2515" s="2" t="s">
        <v>40</v>
      </c>
      <c r="C2515" s="149">
        <v>484.0</v>
      </c>
    </row>
    <row r="2516">
      <c r="A2516" s="2" t="s">
        <v>2036</v>
      </c>
      <c r="B2516" s="2" t="s">
        <v>50</v>
      </c>
      <c r="C2516" s="149">
        <v>12.3</v>
      </c>
    </row>
    <row r="2517">
      <c r="A2517" s="2" t="s">
        <v>2036</v>
      </c>
      <c r="B2517" s="2" t="s">
        <v>51</v>
      </c>
      <c r="C2517" s="149">
        <v>654.0</v>
      </c>
    </row>
    <row r="2518">
      <c r="A2518" s="2" t="s">
        <v>2036</v>
      </c>
      <c r="B2518" s="2" t="s">
        <v>23</v>
      </c>
      <c r="C2518" s="149">
        <v>230.0</v>
      </c>
    </row>
    <row r="2519">
      <c r="A2519" s="2" t="s">
        <v>2036</v>
      </c>
      <c r="B2519" s="2" t="s">
        <v>47</v>
      </c>
      <c r="C2519" s="149">
        <v>595.0</v>
      </c>
    </row>
    <row r="2520">
      <c r="A2520" s="2" t="s">
        <v>2036</v>
      </c>
      <c r="B2520" s="2" t="s">
        <v>62</v>
      </c>
      <c r="C2520" s="149">
        <v>535.0</v>
      </c>
    </row>
    <row r="2521">
      <c r="A2521" s="2" t="s">
        <v>2036</v>
      </c>
      <c r="B2521" s="2" t="s">
        <v>30</v>
      </c>
      <c r="C2521" s="149">
        <v>741.0</v>
      </c>
    </row>
    <row r="2522">
      <c r="A2522" s="2" t="s">
        <v>2036</v>
      </c>
      <c r="B2522" s="2" t="s">
        <v>32</v>
      </c>
      <c r="C2522" s="149">
        <v>770.0</v>
      </c>
    </row>
    <row r="2523">
      <c r="A2523" s="2" t="s">
        <v>2036</v>
      </c>
      <c r="B2523" s="2" t="s">
        <v>46</v>
      </c>
      <c r="C2523" s="149">
        <v>626.0</v>
      </c>
    </row>
    <row r="2524">
      <c r="A2524" s="2" t="s">
        <v>2036</v>
      </c>
      <c r="B2524" s="2" t="s">
        <v>54</v>
      </c>
      <c r="C2524" s="149">
        <v>157.0</v>
      </c>
    </row>
    <row r="2525">
      <c r="A2525" s="2" t="s">
        <v>2036</v>
      </c>
      <c r="B2525" s="2" t="s">
        <v>34</v>
      </c>
      <c r="C2525" s="149">
        <v>445.0</v>
      </c>
    </row>
    <row r="2526">
      <c r="A2526" s="2" t="s">
        <v>2036</v>
      </c>
      <c r="B2526" s="2" t="s">
        <v>20</v>
      </c>
      <c r="C2526" s="149">
        <v>276.0</v>
      </c>
    </row>
    <row r="2527">
      <c r="A2527" s="2" t="s">
        <v>2036</v>
      </c>
      <c r="B2527" s="2" t="s">
        <v>24</v>
      </c>
      <c r="C2527" s="149">
        <v>711.0</v>
      </c>
    </row>
    <row r="2528">
      <c r="A2528" s="2" t="s">
        <v>2036</v>
      </c>
      <c r="B2528" s="2" t="s">
        <v>63</v>
      </c>
      <c r="C2528" s="149">
        <v>608.0</v>
      </c>
    </row>
    <row r="2529">
      <c r="A2529" s="2" t="s">
        <v>2036</v>
      </c>
      <c r="B2529" s="2" t="s">
        <v>58</v>
      </c>
      <c r="C2529" s="149">
        <v>839.0</v>
      </c>
    </row>
    <row r="2530">
      <c r="A2530" s="2" t="s">
        <v>2036</v>
      </c>
      <c r="B2530" s="2" t="s">
        <v>42</v>
      </c>
      <c r="C2530" s="149">
        <v>749.0</v>
      </c>
    </row>
    <row r="2531">
      <c r="A2531" s="2" t="s">
        <v>2036</v>
      </c>
      <c r="B2531" s="2" t="s">
        <v>21</v>
      </c>
      <c r="C2531" s="149">
        <v>239.0</v>
      </c>
    </row>
    <row r="2532">
      <c r="A2532" s="2" t="s">
        <v>2036</v>
      </c>
      <c r="B2532" s="2" t="s">
        <v>33</v>
      </c>
      <c r="C2532" s="149">
        <v>373.0</v>
      </c>
    </row>
    <row r="2533">
      <c r="A2533" s="2" t="s">
        <v>2036</v>
      </c>
      <c r="B2533" s="2" t="s">
        <v>66</v>
      </c>
      <c r="C2533" s="149">
        <v>787.0</v>
      </c>
    </row>
    <row r="2534">
      <c r="A2534" s="2" t="s">
        <v>2036</v>
      </c>
      <c r="B2534" s="2" t="s">
        <v>29</v>
      </c>
      <c r="C2534" s="149">
        <v>541.0</v>
      </c>
    </row>
    <row r="2535">
      <c r="A2535" s="2" t="s">
        <v>2036</v>
      </c>
      <c r="B2535" s="2" t="s">
        <v>60</v>
      </c>
      <c r="C2535" s="149">
        <v>382.0</v>
      </c>
    </row>
    <row r="2536">
      <c r="A2536" s="2" t="s">
        <v>2036</v>
      </c>
      <c r="B2536" s="2" t="s">
        <v>38</v>
      </c>
      <c r="C2536" s="149">
        <v>618.0</v>
      </c>
    </row>
    <row r="2537">
      <c r="A2537" s="2" t="s">
        <v>2036</v>
      </c>
      <c r="B2537" s="2" t="s">
        <v>61</v>
      </c>
      <c r="C2537" s="149">
        <v>517.0</v>
      </c>
    </row>
    <row r="2538">
      <c r="A2538" s="2" t="s">
        <v>2036</v>
      </c>
      <c r="B2538" s="2" t="s">
        <v>52</v>
      </c>
      <c r="C2538" s="149">
        <v>681.0</v>
      </c>
    </row>
    <row r="2539">
      <c r="A2539" s="2" t="s">
        <v>2036</v>
      </c>
      <c r="B2539" s="2" t="s">
        <v>25</v>
      </c>
      <c r="C2539" s="149">
        <v>762.0</v>
      </c>
    </row>
    <row r="2540">
      <c r="A2540" s="2" t="s">
        <v>2036</v>
      </c>
      <c r="B2540" s="2" t="s">
        <v>67</v>
      </c>
      <c r="C2540" s="149">
        <v>724.0</v>
      </c>
    </row>
    <row r="2541">
      <c r="A2541" s="2" t="s">
        <v>2036</v>
      </c>
      <c r="B2541" s="2" t="s">
        <v>45</v>
      </c>
      <c r="C2541" s="149">
        <v>626.0</v>
      </c>
    </row>
    <row r="2542">
      <c r="A2542" s="2" t="s">
        <v>2036</v>
      </c>
      <c r="B2542" s="2" t="s">
        <v>53</v>
      </c>
      <c r="C2542" s="149">
        <v>909.0</v>
      </c>
    </row>
    <row r="2543">
      <c r="A2543" s="2" t="s">
        <v>2036</v>
      </c>
      <c r="B2543" s="2" t="s">
        <v>26</v>
      </c>
      <c r="C2543" s="149">
        <v>795.0</v>
      </c>
    </row>
    <row r="2544">
      <c r="A2544" s="2" t="s">
        <v>2036</v>
      </c>
      <c r="B2544" s="2" t="s">
        <v>28</v>
      </c>
      <c r="C2544" s="149">
        <v>567.0</v>
      </c>
    </row>
    <row r="2545">
      <c r="A2545" s="2" t="s">
        <v>2036</v>
      </c>
      <c r="B2545" s="2" t="s">
        <v>55</v>
      </c>
      <c r="C2545" s="149">
        <v>53.4</v>
      </c>
    </row>
    <row r="2546">
      <c r="A2546" s="2" t="s">
        <v>2036</v>
      </c>
      <c r="B2546" s="2" t="s">
        <v>48</v>
      </c>
      <c r="C2546" s="149">
        <v>640.0</v>
      </c>
    </row>
    <row r="2547">
      <c r="A2547" s="2" t="s">
        <v>2036</v>
      </c>
      <c r="B2547" s="2" t="s">
        <v>2035</v>
      </c>
      <c r="C2547" s="149">
        <v>51.4</v>
      </c>
    </row>
    <row r="2548">
      <c r="A2548" s="2" t="s">
        <v>2036</v>
      </c>
      <c r="B2548" s="2" t="s">
        <v>59</v>
      </c>
      <c r="C2548" s="149">
        <v>787.0</v>
      </c>
    </row>
    <row r="2549">
      <c r="A2549" s="2" t="s">
        <v>2036</v>
      </c>
      <c r="B2549" s="2" t="s">
        <v>44</v>
      </c>
      <c r="C2549" s="149">
        <v>594.0</v>
      </c>
    </row>
    <row r="2550">
      <c r="A2550" s="2" t="s">
        <v>2036</v>
      </c>
      <c r="B2550" s="2" t="s">
        <v>2036</v>
      </c>
      <c r="C2550" s="149">
        <v>0.0</v>
      </c>
    </row>
    <row r="2551">
      <c r="A2551" s="2" t="s">
        <v>2036</v>
      </c>
      <c r="B2551" s="2" t="s">
        <v>2037</v>
      </c>
      <c r="C2551" s="149">
        <v>345.0</v>
      </c>
    </row>
    <row r="2552">
      <c r="A2552" s="2" t="s">
        <v>2037</v>
      </c>
      <c r="B2552" s="2" t="s">
        <v>18</v>
      </c>
      <c r="C2552" s="149">
        <v>530.0</v>
      </c>
    </row>
    <row r="2553">
      <c r="A2553" s="2" t="s">
        <v>2037</v>
      </c>
      <c r="B2553" s="2" t="s">
        <v>49</v>
      </c>
      <c r="C2553" s="149">
        <v>18.2</v>
      </c>
    </row>
    <row r="2554">
      <c r="A2554" s="2" t="s">
        <v>2037</v>
      </c>
      <c r="B2554" s="2" t="s">
        <v>22</v>
      </c>
      <c r="C2554" s="149">
        <v>223.0</v>
      </c>
    </row>
    <row r="2555">
      <c r="A2555" s="2" t="s">
        <v>2037</v>
      </c>
      <c r="B2555" s="2" t="s">
        <v>27</v>
      </c>
      <c r="C2555" s="149">
        <v>527.0</v>
      </c>
    </row>
    <row r="2556">
      <c r="A2556" s="2" t="s">
        <v>2037</v>
      </c>
      <c r="B2556" s="2" t="s">
        <v>35</v>
      </c>
      <c r="C2556" s="149">
        <v>828.0</v>
      </c>
    </row>
    <row r="2557">
      <c r="A2557" s="2" t="s">
        <v>2037</v>
      </c>
      <c r="B2557" s="2" t="s">
        <v>41</v>
      </c>
      <c r="C2557" s="149">
        <v>778.0</v>
      </c>
    </row>
    <row r="2558">
      <c r="A2558" s="2" t="s">
        <v>2037</v>
      </c>
      <c r="B2558" s="2" t="s">
        <v>57</v>
      </c>
      <c r="C2558" s="149">
        <v>749.0</v>
      </c>
    </row>
    <row r="2559">
      <c r="A2559" s="2" t="s">
        <v>2037</v>
      </c>
      <c r="B2559" s="2" t="s">
        <v>37</v>
      </c>
      <c r="C2559" s="149">
        <v>453.0</v>
      </c>
    </row>
    <row r="2560">
      <c r="A2560" s="2" t="s">
        <v>2037</v>
      </c>
      <c r="B2560" s="2" t="s">
        <v>39</v>
      </c>
      <c r="C2560" s="149">
        <v>411.0</v>
      </c>
    </row>
    <row r="2561">
      <c r="A2561" s="2" t="s">
        <v>2037</v>
      </c>
      <c r="B2561" s="2" t="s">
        <v>64</v>
      </c>
      <c r="C2561" s="149">
        <v>686.0</v>
      </c>
    </row>
    <row r="2562">
      <c r="A2562" s="2" t="s">
        <v>2037</v>
      </c>
      <c r="B2562" s="2" t="s">
        <v>65</v>
      </c>
      <c r="C2562" s="149">
        <v>633.0</v>
      </c>
    </row>
    <row r="2563">
      <c r="A2563" s="2" t="s">
        <v>2037</v>
      </c>
      <c r="B2563" s="2" t="s">
        <v>36</v>
      </c>
      <c r="C2563" s="149">
        <v>825.0</v>
      </c>
    </row>
    <row r="2564">
      <c r="A2564" s="2" t="s">
        <v>2037</v>
      </c>
      <c r="B2564" s="2" t="s">
        <v>31</v>
      </c>
      <c r="C2564" s="149">
        <v>782.0</v>
      </c>
    </row>
    <row r="2565">
      <c r="A2565" s="2" t="s">
        <v>2037</v>
      </c>
      <c r="B2565" s="2" t="s">
        <v>43</v>
      </c>
      <c r="C2565" s="149">
        <v>717.0</v>
      </c>
    </row>
    <row r="2566">
      <c r="A2566" s="2" t="s">
        <v>2037</v>
      </c>
      <c r="B2566" s="2" t="s">
        <v>40</v>
      </c>
      <c r="C2566" s="149">
        <v>410.0</v>
      </c>
    </row>
    <row r="2567">
      <c r="A2567" s="2" t="s">
        <v>2037</v>
      </c>
      <c r="B2567" s="2" t="s">
        <v>50</v>
      </c>
      <c r="C2567" s="149">
        <v>344.0</v>
      </c>
    </row>
    <row r="2568">
      <c r="A2568" s="2" t="s">
        <v>2037</v>
      </c>
      <c r="B2568" s="2" t="s">
        <v>51</v>
      </c>
      <c r="C2568" s="149">
        <v>580.0</v>
      </c>
    </row>
    <row r="2569">
      <c r="A2569" s="2" t="s">
        <v>2037</v>
      </c>
      <c r="B2569" s="2" t="s">
        <v>23</v>
      </c>
      <c r="C2569" s="149">
        <v>249.0</v>
      </c>
    </row>
    <row r="2570">
      <c r="A2570" s="2" t="s">
        <v>2037</v>
      </c>
      <c r="B2570" s="2" t="s">
        <v>47</v>
      </c>
      <c r="C2570" s="149">
        <v>564.0</v>
      </c>
    </row>
    <row r="2571">
      <c r="A2571" s="2" t="s">
        <v>2037</v>
      </c>
      <c r="B2571" s="2" t="s">
        <v>62</v>
      </c>
      <c r="C2571" s="149">
        <v>505.0</v>
      </c>
    </row>
    <row r="2572">
      <c r="A2572" s="2" t="s">
        <v>2037</v>
      </c>
      <c r="B2572" s="2" t="s">
        <v>30</v>
      </c>
      <c r="C2572" s="149">
        <v>667.0</v>
      </c>
    </row>
    <row r="2573">
      <c r="A2573" s="2" t="s">
        <v>2037</v>
      </c>
      <c r="B2573" s="2" t="s">
        <v>32</v>
      </c>
      <c r="C2573" s="149">
        <v>696.0</v>
      </c>
    </row>
    <row r="2574">
      <c r="A2574" s="2" t="s">
        <v>2037</v>
      </c>
      <c r="B2574" s="2" t="s">
        <v>46</v>
      </c>
      <c r="C2574" s="149">
        <v>595.0</v>
      </c>
    </row>
    <row r="2575">
      <c r="A2575" s="2" t="s">
        <v>2037</v>
      </c>
      <c r="B2575" s="2" t="s">
        <v>54</v>
      </c>
      <c r="C2575" s="149">
        <v>210.0</v>
      </c>
    </row>
    <row r="2576">
      <c r="A2576" s="2" t="s">
        <v>2037</v>
      </c>
      <c r="B2576" s="2" t="s">
        <v>34</v>
      </c>
      <c r="C2576" s="149">
        <v>415.0</v>
      </c>
    </row>
    <row r="2577">
      <c r="A2577" s="2" t="s">
        <v>2037</v>
      </c>
      <c r="B2577" s="2" t="s">
        <v>20</v>
      </c>
      <c r="C2577" s="149">
        <v>182.0</v>
      </c>
    </row>
    <row r="2578">
      <c r="A2578" s="2" t="s">
        <v>2037</v>
      </c>
      <c r="B2578" s="2" t="s">
        <v>24</v>
      </c>
      <c r="C2578" s="149">
        <v>637.0</v>
      </c>
    </row>
    <row r="2579">
      <c r="A2579" s="2" t="s">
        <v>2037</v>
      </c>
      <c r="B2579" s="2" t="s">
        <v>63</v>
      </c>
      <c r="C2579" s="149">
        <v>534.0</v>
      </c>
    </row>
    <row r="2580">
      <c r="A2580" s="2" t="s">
        <v>2037</v>
      </c>
      <c r="B2580" s="2" t="s">
        <v>58</v>
      </c>
      <c r="C2580" s="149">
        <v>764.0</v>
      </c>
    </row>
    <row r="2581">
      <c r="A2581" s="2" t="s">
        <v>2037</v>
      </c>
      <c r="B2581" s="2" t="s">
        <v>42</v>
      </c>
      <c r="C2581" s="149">
        <v>719.0</v>
      </c>
    </row>
    <row r="2582">
      <c r="A2582" s="2" t="s">
        <v>2037</v>
      </c>
      <c r="B2582" s="2" t="s">
        <v>21</v>
      </c>
      <c r="C2582" s="149">
        <v>199.0</v>
      </c>
    </row>
    <row r="2583">
      <c r="A2583" s="2" t="s">
        <v>2037</v>
      </c>
      <c r="B2583" s="2" t="s">
        <v>33</v>
      </c>
      <c r="C2583" s="149">
        <v>299.0</v>
      </c>
    </row>
    <row r="2584">
      <c r="A2584" s="2" t="s">
        <v>2037</v>
      </c>
      <c r="B2584" s="2" t="s">
        <v>66</v>
      </c>
      <c r="C2584" s="149">
        <v>756.0</v>
      </c>
    </row>
    <row r="2585">
      <c r="A2585" s="2" t="s">
        <v>2037</v>
      </c>
      <c r="B2585" s="2" t="s">
        <v>29</v>
      </c>
      <c r="C2585" s="149">
        <v>408.0</v>
      </c>
    </row>
    <row r="2586">
      <c r="A2586" s="2" t="s">
        <v>2037</v>
      </c>
      <c r="B2586" s="2" t="s">
        <v>60</v>
      </c>
      <c r="C2586" s="149">
        <v>351.0</v>
      </c>
    </row>
    <row r="2587">
      <c r="A2587" s="2" t="s">
        <v>2037</v>
      </c>
      <c r="B2587" s="2" t="s">
        <v>38</v>
      </c>
      <c r="C2587" s="149">
        <v>544.0</v>
      </c>
    </row>
    <row r="2588">
      <c r="A2588" s="2" t="s">
        <v>2037</v>
      </c>
      <c r="B2588" s="2" t="s">
        <v>61</v>
      </c>
      <c r="C2588" s="149">
        <v>486.0</v>
      </c>
    </row>
    <row r="2589">
      <c r="A2589" s="2" t="s">
        <v>2037</v>
      </c>
      <c r="B2589" s="2" t="s">
        <v>52</v>
      </c>
      <c r="C2589" s="149">
        <v>607.0</v>
      </c>
    </row>
    <row r="2590">
      <c r="A2590" s="2" t="s">
        <v>2037</v>
      </c>
      <c r="B2590" s="2" t="s">
        <v>25</v>
      </c>
      <c r="C2590" s="149">
        <v>688.0</v>
      </c>
    </row>
    <row r="2591">
      <c r="A2591" s="2" t="s">
        <v>2037</v>
      </c>
      <c r="B2591" s="2" t="s">
        <v>67</v>
      </c>
      <c r="C2591" s="149">
        <v>650.0</v>
      </c>
    </row>
    <row r="2592">
      <c r="A2592" s="2" t="s">
        <v>2037</v>
      </c>
      <c r="B2592" s="2" t="s">
        <v>45</v>
      </c>
      <c r="C2592" s="149">
        <v>595.0</v>
      </c>
    </row>
    <row r="2593">
      <c r="A2593" s="2" t="s">
        <v>2037</v>
      </c>
      <c r="B2593" s="2" t="s">
        <v>53</v>
      </c>
      <c r="C2593" s="149">
        <v>835.0</v>
      </c>
    </row>
    <row r="2594">
      <c r="A2594" s="2" t="s">
        <v>2037</v>
      </c>
      <c r="B2594" s="2" t="s">
        <v>26</v>
      </c>
      <c r="C2594" s="149">
        <v>721.0</v>
      </c>
    </row>
    <row r="2595">
      <c r="A2595" s="2" t="s">
        <v>2037</v>
      </c>
      <c r="B2595" s="2" t="s">
        <v>28</v>
      </c>
      <c r="C2595" s="149">
        <v>493.0</v>
      </c>
    </row>
    <row r="2596">
      <c r="A2596" s="2" t="s">
        <v>2037</v>
      </c>
      <c r="B2596" s="2" t="s">
        <v>55</v>
      </c>
      <c r="C2596" s="149">
        <v>318.0</v>
      </c>
    </row>
    <row r="2597">
      <c r="A2597" s="2" t="s">
        <v>2037</v>
      </c>
      <c r="B2597" s="2" t="s">
        <v>48</v>
      </c>
      <c r="C2597" s="149">
        <v>604.0</v>
      </c>
    </row>
    <row r="2598">
      <c r="A2598" s="2" t="s">
        <v>2037</v>
      </c>
      <c r="B2598" s="2" t="s">
        <v>2035</v>
      </c>
      <c r="C2598" s="149">
        <v>379.0</v>
      </c>
    </row>
    <row r="2599">
      <c r="A2599" s="2" t="s">
        <v>2037</v>
      </c>
      <c r="B2599" s="2" t="s">
        <v>59</v>
      </c>
      <c r="C2599" s="149">
        <v>713.0</v>
      </c>
    </row>
    <row r="2600">
      <c r="A2600" s="2" t="s">
        <v>2037</v>
      </c>
      <c r="B2600" s="2" t="s">
        <v>44</v>
      </c>
      <c r="C2600" s="149">
        <v>564.0</v>
      </c>
    </row>
    <row r="2601">
      <c r="A2601" s="2" t="s">
        <v>2037</v>
      </c>
      <c r="B2601" s="2" t="s">
        <v>2036</v>
      </c>
      <c r="C2601" s="149">
        <v>343.0</v>
      </c>
    </row>
    <row r="2602">
      <c r="A2602" s="2" t="s">
        <v>2037</v>
      </c>
      <c r="B2602" s="2" t="s">
        <v>2037</v>
      </c>
      <c r="C2602" s="149">
        <v>0.0</v>
      </c>
    </row>
    <row r="2603">
      <c r="A2603" s="24" t="s">
        <v>18</v>
      </c>
      <c r="B2603" s="24" t="s">
        <v>56</v>
      </c>
      <c r="C2603" s="27">
        <v>593.0</v>
      </c>
    </row>
    <row r="2604">
      <c r="A2604" s="24" t="s">
        <v>49</v>
      </c>
      <c r="B2604" s="24" t="s">
        <v>56</v>
      </c>
      <c r="C2604" s="27">
        <v>373.0</v>
      </c>
    </row>
    <row r="2605">
      <c r="A2605" s="24" t="s">
        <v>22</v>
      </c>
      <c r="B2605" s="24" t="s">
        <v>56</v>
      </c>
      <c r="C2605" s="27">
        <v>282.0</v>
      </c>
    </row>
    <row r="2606">
      <c r="A2606" s="24" t="s">
        <v>27</v>
      </c>
      <c r="B2606" s="24" t="s">
        <v>56</v>
      </c>
      <c r="C2606" s="27">
        <v>717.0</v>
      </c>
    </row>
    <row r="2607">
      <c r="A2607" s="24" t="s">
        <v>35</v>
      </c>
      <c r="B2607" s="24" t="s">
        <v>56</v>
      </c>
      <c r="C2607" s="27">
        <v>891.0</v>
      </c>
    </row>
    <row r="2608">
      <c r="A2608" s="24" t="s">
        <v>41</v>
      </c>
      <c r="B2608" s="24" t="s">
        <v>56</v>
      </c>
      <c r="C2608" s="27">
        <v>841.0</v>
      </c>
    </row>
    <row r="2609">
      <c r="A2609" s="24" t="s">
        <v>57</v>
      </c>
      <c r="B2609" s="24" t="s">
        <v>56</v>
      </c>
      <c r="C2609" s="27">
        <v>941.0</v>
      </c>
    </row>
    <row r="2610">
      <c r="A2610" s="24" t="s">
        <v>37</v>
      </c>
      <c r="B2610" s="24" t="s">
        <v>56</v>
      </c>
      <c r="C2610" s="27">
        <v>646.0</v>
      </c>
    </row>
    <row r="2611">
      <c r="A2611" s="24" t="s">
        <v>39</v>
      </c>
      <c r="B2611" s="24" t="s">
        <v>56</v>
      </c>
      <c r="C2611" s="27">
        <v>541.0</v>
      </c>
    </row>
    <row r="2612">
      <c r="A2612" s="24" t="s">
        <v>64</v>
      </c>
      <c r="B2612" s="24" t="s">
        <v>56</v>
      </c>
      <c r="C2612" s="27">
        <v>749.0</v>
      </c>
    </row>
    <row r="2613">
      <c r="A2613" s="24" t="s">
        <v>65</v>
      </c>
      <c r="B2613" s="24" t="s">
        <v>56</v>
      </c>
      <c r="C2613" s="27">
        <v>697.0</v>
      </c>
    </row>
    <row r="2614">
      <c r="A2614" s="24" t="s">
        <v>36</v>
      </c>
      <c r="B2614" s="24" t="s">
        <v>56</v>
      </c>
      <c r="C2614" s="27">
        <v>888.0</v>
      </c>
    </row>
    <row r="2615">
      <c r="A2615" s="24" t="s">
        <v>31</v>
      </c>
      <c r="B2615" s="24" t="s">
        <v>56</v>
      </c>
      <c r="C2615" s="27">
        <v>899.0</v>
      </c>
    </row>
    <row r="2616">
      <c r="A2616" s="24" t="s">
        <v>43</v>
      </c>
      <c r="B2616" s="24" t="s">
        <v>56</v>
      </c>
      <c r="C2616" s="27">
        <v>779.0</v>
      </c>
    </row>
    <row r="2617">
      <c r="A2617" s="24" t="s">
        <v>40</v>
      </c>
      <c r="B2617" s="24" t="s">
        <v>56</v>
      </c>
      <c r="C2617" s="27">
        <v>526.0</v>
      </c>
    </row>
    <row r="2618">
      <c r="A2618" s="24" t="s">
        <v>50</v>
      </c>
      <c r="B2618" s="24" t="s">
        <v>56</v>
      </c>
      <c r="C2618" s="27">
        <v>53.9</v>
      </c>
    </row>
    <row r="2619">
      <c r="A2619" s="24" t="s">
        <v>51</v>
      </c>
      <c r="B2619" s="24" t="s">
        <v>56</v>
      </c>
      <c r="C2619" s="27">
        <v>768.0</v>
      </c>
    </row>
    <row r="2620">
      <c r="A2620" s="24" t="s">
        <v>23</v>
      </c>
      <c r="B2620" s="24" t="s">
        <v>56</v>
      </c>
      <c r="C2620" s="27">
        <v>263.0</v>
      </c>
    </row>
    <row r="2621">
      <c r="A2621" s="24" t="s">
        <v>47</v>
      </c>
      <c r="B2621" s="24" t="s">
        <v>56</v>
      </c>
      <c r="C2621" s="27">
        <v>627.0</v>
      </c>
    </row>
    <row r="2622">
      <c r="A2622" s="24" t="s">
        <v>62</v>
      </c>
      <c r="B2622" s="24" t="s">
        <v>56</v>
      </c>
      <c r="C2622" s="27">
        <v>568.0</v>
      </c>
    </row>
    <row r="2623">
      <c r="A2623" s="24" t="s">
        <v>30</v>
      </c>
      <c r="B2623" s="24" t="s">
        <v>56</v>
      </c>
      <c r="C2623" s="27">
        <v>785.0</v>
      </c>
    </row>
    <row r="2624">
      <c r="A2624" s="24" t="s">
        <v>32</v>
      </c>
      <c r="B2624" s="24" t="s">
        <v>56</v>
      </c>
      <c r="C2624" s="27">
        <v>813.0</v>
      </c>
    </row>
    <row r="2625">
      <c r="A2625" s="24" t="s">
        <v>46</v>
      </c>
      <c r="B2625" s="24" t="s">
        <v>56</v>
      </c>
      <c r="C2625" s="27">
        <v>657.0</v>
      </c>
    </row>
    <row r="2626">
      <c r="A2626" s="24" t="s">
        <v>54</v>
      </c>
      <c r="B2626" s="24" t="s">
        <v>56</v>
      </c>
      <c r="C2626" s="27">
        <v>190.0</v>
      </c>
    </row>
    <row r="2627">
      <c r="A2627" s="24" t="s">
        <v>34</v>
      </c>
      <c r="B2627" s="24" t="s">
        <v>56</v>
      </c>
      <c r="C2627" s="27">
        <v>478.0</v>
      </c>
    </row>
    <row r="2628">
      <c r="A2628" s="24" t="s">
        <v>20</v>
      </c>
      <c r="B2628" s="24" t="s">
        <v>56</v>
      </c>
      <c r="C2628" s="27">
        <v>309.0</v>
      </c>
    </row>
    <row r="2629">
      <c r="A2629" s="24" t="s">
        <v>24</v>
      </c>
      <c r="B2629" s="24" t="s">
        <v>56</v>
      </c>
      <c r="C2629" s="27">
        <v>827.0</v>
      </c>
    </row>
    <row r="2630">
      <c r="A2630" s="24" t="s">
        <v>63</v>
      </c>
      <c r="B2630" s="24" t="s">
        <v>56</v>
      </c>
      <c r="C2630" s="27">
        <v>651.0</v>
      </c>
    </row>
    <row r="2631">
      <c r="A2631" s="24" t="s">
        <v>58</v>
      </c>
      <c r="B2631" s="24" t="s">
        <v>56</v>
      </c>
      <c r="C2631" s="27">
        <v>957.0</v>
      </c>
    </row>
    <row r="2632">
      <c r="A2632" s="24" t="s">
        <v>42</v>
      </c>
      <c r="B2632" s="24" t="s">
        <v>56</v>
      </c>
      <c r="C2632" s="27">
        <v>782.0</v>
      </c>
    </row>
    <row r="2633">
      <c r="A2633" s="24" t="s">
        <v>21</v>
      </c>
      <c r="B2633" s="24" t="s">
        <v>56</v>
      </c>
      <c r="C2633" s="27">
        <v>271.0</v>
      </c>
    </row>
    <row r="2634">
      <c r="A2634" s="24" t="s">
        <v>33</v>
      </c>
      <c r="B2634" s="24" t="s">
        <v>56</v>
      </c>
      <c r="C2634" s="27">
        <v>405.0</v>
      </c>
    </row>
    <row r="2635">
      <c r="A2635" s="24" t="s">
        <v>66</v>
      </c>
      <c r="B2635" s="24" t="s">
        <v>56</v>
      </c>
      <c r="C2635" s="27">
        <v>819.0</v>
      </c>
    </row>
    <row r="2636">
      <c r="A2636" s="24" t="s">
        <v>29</v>
      </c>
      <c r="B2636" s="24" t="s">
        <v>56</v>
      </c>
      <c r="C2636" s="27">
        <v>577.0</v>
      </c>
    </row>
    <row r="2637">
      <c r="A2637" s="24" t="s">
        <v>60</v>
      </c>
      <c r="B2637" s="24" t="s">
        <v>56</v>
      </c>
      <c r="C2637" s="27">
        <v>414.0</v>
      </c>
    </row>
    <row r="2638">
      <c r="A2638" s="24" t="s">
        <v>38</v>
      </c>
      <c r="B2638" s="24" t="s">
        <v>56</v>
      </c>
      <c r="C2638" s="27">
        <v>724.0</v>
      </c>
    </row>
    <row r="2639">
      <c r="A2639" s="24" t="s">
        <v>61</v>
      </c>
      <c r="B2639" s="24" t="s">
        <v>56</v>
      </c>
      <c r="C2639" s="27">
        <v>550.0</v>
      </c>
    </row>
    <row r="2640">
      <c r="A2640" s="24" t="s">
        <v>52</v>
      </c>
      <c r="B2640" s="24" t="s">
        <v>56</v>
      </c>
      <c r="C2640" s="27">
        <v>797.0</v>
      </c>
    </row>
    <row r="2641">
      <c r="A2641" s="24" t="s">
        <v>25</v>
      </c>
      <c r="B2641" s="24" t="s">
        <v>56</v>
      </c>
      <c r="C2641" s="27">
        <v>876.0</v>
      </c>
    </row>
    <row r="2642">
      <c r="A2642" s="24" t="s">
        <v>67</v>
      </c>
      <c r="B2642" s="24" t="s">
        <v>56</v>
      </c>
      <c r="C2642" s="27">
        <v>843.0</v>
      </c>
    </row>
    <row r="2643">
      <c r="A2643" s="24" t="s">
        <v>45</v>
      </c>
      <c r="B2643" s="24" t="s">
        <v>56</v>
      </c>
      <c r="C2643" s="27">
        <v>658.0</v>
      </c>
    </row>
    <row r="2644">
      <c r="A2644" s="24" t="s">
        <v>53</v>
      </c>
      <c r="B2644" s="24" t="s">
        <v>56</v>
      </c>
      <c r="C2644" s="27">
        <v>1019.0</v>
      </c>
    </row>
    <row r="2645">
      <c r="A2645" s="24" t="s">
        <v>26</v>
      </c>
      <c r="B2645" s="24" t="s">
        <v>56</v>
      </c>
      <c r="C2645" s="27">
        <v>911.0</v>
      </c>
    </row>
    <row r="2646">
      <c r="A2646" s="24" t="s">
        <v>28</v>
      </c>
      <c r="B2646" s="24" t="s">
        <v>56</v>
      </c>
      <c r="C2646" s="27">
        <v>685.0</v>
      </c>
    </row>
    <row r="2647">
      <c r="A2647" s="24" t="s">
        <v>55</v>
      </c>
      <c r="B2647" s="24" t="s">
        <v>56</v>
      </c>
      <c r="C2647" s="27">
        <v>59.1</v>
      </c>
    </row>
    <row r="2648">
      <c r="A2648" s="24" t="s">
        <v>48</v>
      </c>
      <c r="B2648" s="24" t="s">
        <v>56</v>
      </c>
      <c r="C2648" s="27">
        <v>668.0</v>
      </c>
    </row>
    <row r="2649">
      <c r="A2649" s="24" t="s">
        <v>56</v>
      </c>
      <c r="B2649" s="24" t="s">
        <v>18</v>
      </c>
      <c r="C2649" s="27">
        <v>597.0</v>
      </c>
    </row>
    <row r="2650">
      <c r="A2650" s="24" t="s">
        <v>56</v>
      </c>
      <c r="B2650" s="24" t="s">
        <v>49</v>
      </c>
      <c r="C2650" s="27">
        <v>365.0</v>
      </c>
    </row>
    <row r="2651">
      <c r="A2651" s="24" t="s">
        <v>56</v>
      </c>
      <c r="B2651" s="24" t="s">
        <v>22</v>
      </c>
      <c r="C2651" s="27">
        <v>285.0</v>
      </c>
    </row>
    <row r="2652">
      <c r="A2652" s="24" t="s">
        <v>56</v>
      </c>
      <c r="B2652" s="24" t="s">
        <v>27</v>
      </c>
      <c r="C2652" s="27">
        <v>634.0</v>
      </c>
    </row>
    <row r="2653">
      <c r="A2653" s="24" t="s">
        <v>56</v>
      </c>
      <c r="B2653" s="24" t="s">
        <v>35</v>
      </c>
      <c r="C2653" s="27">
        <v>894.0</v>
      </c>
    </row>
    <row r="2654">
      <c r="A2654" s="24" t="s">
        <v>56</v>
      </c>
      <c r="B2654" s="24" t="s">
        <v>41</v>
      </c>
      <c r="C2654" s="27">
        <v>844.0</v>
      </c>
    </row>
    <row r="2655">
      <c r="A2655" s="24" t="s">
        <v>56</v>
      </c>
      <c r="B2655" s="24" t="s">
        <v>57</v>
      </c>
      <c r="C2655" s="27">
        <v>856.0</v>
      </c>
    </row>
    <row r="2656">
      <c r="A2656" s="24" t="s">
        <v>56</v>
      </c>
      <c r="B2656" s="24" t="s">
        <v>37</v>
      </c>
      <c r="C2656" s="27">
        <v>563.0</v>
      </c>
    </row>
    <row r="2657">
      <c r="A2657" s="24" t="s">
        <v>56</v>
      </c>
      <c r="B2657" s="24" t="s">
        <v>39</v>
      </c>
      <c r="C2657" s="27">
        <v>520.0</v>
      </c>
    </row>
    <row r="2658">
      <c r="A2658" s="24" t="s">
        <v>56</v>
      </c>
      <c r="B2658" s="24" t="s">
        <v>64</v>
      </c>
      <c r="C2658" s="27">
        <v>753.0</v>
      </c>
    </row>
    <row r="2659">
      <c r="A2659" s="24" t="s">
        <v>56</v>
      </c>
      <c r="B2659" s="24" t="s">
        <v>65</v>
      </c>
      <c r="C2659" s="27">
        <v>699.0</v>
      </c>
    </row>
    <row r="2660">
      <c r="A2660" s="24" t="s">
        <v>56</v>
      </c>
      <c r="B2660" s="24" t="s">
        <v>36</v>
      </c>
      <c r="C2660" s="27">
        <v>891.0</v>
      </c>
    </row>
    <row r="2661">
      <c r="A2661" s="24" t="s">
        <v>56</v>
      </c>
      <c r="B2661" s="24" t="s">
        <v>31</v>
      </c>
      <c r="C2661" s="27">
        <v>891.0</v>
      </c>
    </row>
    <row r="2662">
      <c r="A2662" s="24" t="s">
        <v>56</v>
      </c>
      <c r="B2662" s="24" t="s">
        <v>43</v>
      </c>
      <c r="C2662" s="27">
        <v>783.0</v>
      </c>
    </row>
    <row r="2663">
      <c r="A2663" s="24" t="s">
        <v>56</v>
      </c>
      <c r="B2663" s="24" t="s">
        <v>40</v>
      </c>
      <c r="C2663" s="27">
        <v>520.0</v>
      </c>
    </row>
    <row r="2664">
      <c r="A2664" s="24" t="s">
        <v>56</v>
      </c>
      <c r="B2664" s="24" t="s">
        <v>50</v>
      </c>
      <c r="C2664" s="27">
        <v>54.5</v>
      </c>
    </row>
    <row r="2665">
      <c r="A2665" s="24" t="s">
        <v>56</v>
      </c>
      <c r="B2665" s="24" t="s">
        <v>51</v>
      </c>
      <c r="C2665" s="27">
        <v>687.0</v>
      </c>
    </row>
    <row r="2666">
      <c r="A2666" s="24" t="s">
        <v>56</v>
      </c>
      <c r="B2666" s="24" t="s">
        <v>23</v>
      </c>
      <c r="C2666" s="27">
        <v>266.0</v>
      </c>
    </row>
    <row r="2667">
      <c r="A2667" s="24" t="s">
        <v>56</v>
      </c>
      <c r="B2667" s="24" t="s">
        <v>47</v>
      </c>
      <c r="C2667" s="27">
        <v>630.0</v>
      </c>
    </row>
    <row r="2668">
      <c r="A2668" s="24" t="s">
        <v>56</v>
      </c>
      <c r="B2668" s="24" t="s">
        <v>62</v>
      </c>
      <c r="C2668" s="27">
        <v>571.0</v>
      </c>
    </row>
    <row r="2669">
      <c r="A2669" s="24" t="s">
        <v>56</v>
      </c>
      <c r="B2669" s="24" t="s">
        <v>30</v>
      </c>
      <c r="C2669" s="27">
        <v>777.0</v>
      </c>
    </row>
    <row r="2670">
      <c r="A2670" s="24" t="s">
        <v>56</v>
      </c>
      <c r="B2670" s="24" t="s">
        <v>32</v>
      </c>
      <c r="C2670" s="27">
        <v>806.0</v>
      </c>
    </row>
    <row r="2671">
      <c r="A2671" s="24" t="s">
        <v>56</v>
      </c>
      <c r="B2671" s="24" t="s">
        <v>46</v>
      </c>
      <c r="C2671" s="27">
        <v>661.0</v>
      </c>
    </row>
    <row r="2672">
      <c r="A2672" s="24" t="s">
        <v>56</v>
      </c>
      <c r="B2672" s="24" t="s">
        <v>54</v>
      </c>
      <c r="C2672" s="27">
        <v>182.0</v>
      </c>
    </row>
    <row r="2673">
      <c r="A2673" s="24" t="s">
        <v>56</v>
      </c>
      <c r="B2673" s="24" t="s">
        <v>34</v>
      </c>
      <c r="C2673" s="27">
        <v>481.0</v>
      </c>
    </row>
    <row r="2674">
      <c r="A2674" s="24" t="s">
        <v>56</v>
      </c>
      <c r="B2674" s="24" t="s">
        <v>20</v>
      </c>
      <c r="C2674" s="27">
        <v>312.0</v>
      </c>
    </row>
    <row r="2675">
      <c r="A2675" s="24" t="s">
        <v>56</v>
      </c>
      <c r="B2675" s="24" t="s">
        <v>24</v>
      </c>
      <c r="C2675" s="27">
        <v>744.0</v>
      </c>
    </row>
    <row r="2676">
      <c r="A2676" s="24" t="s">
        <v>56</v>
      </c>
      <c r="B2676" s="24" t="s">
        <v>63</v>
      </c>
      <c r="C2676" s="27">
        <v>643.0</v>
      </c>
    </row>
    <row r="2677">
      <c r="A2677" s="24" t="s">
        <v>56</v>
      </c>
      <c r="B2677" s="24" t="s">
        <v>58</v>
      </c>
      <c r="C2677" s="27">
        <v>872.0</v>
      </c>
    </row>
    <row r="2678">
      <c r="A2678" s="24" t="s">
        <v>56</v>
      </c>
      <c r="B2678" s="24" t="s">
        <v>42</v>
      </c>
      <c r="C2678" s="27">
        <v>785.0</v>
      </c>
    </row>
    <row r="2679">
      <c r="A2679" s="24" t="s">
        <v>56</v>
      </c>
      <c r="B2679" s="24" t="s">
        <v>21</v>
      </c>
      <c r="C2679" s="27">
        <v>274.0</v>
      </c>
    </row>
    <row r="2680">
      <c r="A2680" s="24" t="s">
        <v>56</v>
      </c>
      <c r="B2680" s="24" t="s">
        <v>33</v>
      </c>
      <c r="C2680" s="27">
        <v>409.0</v>
      </c>
    </row>
    <row r="2681">
      <c r="A2681" s="24" t="s">
        <v>56</v>
      </c>
      <c r="B2681" s="24" t="s">
        <v>66</v>
      </c>
      <c r="C2681" s="27">
        <v>822.0</v>
      </c>
    </row>
    <row r="2682">
      <c r="A2682" s="24" t="s">
        <v>56</v>
      </c>
      <c r="B2682" s="24" t="s">
        <v>29</v>
      </c>
      <c r="C2682" s="27">
        <v>576.0</v>
      </c>
    </row>
    <row r="2683">
      <c r="A2683" s="24" t="s">
        <v>56</v>
      </c>
      <c r="B2683" s="24" t="s">
        <v>60</v>
      </c>
      <c r="C2683" s="27">
        <v>417.0</v>
      </c>
    </row>
    <row r="2684">
      <c r="A2684" s="24" t="s">
        <v>56</v>
      </c>
      <c r="B2684" s="24" t="s">
        <v>38</v>
      </c>
      <c r="C2684" s="27">
        <v>649.0</v>
      </c>
    </row>
    <row r="2685">
      <c r="A2685" s="24" t="s">
        <v>56</v>
      </c>
      <c r="B2685" s="24" t="s">
        <v>61</v>
      </c>
      <c r="C2685" s="27">
        <v>553.0</v>
      </c>
    </row>
    <row r="2686">
      <c r="A2686" s="24" t="s">
        <v>56</v>
      </c>
      <c r="B2686" s="24" t="s">
        <v>52</v>
      </c>
      <c r="C2686" s="27">
        <v>715.0</v>
      </c>
    </row>
    <row r="2687">
      <c r="A2687" s="24" t="s">
        <v>56</v>
      </c>
      <c r="B2687" s="24" t="s">
        <v>25</v>
      </c>
      <c r="C2687" s="27">
        <v>795.0</v>
      </c>
    </row>
    <row r="2688">
      <c r="A2688" s="24" t="s">
        <v>56</v>
      </c>
      <c r="B2688" s="24" t="s">
        <v>67</v>
      </c>
      <c r="C2688" s="27">
        <v>760.0</v>
      </c>
    </row>
    <row r="2689">
      <c r="A2689" s="24" t="s">
        <v>56</v>
      </c>
      <c r="B2689" s="24" t="s">
        <v>45</v>
      </c>
      <c r="C2689" s="27">
        <v>661.0</v>
      </c>
    </row>
    <row r="2690">
      <c r="A2690" s="24" t="s">
        <v>56</v>
      </c>
      <c r="B2690" s="24" t="s">
        <v>53</v>
      </c>
      <c r="C2690" s="27">
        <v>943.0</v>
      </c>
    </row>
    <row r="2691">
      <c r="A2691" s="24" t="s">
        <v>56</v>
      </c>
      <c r="B2691" s="24" t="s">
        <v>26</v>
      </c>
      <c r="C2691" s="27">
        <v>828.0</v>
      </c>
    </row>
    <row r="2692">
      <c r="A2692" s="24" t="s">
        <v>56</v>
      </c>
      <c r="B2692" s="24" t="s">
        <v>28</v>
      </c>
      <c r="C2692" s="27">
        <v>603.0</v>
      </c>
    </row>
    <row r="2693">
      <c r="A2693" s="24" t="s">
        <v>56</v>
      </c>
      <c r="B2693" s="24" t="s">
        <v>55</v>
      </c>
      <c r="C2693" s="27">
        <v>59.1</v>
      </c>
    </row>
    <row r="2694">
      <c r="A2694" s="24" t="s">
        <v>56</v>
      </c>
      <c r="B2694" s="24" t="s">
        <v>48</v>
      </c>
      <c r="C2694" s="27">
        <v>671.0</v>
      </c>
    </row>
    <row r="2695">
      <c r="A2695" s="24" t="s">
        <v>56</v>
      </c>
      <c r="B2695" s="24" t="s">
        <v>56</v>
      </c>
      <c r="C2695" s="27">
        <v>0.0</v>
      </c>
    </row>
    <row r="2696">
      <c r="A2696" s="24" t="s">
        <v>56</v>
      </c>
      <c r="B2696" s="24" t="s">
        <v>59</v>
      </c>
      <c r="C2696" s="27">
        <v>825.0</v>
      </c>
    </row>
    <row r="2697">
      <c r="A2697" s="24" t="s">
        <v>56</v>
      </c>
      <c r="B2697" s="24" t="s">
        <v>44</v>
      </c>
      <c r="C2697" s="27">
        <v>630.0</v>
      </c>
    </row>
    <row r="2698">
      <c r="A2698" s="24" t="s">
        <v>56</v>
      </c>
      <c r="B2698" s="24" t="s">
        <v>2036</v>
      </c>
      <c r="C2698" s="27">
        <v>49.9</v>
      </c>
    </row>
    <row r="2699">
      <c r="A2699" s="24" t="s">
        <v>56</v>
      </c>
      <c r="B2699" s="24" t="s">
        <v>2037</v>
      </c>
      <c r="C2699" s="27">
        <v>373.0</v>
      </c>
    </row>
    <row r="2700">
      <c r="A2700" s="24" t="s">
        <v>59</v>
      </c>
      <c r="B2700" s="24" t="s">
        <v>56</v>
      </c>
      <c r="C2700" s="27">
        <v>908.0</v>
      </c>
    </row>
    <row r="2701">
      <c r="A2701" s="24" t="s">
        <v>44</v>
      </c>
      <c r="B2701" s="24" t="s">
        <v>56</v>
      </c>
      <c r="C2701" s="27">
        <v>627.0</v>
      </c>
    </row>
    <row r="2702">
      <c r="A2702" s="24" t="s">
        <v>2036</v>
      </c>
      <c r="B2702" s="24" t="s">
        <v>56</v>
      </c>
      <c r="C2702" s="27">
        <v>49.4</v>
      </c>
    </row>
    <row r="2703">
      <c r="A2703" s="24" t="s">
        <v>2037</v>
      </c>
      <c r="B2703" s="24" t="s">
        <v>56</v>
      </c>
      <c r="C2703" s="27">
        <v>378.0</v>
      </c>
    </row>
    <row r="2704">
      <c r="A2704" s="24" t="s">
        <v>18</v>
      </c>
      <c r="B2704" s="24" t="s">
        <v>68</v>
      </c>
      <c r="C2704" s="27">
        <v>22.8</v>
      </c>
    </row>
    <row r="2705">
      <c r="A2705" s="24" t="s">
        <v>18</v>
      </c>
      <c r="B2705" s="24" t="s">
        <v>69</v>
      </c>
      <c r="C2705" s="27">
        <v>39.8</v>
      </c>
    </row>
    <row r="2706">
      <c r="A2706" s="24" t="s">
        <v>18</v>
      </c>
      <c r="B2706" s="24" t="s">
        <v>70</v>
      </c>
      <c r="C2706" s="27">
        <v>36.5</v>
      </c>
    </row>
    <row r="2707">
      <c r="A2707" s="24" t="s">
        <v>18</v>
      </c>
      <c r="B2707" s="24" t="s">
        <v>71</v>
      </c>
      <c r="C2707" s="27">
        <v>2.0</v>
      </c>
    </row>
    <row r="2708">
      <c r="A2708" s="24" t="s">
        <v>49</v>
      </c>
      <c r="B2708" s="24" t="s">
        <v>68</v>
      </c>
      <c r="C2708" s="27">
        <v>472.0</v>
      </c>
    </row>
    <row r="2709">
      <c r="A2709" s="24" t="s">
        <v>49</v>
      </c>
      <c r="B2709" s="24" t="s">
        <v>69</v>
      </c>
      <c r="C2709" s="27">
        <v>460.0</v>
      </c>
    </row>
    <row r="2710">
      <c r="A2710" s="24" t="s">
        <v>49</v>
      </c>
      <c r="B2710" s="24" t="s">
        <v>70</v>
      </c>
      <c r="C2710" s="27">
        <v>458.0</v>
      </c>
    </row>
    <row r="2711">
      <c r="A2711" s="24" t="s">
        <v>49</v>
      </c>
      <c r="B2711" s="24" t="s">
        <v>71</v>
      </c>
      <c r="C2711" s="27">
        <v>493.0</v>
      </c>
    </row>
    <row r="2712">
      <c r="A2712" s="24" t="s">
        <v>22</v>
      </c>
      <c r="B2712" s="24" t="s">
        <v>68</v>
      </c>
      <c r="C2712" s="27">
        <v>292.0</v>
      </c>
    </row>
    <row r="2713">
      <c r="A2713" s="24" t="s">
        <v>22</v>
      </c>
      <c r="B2713" s="24" t="s">
        <v>69</v>
      </c>
      <c r="C2713" s="27">
        <v>281.0</v>
      </c>
    </row>
    <row r="2714">
      <c r="A2714" s="24" t="s">
        <v>22</v>
      </c>
      <c r="B2714" s="24" t="s">
        <v>70</v>
      </c>
      <c r="C2714" s="27">
        <v>279.0</v>
      </c>
    </row>
    <row r="2715">
      <c r="A2715" s="24" t="s">
        <v>22</v>
      </c>
      <c r="B2715" s="24" t="s">
        <v>71</v>
      </c>
      <c r="C2715" s="27">
        <v>314.0</v>
      </c>
    </row>
    <row r="2716">
      <c r="A2716" s="24" t="s">
        <v>35</v>
      </c>
      <c r="B2716" s="24" t="s">
        <v>68</v>
      </c>
      <c r="C2716" s="27">
        <v>327.0</v>
      </c>
    </row>
    <row r="2717">
      <c r="A2717" s="24" t="s">
        <v>35</v>
      </c>
      <c r="B2717" s="24" t="s">
        <v>69</v>
      </c>
      <c r="C2717" s="27">
        <v>338.0</v>
      </c>
    </row>
    <row r="2718">
      <c r="A2718" s="24" t="s">
        <v>35</v>
      </c>
      <c r="B2718" s="24" t="s">
        <v>70</v>
      </c>
      <c r="C2718" s="27">
        <v>334.0</v>
      </c>
    </row>
    <row r="2719">
      <c r="A2719" s="24" t="s">
        <v>35</v>
      </c>
      <c r="B2719" s="24" t="s">
        <v>71</v>
      </c>
      <c r="C2719" s="27">
        <v>334.0</v>
      </c>
    </row>
    <row r="2720">
      <c r="A2720" s="24" t="s">
        <v>41</v>
      </c>
      <c r="B2720" s="24" t="s">
        <v>68</v>
      </c>
      <c r="C2720" s="27">
        <v>277.0</v>
      </c>
    </row>
    <row r="2721">
      <c r="A2721" s="24" t="s">
        <v>41</v>
      </c>
      <c r="B2721" s="24" t="s">
        <v>69</v>
      </c>
      <c r="C2721" s="27">
        <v>288.0</v>
      </c>
    </row>
    <row r="2722">
      <c r="A2722" s="24" t="s">
        <v>41</v>
      </c>
      <c r="B2722" s="24" t="s">
        <v>70</v>
      </c>
      <c r="C2722" s="27">
        <v>284.0</v>
      </c>
    </row>
    <row r="2723">
      <c r="A2723" s="24" t="s">
        <v>41</v>
      </c>
      <c r="B2723" s="24" t="s">
        <v>71</v>
      </c>
      <c r="C2723" s="27">
        <v>284.0</v>
      </c>
    </row>
    <row r="2724">
      <c r="A2724" s="24" t="s">
        <v>64</v>
      </c>
      <c r="B2724" s="24" t="s">
        <v>68</v>
      </c>
      <c r="C2724" s="27">
        <v>185.0</v>
      </c>
    </row>
    <row r="2725">
      <c r="A2725" s="24" t="s">
        <v>64</v>
      </c>
      <c r="B2725" s="24" t="s">
        <v>69</v>
      </c>
      <c r="C2725" s="27">
        <v>196.0</v>
      </c>
    </row>
    <row r="2726">
      <c r="A2726" s="24" t="s">
        <v>64</v>
      </c>
      <c r="B2726" s="24" t="s">
        <v>70</v>
      </c>
      <c r="C2726" s="27">
        <v>193.0</v>
      </c>
    </row>
    <row r="2727">
      <c r="A2727" s="24" t="s">
        <v>64</v>
      </c>
      <c r="B2727" s="24" t="s">
        <v>71</v>
      </c>
      <c r="C2727" s="27">
        <v>192.0</v>
      </c>
    </row>
    <row r="2728">
      <c r="A2728" s="24" t="s">
        <v>65</v>
      </c>
      <c r="B2728" s="24" t="s">
        <v>68</v>
      </c>
      <c r="C2728" s="27">
        <v>133.0</v>
      </c>
    </row>
    <row r="2729">
      <c r="A2729" s="24" t="s">
        <v>65</v>
      </c>
      <c r="B2729" s="24" t="s">
        <v>69</v>
      </c>
      <c r="C2729" s="27">
        <v>143.0</v>
      </c>
    </row>
    <row r="2730">
      <c r="A2730" s="24" t="s">
        <v>65</v>
      </c>
      <c r="B2730" s="24" t="s">
        <v>70</v>
      </c>
      <c r="C2730" s="27">
        <v>140.0</v>
      </c>
    </row>
    <row r="2731">
      <c r="A2731" s="24" t="s">
        <v>65</v>
      </c>
      <c r="B2731" s="24" t="s">
        <v>71</v>
      </c>
      <c r="C2731" s="27">
        <v>140.0</v>
      </c>
    </row>
    <row r="2732">
      <c r="A2732" s="24" t="s">
        <v>36</v>
      </c>
      <c r="B2732" s="24" t="s">
        <v>68</v>
      </c>
      <c r="C2732" s="27">
        <v>323.0</v>
      </c>
    </row>
    <row r="2733">
      <c r="A2733" s="24" t="s">
        <v>36</v>
      </c>
      <c r="B2733" s="24" t="s">
        <v>69</v>
      </c>
      <c r="C2733" s="27">
        <v>334.0</v>
      </c>
    </row>
    <row r="2734">
      <c r="A2734" s="24" t="s">
        <v>36</v>
      </c>
      <c r="B2734" s="24" t="s">
        <v>70</v>
      </c>
      <c r="C2734" s="27">
        <v>331.0</v>
      </c>
    </row>
    <row r="2735">
      <c r="A2735" s="24" t="s">
        <v>42</v>
      </c>
      <c r="B2735" s="24" t="s">
        <v>69</v>
      </c>
      <c r="C2735" s="27">
        <v>228.0</v>
      </c>
    </row>
    <row r="2736">
      <c r="A2736" s="24" t="s">
        <v>42</v>
      </c>
      <c r="B2736" s="24" t="s">
        <v>70</v>
      </c>
      <c r="C2736" s="27">
        <v>225.0</v>
      </c>
    </row>
    <row r="2737">
      <c r="A2737" s="24" t="s">
        <v>36</v>
      </c>
      <c r="B2737" s="24" t="s">
        <v>71</v>
      </c>
      <c r="C2737" s="27">
        <v>331.0</v>
      </c>
    </row>
    <row r="2738">
      <c r="A2738" s="24" t="s">
        <v>42</v>
      </c>
      <c r="B2738" s="24" t="s">
        <v>71</v>
      </c>
      <c r="C2738" s="27">
        <v>225.0</v>
      </c>
    </row>
    <row r="2739">
      <c r="A2739" s="24" t="s">
        <v>43</v>
      </c>
      <c r="B2739" s="24" t="s">
        <v>68</v>
      </c>
      <c r="C2739" s="27">
        <v>136.0</v>
      </c>
    </row>
    <row r="2740">
      <c r="A2740" s="24" t="s">
        <v>36</v>
      </c>
      <c r="B2740" s="24" t="s">
        <v>71</v>
      </c>
      <c r="C2740" s="27">
        <v>331.0</v>
      </c>
    </row>
    <row r="2741">
      <c r="A2741" s="24" t="s">
        <v>21</v>
      </c>
      <c r="B2741" s="24" t="s">
        <v>68</v>
      </c>
      <c r="C2741" s="27">
        <v>310.0</v>
      </c>
    </row>
    <row r="2742">
      <c r="A2742" s="24" t="s">
        <v>43</v>
      </c>
      <c r="B2742" s="24" t="s">
        <v>69</v>
      </c>
      <c r="C2742" s="27">
        <v>226.0</v>
      </c>
    </row>
    <row r="2743">
      <c r="A2743" s="24" t="s">
        <v>43</v>
      </c>
      <c r="B2743" s="24" t="s">
        <v>68</v>
      </c>
      <c r="C2743" s="27">
        <v>136.0</v>
      </c>
    </row>
    <row r="2744">
      <c r="A2744" s="24" t="s">
        <v>21</v>
      </c>
      <c r="B2744" s="24" t="s">
        <v>69</v>
      </c>
      <c r="C2744" s="27">
        <v>298.0</v>
      </c>
    </row>
    <row r="2745">
      <c r="A2745" s="24" t="s">
        <v>43</v>
      </c>
      <c r="B2745" s="24" t="s">
        <v>70</v>
      </c>
      <c r="C2745" s="27">
        <v>223.0</v>
      </c>
    </row>
    <row r="2746">
      <c r="A2746" s="24" t="s">
        <v>21</v>
      </c>
      <c r="B2746" s="24" t="s">
        <v>70</v>
      </c>
      <c r="C2746" s="27">
        <v>296.0</v>
      </c>
    </row>
    <row r="2747">
      <c r="A2747" s="24" t="s">
        <v>43</v>
      </c>
      <c r="B2747" s="24" t="s">
        <v>69</v>
      </c>
      <c r="C2747" s="27">
        <v>226.0</v>
      </c>
    </row>
    <row r="2748">
      <c r="A2748" s="24" t="s">
        <v>21</v>
      </c>
      <c r="B2748" s="24" t="s">
        <v>71</v>
      </c>
      <c r="C2748" s="27">
        <v>331.0</v>
      </c>
    </row>
    <row r="2749">
      <c r="A2749" s="24" t="s">
        <v>43</v>
      </c>
      <c r="B2749" s="24" t="s">
        <v>71</v>
      </c>
      <c r="C2749" s="27">
        <v>117.0</v>
      </c>
    </row>
    <row r="2750">
      <c r="A2750" s="24" t="s">
        <v>33</v>
      </c>
      <c r="B2750" s="24" t="s">
        <v>68</v>
      </c>
      <c r="C2750" s="27">
        <v>312.0</v>
      </c>
    </row>
    <row r="2751">
      <c r="A2751" s="24" t="s">
        <v>50</v>
      </c>
      <c r="B2751" s="24" t="s">
        <v>68</v>
      </c>
      <c r="C2751" s="27">
        <v>539.0</v>
      </c>
    </row>
    <row r="2752">
      <c r="A2752" s="24" t="s">
        <v>43</v>
      </c>
      <c r="B2752" s="24" t="s">
        <v>70</v>
      </c>
      <c r="C2752" s="27">
        <v>223.0</v>
      </c>
    </row>
    <row r="2753">
      <c r="A2753" s="24" t="s">
        <v>33</v>
      </c>
      <c r="B2753" s="24" t="s">
        <v>69</v>
      </c>
      <c r="C2753" s="27">
        <v>301.0</v>
      </c>
    </row>
    <row r="2754">
      <c r="A2754" s="24" t="s">
        <v>43</v>
      </c>
      <c r="B2754" s="24" t="s">
        <v>71</v>
      </c>
      <c r="C2754" s="27">
        <v>117.0</v>
      </c>
    </row>
    <row r="2755">
      <c r="A2755" s="24" t="s">
        <v>33</v>
      </c>
      <c r="B2755" s="24" t="s">
        <v>70</v>
      </c>
      <c r="C2755" s="27">
        <v>299.0</v>
      </c>
    </row>
    <row r="2756">
      <c r="A2756" s="24" t="s">
        <v>50</v>
      </c>
      <c r="B2756" s="24" t="s">
        <v>68</v>
      </c>
      <c r="C2756" s="27">
        <v>539.0</v>
      </c>
    </row>
    <row r="2757">
      <c r="A2757" s="24" t="s">
        <v>50</v>
      </c>
      <c r="B2757" s="24" t="s">
        <v>70</v>
      </c>
      <c r="C2757" s="27">
        <v>526.0</v>
      </c>
    </row>
    <row r="2758">
      <c r="A2758" s="24" t="s">
        <v>33</v>
      </c>
      <c r="B2758" s="24" t="s">
        <v>71</v>
      </c>
      <c r="C2758" s="27">
        <v>334.0</v>
      </c>
    </row>
    <row r="2759">
      <c r="A2759" s="24" t="s">
        <v>50</v>
      </c>
      <c r="B2759" s="24" t="s">
        <v>69</v>
      </c>
      <c r="C2759" s="27">
        <v>527.0</v>
      </c>
    </row>
    <row r="2760">
      <c r="A2760" s="24" t="s">
        <v>66</v>
      </c>
      <c r="B2760" s="24" t="s">
        <v>68</v>
      </c>
      <c r="C2760" s="27">
        <v>231.0</v>
      </c>
    </row>
    <row r="2761">
      <c r="A2761" s="24" t="s">
        <v>50</v>
      </c>
      <c r="B2761" s="24" t="s">
        <v>70</v>
      </c>
      <c r="C2761" s="27">
        <v>526.0</v>
      </c>
    </row>
    <row r="2762">
      <c r="A2762" s="24" t="s">
        <v>23</v>
      </c>
      <c r="B2762" s="24" t="s">
        <v>68</v>
      </c>
      <c r="C2762" s="27">
        <v>318.0</v>
      </c>
    </row>
    <row r="2763">
      <c r="A2763" s="24" t="s">
        <v>66</v>
      </c>
      <c r="B2763" s="24" t="s">
        <v>69</v>
      </c>
      <c r="C2763" s="27">
        <v>249.0</v>
      </c>
    </row>
    <row r="2764">
      <c r="A2764" s="24" t="s">
        <v>23</v>
      </c>
      <c r="B2764" s="24" t="s">
        <v>69</v>
      </c>
      <c r="C2764" s="27">
        <v>306.0</v>
      </c>
    </row>
    <row r="2765">
      <c r="A2765" s="24" t="s">
        <v>66</v>
      </c>
      <c r="B2765" s="24" t="s">
        <v>70</v>
      </c>
      <c r="C2765" s="27">
        <v>246.0</v>
      </c>
    </row>
    <row r="2766">
      <c r="A2766" s="24" t="s">
        <v>23</v>
      </c>
      <c r="B2766" s="24" t="s">
        <v>68</v>
      </c>
      <c r="C2766" s="27">
        <v>318.0</v>
      </c>
    </row>
    <row r="2767">
      <c r="A2767" s="24" t="s">
        <v>66</v>
      </c>
      <c r="B2767" s="24" t="s">
        <v>71</v>
      </c>
      <c r="C2767" s="27">
        <v>211.0</v>
      </c>
    </row>
    <row r="2768">
      <c r="A2768" s="24" t="s">
        <v>23</v>
      </c>
      <c r="B2768" s="24" t="s">
        <v>69</v>
      </c>
      <c r="C2768" s="27">
        <v>306.0</v>
      </c>
    </row>
    <row r="2769">
      <c r="A2769" s="24" t="s">
        <v>23</v>
      </c>
      <c r="B2769" s="24" t="s">
        <v>70</v>
      </c>
      <c r="C2769" s="27">
        <v>304.0</v>
      </c>
    </row>
    <row r="2770">
      <c r="A2770" s="24" t="s">
        <v>60</v>
      </c>
      <c r="B2770" s="24" t="s">
        <v>68</v>
      </c>
      <c r="C2770" s="27">
        <v>160.0</v>
      </c>
    </row>
    <row r="2771">
      <c r="A2771" s="24" t="s">
        <v>23</v>
      </c>
      <c r="B2771" s="24" t="s">
        <v>71</v>
      </c>
      <c r="C2771" s="27">
        <v>339.0</v>
      </c>
    </row>
    <row r="2772">
      <c r="A2772" s="24" t="s">
        <v>60</v>
      </c>
      <c r="B2772" s="24" t="s">
        <v>69</v>
      </c>
      <c r="C2772" s="27">
        <v>148.0</v>
      </c>
    </row>
    <row r="2773">
      <c r="A2773" s="24" t="s">
        <v>54</v>
      </c>
      <c r="B2773" s="24" t="s">
        <v>68</v>
      </c>
      <c r="C2773" s="27">
        <v>383.0</v>
      </c>
    </row>
    <row r="2774">
      <c r="A2774" s="24" t="s">
        <v>54</v>
      </c>
      <c r="B2774" s="24" t="s">
        <v>68</v>
      </c>
      <c r="C2774" s="27">
        <v>383.0</v>
      </c>
    </row>
    <row r="2775">
      <c r="A2775" s="24" t="s">
        <v>60</v>
      </c>
      <c r="B2775" s="24" t="s">
        <v>70</v>
      </c>
      <c r="C2775" s="27">
        <v>147.0</v>
      </c>
    </row>
    <row r="2776">
      <c r="A2776" s="24" t="s">
        <v>54</v>
      </c>
      <c r="B2776" s="24" t="s">
        <v>69</v>
      </c>
      <c r="C2776" s="27">
        <v>371.0</v>
      </c>
    </row>
    <row r="2777">
      <c r="A2777" s="24" t="s">
        <v>60</v>
      </c>
      <c r="B2777" s="24" t="s">
        <v>71</v>
      </c>
      <c r="C2777" s="27">
        <v>181.0</v>
      </c>
    </row>
    <row r="2778">
      <c r="A2778" s="24" t="s">
        <v>54</v>
      </c>
      <c r="B2778" s="24" t="s">
        <v>70</v>
      </c>
      <c r="C2778" s="27">
        <v>370.0</v>
      </c>
    </row>
    <row r="2779">
      <c r="A2779" s="24" t="s">
        <v>45</v>
      </c>
      <c r="B2779" s="24" t="s">
        <v>68</v>
      </c>
      <c r="C2779" s="27">
        <v>93.0</v>
      </c>
    </row>
    <row r="2780">
      <c r="A2780" s="24" t="s">
        <v>54</v>
      </c>
      <c r="B2780" s="24" t="s">
        <v>71</v>
      </c>
      <c r="C2780" s="27">
        <v>404.0</v>
      </c>
    </row>
    <row r="2781">
      <c r="A2781" s="24" t="s">
        <v>54</v>
      </c>
      <c r="B2781" s="24" t="s">
        <v>71</v>
      </c>
      <c r="C2781" s="27">
        <v>404.0</v>
      </c>
    </row>
    <row r="2782">
      <c r="A2782" s="24" t="s">
        <v>45</v>
      </c>
      <c r="B2782" s="24" t="s">
        <v>69</v>
      </c>
      <c r="C2782" s="27">
        <v>104.0</v>
      </c>
    </row>
    <row r="2783">
      <c r="A2783" s="24" t="s">
        <v>45</v>
      </c>
      <c r="B2783" s="24" t="s">
        <v>70</v>
      </c>
      <c r="C2783" s="27">
        <v>101.0</v>
      </c>
    </row>
    <row r="2784">
      <c r="A2784" s="24" t="s">
        <v>34</v>
      </c>
      <c r="B2784" s="24" t="s">
        <v>68</v>
      </c>
      <c r="C2784" s="27">
        <v>99.5</v>
      </c>
    </row>
    <row r="2785">
      <c r="A2785" s="24" t="s">
        <v>34</v>
      </c>
      <c r="B2785" s="24" t="s">
        <v>69</v>
      </c>
      <c r="C2785" s="27">
        <v>87.9</v>
      </c>
    </row>
    <row r="2786">
      <c r="A2786" s="24" t="s">
        <v>34</v>
      </c>
      <c r="B2786" s="24" t="s">
        <v>69</v>
      </c>
      <c r="C2786" s="27">
        <v>87.9</v>
      </c>
    </row>
    <row r="2787">
      <c r="A2787" s="24" t="s">
        <v>34</v>
      </c>
      <c r="B2787" s="24" t="s">
        <v>70</v>
      </c>
      <c r="C2787" s="27">
        <v>86.0</v>
      </c>
    </row>
    <row r="2788">
      <c r="A2788" s="24" t="s">
        <v>34</v>
      </c>
      <c r="B2788" s="24" t="s">
        <v>70</v>
      </c>
      <c r="C2788" s="27">
        <v>86.0</v>
      </c>
    </row>
    <row r="2789">
      <c r="A2789" s="24" t="s">
        <v>55</v>
      </c>
      <c r="B2789" s="24" t="s">
        <v>69</v>
      </c>
      <c r="C2789" s="27">
        <v>505.0</v>
      </c>
    </row>
    <row r="2790">
      <c r="A2790" s="24" t="s">
        <v>34</v>
      </c>
      <c r="B2790" s="24" t="s">
        <v>71</v>
      </c>
      <c r="C2790" s="27">
        <v>121.0</v>
      </c>
    </row>
    <row r="2791">
      <c r="A2791" s="24" t="s">
        <v>20</v>
      </c>
      <c r="B2791" s="24" t="s">
        <v>68</v>
      </c>
      <c r="C2791" s="27">
        <v>306.0</v>
      </c>
    </row>
    <row r="2792">
      <c r="A2792" s="24" t="s">
        <v>20</v>
      </c>
      <c r="B2792" s="24" t="s">
        <v>68</v>
      </c>
      <c r="C2792" s="27">
        <v>306.0</v>
      </c>
    </row>
    <row r="2793">
      <c r="A2793" s="24" t="s">
        <v>55</v>
      </c>
      <c r="B2793" s="24" t="s">
        <v>71</v>
      </c>
      <c r="C2793" s="27">
        <v>537.0</v>
      </c>
    </row>
    <row r="2794">
      <c r="A2794" s="24" t="s">
        <v>20</v>
      </c>
      <c r="B2794" s="24" t="s">
        <v>69</v>
      </c>
      <c r="C2794" s="27">
        <v>295.0</v>
      </c>
    </row>
    <row r="2795">
      <c r="A2795" s="24" t="s">
        <v>56</v>
      </c>
      <c r="B2795" s="24" t="s">
        <v>68</v>
      </c>
      <c r="C2795" s="27">
        <v>575.0</v>
      </c>
    </row>
    <row r="2796">
      <c r="A2796" s="24" t="s">
        <v>20</v>
      </c>
      <c r="B2796" s="24" t="s">
        <v>70</v>
      </c>
      <c r="C2796" s="27">
        <v>293.0</v>
      </c>
    </row>
    <row r="2797">
      <c r="A2797" s="24" t="s">
        <v>56</v>
      </c>
      <c r="B2797" s="24" t="s">
        <v>69</v>
      </c>
      <c r="C2797" s="27">
        <v>564.0</v>
      </c>
    </row>
    <row r="2798">
      <c r="A2798" s="24" t="s">
        <v>20</v>
      </c>
      <c r="B2798" s="24" t="s">
        <v>70</v>
      </c>
      <c r="C2798" s="27">
        <v>293.0</v>
      </c>
    </row>
    <row r="2799">
      <c r="A2799" s="24" t="s">
        <v>20</v>
      </c>
      <c r="B2799" s="24" t="s">
        <v>71</v>
      </c>
      <c r="C2799" s="27">
        <v>328.0</v>
      </c>
    </row>
    <row r="2800">
      <c r="A2800" s="24" t="s">
        <v>20</v>
      </c>
      <c r="B2800" s="24" t="s">
        <v>71</v>
      </c>
      <c r="C2800" s="27">
        <v>328.0</v>
      </c>
    </row>
    <row r="2801">
      <c r="A2801" s="24" t="s">
        <v>56</v>
      </c>
      <c r="B2801" s="24" t="s">
        <v>70</v>
      </c>
      <c r="C2801" s="27">
        <v>562.0</v>
      </c>
    </row>
    <row r="2802">
      <c r="A2802" s="24" t="s">
        <v>42</v>
      </c>
      <c r="B2802" s="24" t="s">
        <v>68</v>
      </c>
      <c r="C2802" s="27">
        <v>218.0</v>
      </c>
    </row>
    <row r="2803">
      <c r="A2803" s="24" t="s">
        <v>56</v>
      </c>
      <c r="B2803" s="24" t="s">
        <v>71</v>
      </c>
      <c r="C2803" s="27">
        <v>597.0</v>
      </c>
    </row>
    <row r="2804">
      <c r="A2804" s="24" t="s">
        <v>44</v>
      </c>
      <c r="B2804" s="24" t="s">
        <v>68</v>
      </c>
      <c r="C2804" s="27">
        <v>54.9</v>
      </c>
    </row>
    <row r="2805">
      <c r="A2805" s="24" t="s">
        <v>42</v>
      </c>
      <c r="B2805" s="24" t="s">
        <v>70</v>
      </c>
      <c r="C2805" s="27">
        <v>225.0</v>
      </c>
    </row>
    <row r="2806">
      <c r="A2806" s="24" t="s">
        <v>44</v>
      </c>
      <c r="B2806" s="24" t="s">
        <v>69</v>
      </c>
      <c r="C2806" s="27">
        <v>73.3</v>
      </c>
    </row>
    <row r="2807">
      <c r="A2807" s="24" t="s">
        <v>42</v>
      </c>
      <c r="B2807" s="24" t="s">
        <v>71</v>
      </c>
      <c r="C2807" s="27">
        <v>225.0</v>
      </c>
    </row>
    <row r="2808">
      <c r="A2808" s="24" t="s">
        <v>44</v>
      </c>
      <c r="B2808" s="24" t="s">
        <v>70</v>
      </c>
      <c r="C2808" s="27">
        <v>70.1</v>
      </c>
    </row>
    <row r="2809">
      <c r="A2809" s="24" t="s">
        <v>44</v>
      </c>
      <c r="B2809" s="24" t="s">
        <v>71</v>
      </c>
      <c r="C2809" s="27">
        <v>35.5</v>
      </c>
    </row>
    <row r="2810">
      <c r="A2810" s="24" t="s">
        <v>42</v>
      </c>
      <c r="B2810" s="24" t="s">
        <v>71</v>
      </c>
      <c r="C2810" s="27">
        <v>225.0</v>
      </c>
    </row>
    <row r="2811">
      <c r="A2811" s="24" t="s">
        <v>27</v>
      </c>
      <c r="B2811" s="24" t="s">
        <v>68</v>
      </c>
      <c r="C2811" s="27">
        <v>289.0</v>
      </c>
    </row>
    <row r="2812">
      <c r="A2812" s="24" t="s">
        <v>21</v>
      </c>
      <c r="B2812" s="24" t="s">
        <v>68</v>
      </c>
      <c r="C2812" s="27">
        <v>310.0</v>
      </c>
    </row>
    <row r="2813">
      <c r="A2813" s="24" t="s">
        <v>27</v>
      </c>
      <c r="B2813" s="24" t="s">
        <v>69</v>
      </c>
      <c r="C2813" s="27">
        <v>278.0</v>
      </c>
    </row>
    <row r="2814">
      <c r="A2814" s="24" t="s">
        <v>21</v>
      </c>
      <c r="B2814" s="24" t="s">
        <v>69</v>
      </c>
      <c r="C2814" s="27">
        <v>298.0</v>
      </c>
    </row>
    <row r="2815">
      <c r="A2815" s="24" t="s">
        <v>21</v>
      </c>
      <c r="B2815" s="24" t="s">
        <v>69</v>
      </c>
      <c r="C2815" s="27">
        <v>298.0</v>
      </c>
    </row>
    <row r="2816">
      <c r="A2816" s="24" t="s">
        <v>27</v>
      </c>
      <c r="B2816" s="24" t="s">
        <v>70</v>
      </c>
      <c r="C2816" s="27">
        <v>276.0</v>
      </c>
    </row>
    <row r="2817">
      <c r="A2817" s="24" t="s">
        <v>21</v>
      </c>
      <c r="B2817" s="24" t="s">
        <v>70</v>
      </c>
      <c r="C2817" s="27">
        <v>296.0</v>
      </c>
    </row>
    <row r="2818">
      <c r="A2818" s="24" t="s">
        <v>21</v>
      </c>
      <c r="B2818" s="24" t="s">
        <v>71</v>
      </c>
      <c r="C2818" s="27">
        <v>331.0</v>
      </c>
    </row>
    <row r="2819">
      <c r="A2819" s="24" t="s">
        <v>27</v>
      </c>
      <c r="B2819" s="24" t="s">
        <v>71</v>
      </c>
      <c r="C2819" s="27">
        <v>311.0</v>
      </c>
    </row>
    <row r="2820">
      <c r="A2820" s="24" t="s">
        <v>21</v>
      </c>
      <c r="B2820" s="24" t="s">
        <v>71</v>
      </c>
      <c r="C2820" s="27">
        <v>331.0</v>
      </c>
    </row>
    <row r="2821">
      <c r="A2821" s="24" t="s">
        <v>57</v>
      </c>
      <c r="B2821" s="24" t="s">
        <v>68</v>
      </c>
      <c r="C2821" s="27">
        <v>484.0</v>
      </c>
    </row>
    <row r="2822">
      <c r="A2822" s="24" t="s">
        <v>33</v>
      </c>
      <c r="B2822" s="24" t="s">
        <v>68</v>
      </c>
      <c r="C2822" s="27">
        <v>312.0</v>
      </c>
    </row>
    <row r="2823">
      <c r="A2823" s="24" t="s">
        <v>57</v>
      </c>
      <c r="B2823" s="24" t="s">
        <v>69</v>
      </c>
      <c r="C2823" s="27">
        <v>472.0</v>
      </c>
    </row>
    <row r="2824">
      <c r="A2824" s="24" t="s">
        <v>33</v>
      </c>
      <c r="B2824" s="24" t="s">
        <v>69</v>
      </c>
      <c r="C2824" s="27">
        <v>301.0</v>
      </c>
    </row>
    <row r="2825">
      <c r="A2825" s="24" t="s">
        <v>33</v>
      </c>
      <c r="B2825" s="24" t="s">
        <v>69</v>
      </c>
      <c r="C2825" s="27">
        <v>301.0</v>
      </c>
    </row>
    <row r="2826">
      <c r="A2826" s="24" t="s">
        <v>57</v>
      </c>
      <c r="B2826" s="24" t="s">
        <v>70</v>
      </c>
      <c r="C2826" s="27">
        <v>471.0</v>
      </c>
    </row>
    <row r="2827">
      <c r="A2827" s="24" t="s">
        <v>33</v>
      </c>
      <c r="B2827" s="24" t="s">
        <v>70</v>
      </c>
      <c r="C2827" s="27">
        <v>299.0</v>
      </c>
    </row>
    <row r="2828">
      <c r="A2828" s="24" t="s">
        <v>33</v>
      </c>
      <c r="B2828" s="24" t="s">
        <v>70</v>
      </c>
      <c r="C2828" s="27">
        <v>299.0</v>
      </c>
    </row>
    <row r="2829">
      <c r="A2829" s="24" t="s">
        <v>57</v>
      </c>
      <c r="B2829" s="24" t="s">
        <v>71</v>
      </c>
      <c r="C2829" s="27">
        <v>505.0</v>
      </c>
    </row>
    <row r="2830">
      <c r="A2830" s="24" t="s">
        <v>33</v>
      </c>
      <c r="B2830" s="24" t="s">
        <v>71</v>
      </c>
      <c r="C2830" s="27">
        <v>334.0</v>
      </c>
    </row>
    <row r="2831">
      <c r="A2831" s="24" t="s">
        <v>66</v>
      </c>
      <c r="B2831" s="24" t="s">
        <v>68</v>
      </c>
      <c r="C2831" s="27">
        <v>231.0</v>
      </c>
    </row>
    <row r="2832">
      <c r="A2832" s="24" t="s">
        <v>37</v>
      </c>
      <c r="B2832" s="24" t="s">
        <v>68</v>
      </c>
      <c r="C2832" s="27">
        <v>263.0</v>
      </c>
    </row>
    <row r="2833">
      <c r="A2833" s="24" t="s">
        <v>66</v>
      </c>
      <c r="B2833" s="24" t="s">
        <v>69</v>
      </c>
      <c r="C2833" s="27">
        <v>249.0</v>
      </c>
    </row>
    <row r="2834">
      <c r="A2834" s="24" t="s">
        <v>66</v>
      </c>
      <c r="B2834" s="24" t="s">
        <v>69</v>
      </c>
      <c r="C2834" s="27">
        <v>249.0</v>
      </c>
    </row>
    <row r="2835">
      <c r="A2835" s="24" t="s">
        <v>37</v>
      </c>
      <c r="B2835" s="24" t="s">
        <v>69</v>
      </c>
      <c r="C2835" s="27">
        <v>251.0</v>
      </c>
    </row>
    <row r="2836">
      <c r="A2836" s="24" t="s">
        <v>37</v>
      </c>
      <c r="B2836" s="24" t="s">
        <v>70</v>
      </c>
      <c r="C2836" s="27">
        <v>250.0</v>
      </c>
    </row>
    <row r="2837">
      <c r="A2837" s="24" t="s">
        <v>66</v>
      </c>
      <c r="B2837" s="24" t="s">
        <v>70</v>
      </c>
      <c r="C2837" s="27">
        <v>246.0</v>
      </c>
    </row>
    <row r="2838">
      <c r="A2838" s="24" t="s">
        <v>66</v>
      </c>
      <c r="B2838" s="24" t="s">
        <v>71</v>
      </c>
      <c r="C2838" s="27">
        <v>211.0</v>
      </c>
    </row>
    <row r="2839">
      <c r="A2839" s="24" t="s">
        <v>66</v>
      </c>
      <c r="B2839" s="24" t="s">
        <v>71</v>
      </c>
      <c r="C2839" s="27">
        <v>211.0</v>
      </c>
    </row>
    <row r="2840">
      <c r="A2840" s="24" t="s">
        <v>60</v>
      </c>
      <c r="B2840" s="24" t="s">
        <v>68</v>
      </c>
      <c r="C2840" s="27">
        <v>160.0</v>
      </c>
    </row>
    <row r="2841">
      <c r="A2841" s="24" t="s">
        <v>60</v>
      </c>
      <c r="B2841" s="24" t="s">
        <v>68</v>
      </c>
      <c r="C2841" s="27">
        <v>160.0</v>
      </c>
    </row>
    <row r="2842">
      <c r="A2842" s="24" t="s">
        <v>39</v>
      </c>
      <c r="B2842" s="24" t="s">
        <v>68</v>
      </c>
      <c r="C2842" s="27">
        <v>246.0</v>
      </c>
    </row>
    <row r="2843">
      <c r="A2843" s="24" t="s">
        <v>60</v>
      </c>
      <c r="B2843" s="24" t="s">
        <v>69</v>
      </c>
      <c r="C2843" s="27">
        <v>148.0</v>
      </c>
    </row>
    <row r="2844">
      <c r="A2844" s="24" t="s">
        <v>60</v>
      </c>
      <c r="B2844" s="24" t="s">
        <v>69</v>
      </c>
      <c r="C2844" s="27">
        <v>148.0</v>
      </c>
    </row>
    <row r="2845">
      <c r="A2845" s="24" t="s">
        <v>39</v>
      </c>
      <c r="B2845" s="24" t="s">
        <v>69</v>
      </c>
      <c r="C2845" s="27">
        <v>235.0</v>
      </c>
    </row>
    <row r="2846">
      <c r="A2846" s="24" t="s">
        <v>60</v>
      </c>
      <c r="B2846" s="24" t="s">
        <v>70</v>
      </c>
      <c r="C2846" s="27">
        <v>147.0</v>
      </c>
    </row>
    <row r="2847">
      <c r="A2847" s="24" t="s">
        <v>60</v>
      </c>
      <c r="B2847" s="24" t="s">
        <v>70</v>
      </c>
      <c r="C2847" s="27">
        <v>147.0</v>
      </c>
    </row>
    <row r="2848">
      <c r="A2848" s="24" t="s">
        <v>60</v>
      </c>
      <c r="B2848" s="24" t="s">
        <v>71</v>
      </c>
      <c r="C2848" s="27">
        <v>181.0</v>
      </c>
    </row>
    <row r="2849">
      <c r="A2849" s="24" t="s">
        <v>39</v>
      </c>
      <c r="B2849" s="24" t="s">
        <v>70</v>
      </c>
      <c r="C2849" s="27">
        <v>233.0</v>
      </c>
    </row>
    <row r="2850">
      <c r="A2850" s="24" t="s">
        <v>45</v>
      </c>
      <c r="B2850" s="24" t="s">
        <v>68</v>
      </c>
      <c r="C2850" s="27">
        <v>93.0</v>
      </c>
    </row>
    <row r="2851">
      <c r="A2851" s="24" t="s">
        <v>45</v>
      </c>
      <c r="B2851" s="24" t="s">
        <v>69</v>
      </c>
      <c r="C2851" s="27">
        <v>104.0</v>
      </c>
    </row>
    <row r="2852">
      <c r="A2852" s="24" t="s">
        <v>39</v>
      </c>
      <c r="B2852" s="24" t="s">
        <v>71</v>
      </c>
      <c r="C2852" s="27">
        <v>267.0</v>
      </c>
    </row>
    <row r="2853">
      <c r="A2853" s="24" t="s">
        <v>45</v>
      </c>
      <c r="B2853" s="24" t="s">
        <v>70</v>
      </c>
      <c r="C2853" s="27">
        <v>101.0</v>
      </c>
    </row>
    <row r="2854">
      <c r="A2854" s="24" t="s">
        <v>31</v>
      </c>
      <c r="B2854" s="24" t="s">
        <v>68</v>
      </c>
      <c r="C2854" s="27">
        <v>448.0</v>
      </c>
    </row>
    <row r="2855">
      <c r="A2855" s="24" t="s">
        <v>45</v>
      </c>
      <c r="B2855" s="24" t="s">
        <v>69</v>
      </c>
      <c r="C2855" s="27">
        <v>104.0</v>
      </c>
    </row>
    <row r="2856">
      <c r="A2856" s="24" t="s">
        <v>31</v>
      </c>
      <c r="B2856" s="24" t="s">
        <v>69</v>
      </c>
      <c r="C2856" s="27">
        <v>436.0</v>
      </c>
    </row>
    <row r="2857">
      <c r="A2857" s="24" t="s">
        <v>55</v>
      </c>
      <c r="B2857" s="24" t="s">
        <v>68</v>
      </c>
      <c r="C2857" s="27">
        <v>516.0</v>
      </c>
    </row>
    <row r="2858">
      <c r="A2858" s="24" t="s">
        <v>31</v>
      </c>
      <c r="B2858" s="24" t="s">
        <v>70</v>
      </c>
      <c r="C2858" s="27">
        <v>435.0</v>
      </c>
    </row>
    <row r="2859">
      <c r="A2859" s="24" t="s">
        <v>55</v>
      </c>
      <c r="B2859" s="24" t="s">
        <v>69</v>
      </c>
      <c r="C2859" s="27">
        <v>505.0</v>
      </c>
    </row>
    <row r="2860">
      <c r="A2860" s="24" t="s">
        <v>45</v>
      </c>
      <c r="B2860" s="24" t="s">
        <v>70</v>
      </c>
      <c r="C2860" s="27">
        <v>101.0</v>
      </c>
    </row>
    <row r="2861">
      <c r="A2861" s="24" t="s">
        <v>31</v>
      </c>
      <c r="B2861" s="24" t="s">
        <v>71</v>
      </c>
      <c r="C2861" s="27">
        <v>469.0</v>
      </c>
    </row>
    <row r="2862">
      <c r="A2862" s="24" t="s">
        <v>55</v>
      </c>
      <c r="B2862" s="24" t="s">
        <v>70</v>
      </c>
      <c r="C2862" s="27">
        <v>503.0</v>
      </c>
    </row>
    <row r="2863">
      <c r="A2863" s="24" t="s">
        <v>45</v>
      </c>
      <c r="B2863" s="24" t="s">
        <v>71</v>
      </c>
      <c r="C2863" s="27">
        <v>100.0</v>
      </c>
    </row>
    <row r="2864">
      <c r="A2864" s="24" t="s">
        <v>40</v>
      </c>
      <c r="B2864" s="24" t="s">
        <v>69</v>
      </c>
      <c r="C2864" s="27">
        <v>167.0</v>
      </c>
    </row>
    <row r="2865">
      <c r="A2865" s="24" t="s">
        <v>55</v>
      </c>
      <c r="B2865" s="24" t="s">
        <v>71</v>
      </c>
      <c r="C2865" s="27">
        <v>537.0</v>
      </c>
    </row>
    <row r="2866">
      <c r="A2866" s="24" t="s">
        <v>55</v>
      </c>
      <c r="B2866" s="24" t="s">
        <v>69</v>
      </c>
      <c r="C2866" s="27">
        <v>505.0</v>
      </c>
    </row>
    <row r="2867">
      <c r="A2867" s="24" t="s">
        <v>40</v>
      </c>
      <c r="B2867" s="24" t="s">
        <v>70</v>
      </c>
      <c r="C2867" s="27">
        <v>165.0</v>
      </c>
    </row>
    <row r="2868">
      <c r="A2868" s="24" t="s">
        <v>56</v>
      </c>
      <c r="B2868" s="24" t="s">
        <v>68</v>
      </c>
      <c r="C2868" s="27">
        <v>575.0</v>
      </c>
    </row>
    <row r="2869">
      <c r="A2869" s="24" t="s">
        <v>56</v>
      </c>
      <c r="B2869" s="24" t="s">
        <v>69</v>
      </c>
      <c r="C2869" s="27">
        <v>564.0</v>
      </c>
    </row>
    <row r="2870">
      <c r="A2870" s="24" t="s">
        <v>55</v>
      </c>
      <c r="B2870" s="24" t="s">
        <v>70</v>
      </c>
      <c r="C2870" s="27">
        <v>503.0</v>
      </c>
    </row>
    <row r="2871">
      <c r="A2871" s="24" t="s">
        <v>40</v>
      </c>
      <c r="B2871" s="24" t="s">
        <v>71</v>
      </c>
      <c r="C2871" s="27">
        <v>200.0</v>
      </c>
    </row>
    <row r="2872">
      <c r="A2872" s="24" t="s">
        <v>56</v>
      </c>
      <c r="B2872" s="24" t="s">
        <v>70</v>
      </c>
      <c r="C2872" s="27">
        <v>562.0</v>
      </c>
    </row>
    <row r="2873">
      <c r="A2873" s="24" t="s">
        <v>56</v>
      </c>
      <c r="B2873" s="24" t="s">
        <v>71</v>
      </c>
      <c r="C2873" s="27">
        <v>597.0</v>
      </c>
    </row>
    <row r="2874">
      <c r="A2874" s="24" t="s">
        <v>51</v>
      </c>
      <c r="B2874" s="24" t="s">
        <v>68</v>
      </c>
      <c r="C2874" s="27">
        <v>311.0</v>
      </c>
    </row>
    <row r="2875">
      <c r="A2875" s="24" t="s">
        <v>56</v>
      </c>
      <c r="B2875" s="24" t="s">
        <v>68</v>
      </c>
      <c r="C2875" s="27">
        <v>575.0</v>
      </c>
    </row>
    <row r="2876">
      <c r="A2876" s="24" t="s">
        <v>44</v>
      </c>
      <c r="B2876" s="24" t="s">
        <v>68</v>
      </c>
      <c r="C2876" s="27">
        <v>54.9</v>
      </c>
    </row>
    <row r="2877">
      <c r="A2877" s="24" t="s">
        <v>56</v>
      </c>
      <c r="B2877" s="24" t="s">
        <v>69</v>
      </c>
      <c r="C2877" s="27">
        <v>564.0</v>
      </c>
    </row>
    <row r="2878">
      <c r="A2878" s="24" t="s">
        <v>44</v>
      </c>
      <c r="B2878" s="24" t="s">
        <v>69</v>
      </c>
      <c r="C2878" s="27">
        <v>73.3</v>
      </c>
    </row>
    <row r="2879">
      <c r="A2879" s="24" t="s">
        <v>51</v>
      </c>
      <c r="B2879" s="24" t="s">
        <v>70</v>
      </c>
      <c r="C2879" s="27">
        <v>297.0</v>
      </c>
    </row>
    <row r="2880">
      <c r="A2880" s="24" t="s">
        <v>44</v>
      </c>
      <c r="B2880" s="24" t="s">
        <v>70</v>
      </c>
      <c r="C2880" s="27">
        <v>70.1</v>
      </c>
    </row>
    <row r="2881">
      <c r="A2881" s="24" t="s">
        <v>51</v>
      </c>
      <c r="B2881" s="24" t="s">
        <v>71</v>
      </c>
      <c r="C2881" s="27">
        <v>332.0</v>
      </c>
    </row>
    <row r="2882">
      <c r="A2882" s="24" t="s">
        <v>47</v>
      </c>
      <c r="B2882" s="24" t="s">
        <v>68</v>
      </c>
      <c r="C2882" s="27">
        <v>62.7</v>
      </c>
    </row>
    <row r="2883">
      <c r="A2883" s="24" t="s">
        <v>27</v>
      </c>
      <c r="B2883" s="24" t="s">
        <v>68</v>
      </c>
      <c r="C2883" s="27">
        <v>289.0</v>
      </c>
    </row>
    <row r="2884">
      <c r="A2884" s="24" t="s">
        <v>56</v>
      </c>
      <c r="B2884" s="24" t="s">
        <v>71</v>
      </c>
      <c r="C2884" s="27">
        <v>597.0</v>
      </c>
    </row>
    <row r="2885">
      <c r="A2885" s="24" t="s">
        <v>44</v>
      </c>
      <c r="B2885" s="24" t="s">
        <v>68</v>
      </c>
      <c r="C2885" s="27">
        <v>54.9</v>
      </c>
    </row>
    <row r="2886">
      <c r="A2886" s="24" t="s">
        <v>47</v>
      </c>
      <c r="B2886" s="24" t="s">
        <v>70</v>
      </c>
      <c r="C2886" s="27">
        <v>70.3</v>
      </c>
    </row>
    <row r="2887">
      <c r="A2887" s="24" t="s">
        <v>27</v>
      </c>
      <c r="B2887" s="24" t="s">
        <v>70</v>
      </c>
      <c r="C2887" s="27">
        <v>276.0</v>
      </c>
    </row>
    <row r="2888">
      <c r="A2888" s="24" t="s">
        <v>47</v>
      </c>
      <c r="B2888" s="24" t="s">
        <v>71</v>
      </c>
      <c r="C2888" s="27">
        <v>69.7</v>
      </c>
    </row>
    <row r="2889">
      <c r="A2889" s="24" t="s">
        <v>44</v>
      </c>
      <c r="B2889" s="24" t="s">
        <v>70</v>
      </c>
      <c r="C2889" s="27">
        <v>70.1</v>
      </c>
    </row>
    <row r="2890">
      <c r="A2890" s="24" t="s">
        <v>27</v>
      </c>
      <c r="B2890" s="24" t="s">
        <v>71</v>
      </c>
      <c r="C2890" s="27">
        <v>311.0</v>
      </c>
    </row>
    <row r="2891">
      <c r="A2891" s="24" t="s">
        <v>62</v>
      </c>
      <c r="B2891" s="24" t="s">
        <v>68</v>
      </c>
      <c r="C2891" s="27">
        <v>18.0</v>
      </c>
    </row>
    <row r="2892">
      <c r="A2892" s="24" t="s">
        <v>62</v>
      </c>
      <c r="B2892" s="24" t="s">
        <v>69</v>
      </c>
      <c r="C2892" s="27">
        <v>10.6</v>
      </c>
    </row>
    <row r="2893">
      <c r="A2893" s="24" t="s">
        <v>44</v>
      </c>
      <c r="B2893" s="24" t="s">
        <v>71</v>
      </c>
      <c r="C2893" s="27">
        <v>35.5</v>
      </c>
    </row>
    <row r="2894">
      <c r="A2894" s="24" t="s">
        <v>27</v>
      </c>
      <c r="B2894" s="24" t="s">
        <v>68</v>
      </c>
      <c r="C2894" s="27">
        <v>289.0</v>
      </c>
    </row>
    <row r="2895">
      <c r="A2895" s="24" t="s">
        <v>62</v>
      </c>
      <c r="B2895" s="24" t="s">
        <v>70</v>
      </c>
      <c r="C2895" s="27">
        <v>10.7</v>
      </c>
    </row>
    <row r="2896">
      <c r="A2896" s="24" t="s">
        <v>57</v>
      </c>
      <c r="B2896" s="24" t="s">
        <v>69</v>
      </c>
      <c r="C2896" s="27">
        <v>472.0</v>
      </c>
    </row>
    <row r="2897">
      <c r="A2897" s="24" t="s">
        <v>62</v>
      </c>
      <c r="B2897" s="24" t="s">
        <v>71</v>
      </c>
      <c r="C2897" s="27">
        <v>25.3</v>
      </c>
    </row>
    <row r="2898">
      <c r="A2898" s="24" t="s">
        <v>30</v>
      </c>
      <c r="B2898" s="24" t="s">
        <v>68</v>
      </c>
      <c r="C2898" s="27">
        <v>328.0</v>
      </c>
    </row>
    <row r="2899">
      <c r="A2899" s="24" t="s">
        <v>57</v>
      </c>
      <c r="B2899" s="24" t="s">
        <v>70</v>
      </c>
      <c r="C2899" s="27">
        <v>471.0</v>
      </c>
    </row>
    <row r="2900">
      <c r="A2900" s="24" t="s">
        <v>30</v>
      </c>
      <c r="B2900" s="24" t="s">
        <v>69</v>
      </c>
      <c r="C2900" s="27">
        <v>316.0</v>
      </c>
    </row>
    <row r="2901">
      <c r="A2901" s="24" t="s">
        <v>27</v>
      </c>
      <c r="B2901" s="24" t="s">
        <v>70</v>
      </c>
      <c r="C2901" s="27">
        <v>276.0</v>
      </c>
    </row>
    <row r="2902">
      <c r="A2902" s="24" t="s">
        <v>30</v>
      </c>
      <c r="B2902" s="24" t="s">
        <v>70</v>
      </c>
      <c r="C2902" s="27">
        <v>315.0</v>
      </c>
    </row>
    <row r="2903">
      <c r="A2903" s="24" t="s">
        <v>27</v>
      </c>
      <c r="B2903" s="24" t="s">
        <v>71</v>
      </c>
      <c r="C2903" s="27">
        <v>311.0</v>
      </c>
    </row>
    <row r="2904">
      <c r="A2904" s="24" t="s">
        <v>37</v>
      </c>
      <c r="B2904" s="24" t="s">
        <v>68</v>
      </c>
      <c r="C2904" s="27">
        <v>263.0</v>
      </c>
    </row>
    <row r="2905">
      <c r="A2905" s="24" t="s">
        <v>30</v>
      </c>
      <c r="B2905" s="24" t="s">
        <v>71</v>
      </c>
      <c r="C2905" s="27">
        <v>349.0</v>
      </c>
    </row>
    <row r="2906">
      <c r="A2906" s="24" t="s">
        <v>57</v>
      </c>
      <c r="B2906" s="24" t="s">
        <v>68</v>
      </c>
      <c r="C2906" s="27">
        <v>484.0</v>
      </c>
    </row>
    <row r="2907">
      <c r="A2907" s="24" t="s">
        <v>32</v>
      </c>
      <c r="B2907" s="24" t="s">
        <v>68</v>
      </c>
      <c r="C2907" s="27">
        <v>363.0</v>
      </c>
    </row>
    <row r="2908">
      <c r="A2908" s="24" t="s">
        <v>57</v>
      </c>
      <c r="B2908" s="24" t="s">
        <v>69</v>
      </c>
      <c r="C2908" s="27">
        <v>472.0</v>
      </c>
    </row>
    <row r="2909">
      <c r="A2909" s="24" t="s">
        <v>32</v>
      </c>
      <c r="B2909" s="24" t="s">
        <v>69</v>
      </c>
      <c r="C2909" s="27">
        <v>351.0</v>
      </c>
    </row>
    <row r="2910">
      <c r="A2910" s="24" t="s">
        <v>37</v>
      </c>
      <c r="B2910" s="24" t="s">
        <v>70</v>
      </c>
      <c r="C2910" s="27">
        <v>250.0</v>
      </c>
    </row>
    <row r="2911">
      <c r="A2911" s="24" t="s">
        <v>32</v>
      </c>
      <c r="B2911" s="24" t="s">
        <v>70</v>
      </c>
      <c r="C2911" s="27">
        <v>349.0</v>
      </c>
    </row>
    <row r="2912">
      <c r="A2912" s="24" t="s">
        <v>37</v>
      </c>
      <c r="B2912" s="24" t="s">
        <v>71</v>
      </c>
      <c r="C2912" s="27">
        <v>284.0</v>
      </c>
    </row>
    <row r="2913">
      <c r="A2913" s="24" t="s">
        <v>57</v>
      </c>
      <c r="B2913" s="24" t="s">
        <v>70</v>
      </c>
      <c r="C2913" s="27">
        <v>471.0</v>
      </c>
    </row>
    <row r="2914">
      <c r="A2914" s="24" t="s">
        <v>39</v>
      </c>
      <c r="B2914" s="24" t="s">
        <v>68</v>
      </c>
      <c r="C2914" s="27">
        <v>246.0</v>
      </c>
    </row>
    <row r="2915">
      <c r="A2915" s="24" t="s">
        <v>57</v>
      </c>
      <c r="B2915" s="24" t="s">
        <v>71</v>
      </c>
      <c r="C2915" s="27">
        <v>505.0</v>
      </c>
    </row>
    <row r="2916">
      <c r="A2916" s="24" t="s">
        <v>46</v>
      </c>
      <c r="B2916" s="24" t="s">
        <v>68</v>
      </c>
      <c r="C2916" s="27">
        <v>93.0</v>
      </c>
    </row>
    <row r="2917">
      <c r="A2917" s="24" t="s">
        <v>46</v>
      </c>
      <c r="B2917" s="24" t="s">
        <v>69</v>
      </c>
      <c r="C2917" s="27">
        <v>104.0</v>
      </c>
    </row>
    <row r="2918">
      <c r="A2918" s="24" t="s">
        <v>37</v>
      </c>
      <c r="B2918" s="24" t="s">
        <v>68</v>
      </c>
      <c r="C2918" s="27">
        <v>263.0</v>
      </c>
    </row>
    <row r="2919">
      <c r="A2919" s="24" t="s">
        <v>39</v>
      </c>
      <c r="B2919" s="24" t="s">
        <v>69</v>
      </c>
      <c r="C2919" s="27">
        <v>235.0</v>
      </c>
    </row>
    <row r="2920">
      <c r="A2920" s="24" t="s">
        <v>46</v>
      </c>
      <c r="B2920" s="24" t="s">
        <v>70</v>
      </c>
      <c r="C2920" s="27">
        <v>101.0</v>
      </c>
    </row>
    <row r="2921">
      <c r="A2921" s="24" t="s">
        <v>37</v>
      </c>
      <c r="B2921" s="24" t="s">
        <v>70</v>
      </c>
      <c r="C2921" s="27">
        <v>250.0</v>
      </c>
    </row>
    <row r="2922">
      <c r="A2922" s="24" t="s">
        <v>39</v>
      </c>
      <c r="B2922" s="24" t="s">
        <v>71</v>
      </c>
      <c r="C2922" s="27">
        <v>267.0</v>
      </c>
    </row>
    <row r="2923">
      <c r="A2923" s="24" t="s">
        <v>24</v>
      </c>
      <c r="B2923" s="24" t="s">
        <v>68</v>
      </c>
      <c r="C2923" s="27">
        <v>370.0</v>
      </c>
    </row>
    <row r="2924">
      <c r="A2924" s="24" t="s">
        <v>37</v>
      </c>
      <c r="B2924" s="24" t="s">
        <v>71</v>
      </c>
      <c r="C2924" s="27">
        <v>284.0</v>
      </c>
    </row>
    <row r="2925">
      <c r="A2925" s="24" t="s">
        <v>24</v>
      </c>
      <c r="B2925" s="24" t="s">
        <v>69</v>
      </c>
      <c r="C2925" s="27">
        <v>358.0</v>
      </c>
    </row>
    <row r="2926">
      <c r="A2926" s="24" t="s">
        <v>39</v>
      </c>
      <c r="B2926" s="24" t="s">
        <v>68</v>
      </c>
      <c r="C2926" s="27">
        <v>246.0</v>
      </c>
    </row>
    <row r="2927">
      <c r="A2927" s="24" t="s">
        <v>31</v>
      </c>
      <c r="B2927" s="24" t="s">
        <v>69</v>
      </c>
      <c r="C2927" s="27">
        <v>436.0</v>
      </c>
    </row>
    <row r="2928">
      <c r="A2928" s="24" t="s">
        <v>31</v>
      </c>
      <c r="B2928" s="24" t="s">
        <v>70</v>
      </c>
      <c r="C2928" s="27">
        <v>435.0</v>
      </c>
    </row>
    <row r="2929">
      <c r="A2929" s="24" t="s">
        <v>24</v>
      </c>
      <c r="B2929" s="24" t="s">
        <v>70</v>
      </c>
      <c r="C2929" s="27">
        <v>357.0</v>
      </c>
    </row>
    <row r="2930">
      <c r="A2930" s="24" t="s">
        <v>24</v>
      </c>
      <c r="B2930" s="24" t="s">
        <v>71</v>
      </c>
      <c r="C2930" s="27">
        <v>391.0</v>
      </c>
    </row>
    <row r="2931">
      <c r="A2931" s="24" t="s">
        <v>39</v>
      </c>
      <c r="B2931" s="24" t="s">
        <v>70</v>
      </c>
      <c r="C2931" s="27">
        <v>233.0</v>
      </c>
    </row>
    <row r="2932">
      <c r="A2932" s="24" t="s">
        <v>31</v>
      </c>
      <c r="B2932" s="24" t="s">
        <v>71</v>
      </c>
      <c r="C2932" s="27">
        <v>469.0</v>
      </c>
    </row>
    <row r="2933">
      <c r="A2933" s="24" t="s">
        <v>40</v>
      </c>
      <c r="B2933" s="24" t="s">
        <v>68</v>
      </c>
      <c r="C2933" s="27">
        <v>179.0</v>
      </c>
    </row>
    <row r="2934">
      <c r="A2934" s="24" t="s">
        <v>39</v>
      </c>
      <c r="B2934" s="24" t="s">
        <v>71</v>
      </c>
      <c r="C2934" s="27">
        <v>267.0</v>
      </c>
    </row>
    <row r="2935">
      <c r="A2935" s="24" t="s">
        <v>63</v>
      </c>
      <c r="B2935" s="24" t="s">
        <v>69</v>
      </c>
      <c r="C2935" s="27">
        <v>183.0</v>
      </c>
    </row>
    <row r="2936">
      <c r="A2936" s="24" t="s">
        <v>40</v>
      </c>
      <c r="B2936" s="24" t="s">
        <v>69</v>
      </c>
      <c r="C2936" s="27">
        <v>167.0</v>
      </c>
    </row>
    <row r="2937">
      <c r="A2937" s="24" t="s">
        <v>31</v>
      </c>
      <c r="B2937" s="24" t="s">
        <v>68</v>
      </c>
      <c r="C2937" s="27">
        <v>448.0</v>
      </c>
    </row>
    <row r="2938">
      <c r="A2938" s="24" t="s">
        <v>63</v>
      </c>
      <c r="B2938" s="24" t="s">
        <v>70</v>
      </c>
      <c r="C2938" s="27">
        <v>181.0</v>
      </c>
    </row>
    <row r="2939">
      <c r="A2939" s="24" t="s">
        <v>40</v>
      </c>
      <c r="B2939" s="24" t="s">
        <v>70</v>
      </c>
      <c r="C2939" s="27">
        <v>165.0</v>
      </c>
    </row>
    <row r="2940">
      <c r="A2940" s="24" t="s">
        <v>31</v>
      </c>
      <c r="B2940" s="24" t="s">
        <v>69</v>
      </c>
      <c r="C2940" s="27">
        <v>436.0</v>
      </c>
    </row>
    <row r="2941">
      <c r="A2941" s="24" t="s">
        <v>63</v>
      </c>
      <c r="B2941" s="24" t="s">
        <v>71</v>
      </c>
      <c r="C2941" s="27">
        <v>216.0</v>
      </c>
    </row>
    <row r="2942">
      <c r="A2942" s="24" t="s">
        <v>40</v>
      </c>
      <c r="B2942" s="24" t="s">
        <v>71</v>
      </c>
      <c r="C2942" s="27">
        <v>200.0</v>
      </c>
    </row>
    <row r="2943">
      <c r="A2943" s="24" t="s">
        <v>51</v>
      </c>
      <c r="B2943" s="24" t="s">
        <v>68</v>
      </c>
      <c r="C2943" s="27">
        <v>311.0</v>
      </c>
    </row>
    <row r="2944">
      <c r="A2944" s="24" t="s">
        <v>31</v>
      </c>
      <c r="B2944" s="24" t="s">
        <v>70</v>
      </c>
      <c r="C2944" s="27">
        <v>435.0</v>
      </c>
    </row>
    <row r="2945">
      <c r="A2945" s="24" t="s">
        <v>31</v>
      </c>
      <c r="B2945" s="24" t="s">
        <v>71</v>
      </c>
      <c r="C2945" s="27">
        <v>469.0</v>
      </c>
    </row>
    <row r="2946">
      <c r="A2946" s="24" t="s">
        <v>51</v>
      </c>
      <c r="B2946" s="24" t="s">
        <v>69</v>
      </c>
      <c r="C2946" s="27">
        <v>299.0</v>
      </c>
    </row>
    <row r="2947">
      <c r="A2947" s="24" t="s">
        <v>58</v>
      </c>
      <c r="B2947" s="24" t="s">
        <v>70</v>
      </c>
      <c r="C2947" s="27">
        <v>487.0</v>
      </c>
    </row>
    <row r="2948">
      <c r="A2948" s="24" t="s">
        <v>51</v>
      </c>
      <c r="B2948" s="24" t="s">
        <v>70</v>
      </c>
      <c r="C2948" s="27">
        <v>297.0</v>
      </c>
    </row>
    <row r="2949">
      <c r="A2949" s="24" t="s">
        <v>58</v>
      </c>
      <c r="B2949" s="24" t="s">
        <v>71</v>
      </c>
      <c r="C2949" s="27">
        <v>522.0</v>
      </c>
    </row>
    <row r="2950">
      <c r="A2950" s="24" t="s">
        <v>40</v>
      </c>
      <c r="B2950" s="24" t="s">
        <v>68</v>
      </c>
      <c r="C2950" s="27">
        <v>179.0</v>
      </c>
    </row>
    <row r="2951">
      <c r="A2951" s="24" t="s">
        <v>40</v>
      </c>
      <c r="B2951" s="24" t="s">
        <v>69</v>
      </c>
      <c r="C2951" s="27">
        <v>167.0</v>
      </c>
    </row>
    <row r="2952">
      <c r="A2952" s="24" t="s">
        <v>29</v>
      </c>
      <c r="B2952" s="24" t="s">
        <v>68</v>
      </c>
      <c r="C2952" s="27">
        <v>481.0</v>
      </c>
    </row>
    <row r="2953">
      <c r="A2953" s="24" t="s">
        <v>40</v>
      </c>
      <c r="B2953" s="24" t="s">
        <v>70</v>
      </c>
      <c r="C2953" s="27">
        <v>165.0</v>
      </c>
    </row>
    <row r="2954">
      <c r="A2954" s="24" t="s">
        <v>29</v>
      </c>
      <c r="B2954" s="24" t="s">
        <v>69</v>
      </c>
      <c r="C2954" s="27">
        <v>470.0</v>
      </c>
    </row>
    <row r="2955">
      <c r="A2955" s="24" t="s">
        <v>47</v>
      </c>
      <c r="B2955" s="24" t="s">
        <v>69</v>
      </c>
      <c r="C2955" s="27">
        <v>73.5</v>
      </c>
    </row>
    <row r="2956">
      <c r="A2956" s="24" t="s">
        <v>40</v>
      </c>
      <c r="B2956" s="24" t="s">
        <v>71</v>
      </c>
      <c r="C2956" s="27">
        <v>200.0</v>
      </c>
    </row>
    <row r="2957">
      <c r="A2957" s="24" t="s">
        <v>47</v>
      </c>
      <c r="B2957" s="24" t="s">
        <v>70</v>
      </c>
      <c r="C2957" s="27">
        <v>70.3</v>
      </c>
    </row>
    <row r="2958">
      <c r="A2958" s="24" t="s">
        <v>29</v>
      </c>
      <c r="B2958" s="24" t="s">
        <v>71</v>
      </c>
      <c r="C2958" s="27">
        <v>502.0</v>
      </c>
    </row>
    <row r="2959">
      <c r="A2959" s="24" t="s">
        <v>51</v>
      </c>
      <c r="B2959" s="24" t="s">
        <v>68</v>
      </c>
      <c r="C2959" s="27">
        <v>311.0</v>
      </c>
    </row>
    <row r="2960">
      <c r="A2960" s="24" t="s">
        <v>38</v>
      </c>
      <c r="B2960" s="24" t="s">
        <v>68</v>
      </c>
      <c r="C2960" s="27">
        <v>341.0</v>
      </c>
    </row>
    <row r="2961">
      <c r="A2961" s="24" t="s">
        <v>51</v>
      </c>
      <c r="B2961" s="24" t="s">
        <v>69</v>
      </c>
      <c r="C2961" s="27">
        <v>299.0</v>
      </c>
    </row>
    <row r="2962">
      <c r="A2962" s="24" t="s">
        <v>62</v>
      </c>
      <c r="B2962" s="24" t="s">
        <v>68</v>
      </c>
      <c r="C2962" s="27">
        <v>18.0</v>
      </c>
    </row>
    <row r="2963">
      <c r="A2963" s="24" t="s">
        <v>51</v>
      </c>
      <c r="B2963" s="24" t="s">
        <v>70</v>
      </c>
      <c r="C2963" s="27">
        <v>297.0</v>
      </c>
    </row>
    <row r="2964">
      <c r="A2964" s="24" t="s">
        <v>38</v>
      </c>
      <c r="B2964" s="24" t="s">
        <v>69</v>
      </c>
      <c r="C2964" s="27">
        <v>330.0</v>
      </c>
    </row>
    <row r="2965">
      <c r="A2965" s="24" t="s">
        <v>62</v>
      </c>
      <c r="B2965" s="24" t="s">
        <v>69</v>
      </c>
      <c r="C2965" s="27">
        <v>10.6</v>
      </c>
    </row>
    <row r="2966">
      <c r="A2966" s="24" t="s">
        <v>62</v>
      </c>
      <c r="B2966" s="24" t="s">
        <v>70</v>
      </c>
      <c r="C2966" s="27">
        <v>10.7</v>
      </c>
    </row>
    <row r="2967">
      <c r="A2967" s="24" t="s">
        <v>38</v>
      </c>
      <c r="B2967" s="24" t="s">
        <v>70</v>
      </c>
      <c r="C2967" s="27">
        <v>328.0</v>
      </c>
    </row>
    <row r="2968">
      <c r="A2968" s="24" t="s">
        <v>51</v>
      </c>
      <c r="B2968" s="24" t="s">
        <v>71</v>
      </c>
      <c r="C2968" s="27">
        <v>332.0</v>
      </c>
    </row>
    <row r="2969">
      <c r="A2969" s="24" t="s">
        <v>38</v>
      </c>
      <c r="B2969" s="24" t="s">
        <v>71</v>
      </c>
      <c r="C2969" s="27">
        <v>363.0</v>
      </c>
    </row>
    <row r="2970">
      <c r="A2970" s="24" t="s">
        <v>62</v>
      </c>
      <c r="B2970" s="24" t="s">
        <v>71</v>
      </c>
      <c r="C2970" s="27">
        <v>25.3</v>
      </c>
    </row>
    <row r="2971">
      <c r="A2971" s="24" t="s">
        <v>47</v>
      </c>
      <c r="B2971" s="24" t="s">
        <v>68</v>
      </c>
      <c r="C2971" s="27">
        <v>62.7</v>
      </c>
    </row>
    <row r="2972">
      <c r="A2972" s="24" t="s">
        <v>61</v>
      </c>
      <c r="B2972" s="24" t="s">
        <v>68</v>
      </c>
      <c r="C2972" s="27">
        <v>28.4</v>
      </c>
    </row>
    <row r="2973">
      <c r="A2973" s="24" t="s">
        <v>30</v>
      </c>
      <c r="B2973" s="24" t="s">
        <v>68</v>
      </c>
      <c r="C2973" s="27">
        <v>328.0</v>
      </c>
    </row>
    <row r="2974">
      <c r="A2974" s="24" t="s">
        <v>47</v>
      </c>
      <c r="B2974" s="24" t="s">
        <v>69</v>
      </c>
      <c r="C2974" s="27">
        <v>73.5</v>
      </c>
    </row>
    <row r="2975">
      <c r="A2975" s="24" t="s">
        <v>47</v>
      </c>
      <c r="B2975" s="24" t="s">
        <v>70</v>
      </c>
      <c r="C2975" s="27">
        <v>70.3</v>
      </c>
    </row>
    <row r="2976">
      <c r="A2976" s="24" t="s">
        <v>61</v>
      </c>
      <c r="B2976" s="24" t="s">
        <v>69</v>
      </c>
      <c r="C2976" s="27">
        <v>16.8</v>
      </c>
    </row>
    <row r="2977">
      <c r="A2977" s="24" t="s">
        <v>30</v>
      </c>
      <c r="B2977" s="24" t="s">
        <v>69</v>
      </c>
      <c r="C2977" s="27">
        <v>316.0</v>
      </c>
    </row>
    <row r="2978">
      <c r="A2978" s="24" t="s">
        <v>61</v>
      </c>
      <c r="B2978" s="24" t="s">
        <v>70</v>
      </c>
      <c r="C2978" s="27">
        <v>15.0</v>
      </c>
    </row>
    <row r="2979">
      <c r="A2979" s="24" t="s">
        <v>30</v>
      </c>
      <c r="B2979" s="24" t="s">
        <v>70</v>
      </c>
      <c r="C2979" s="27">
        <v>315.0</v>
      </c>
    </row>
    <row r="2980">
      <c r="A2980" s="24" t="s">
        <v>47</v>
      </c>
      <c r="B2980" s="24" t="s">
        <v>71</v>
      </c>
      <c r="C2980" s="27">
        <v>69.7</v>
      </c>
    </row>
    <row r="2981">
      <c r="A2981" s="24" t="s">
        <v>30</v>
      </c>
      <c r="B2981" s="24" t="s">
        <v>71</v>
      </c>
      <c r="C2981" s="27">
        <v>349.0</v>
      </c>
    </row>
    <row r="2982">
      <c r="A2982" s="24" t="s">
        <v>52</v>
      </c>
      <c r="B2982" s="24" t="s">
        <v>68</v>
      </c>
      <c r="C2982" s="27">
        <v>340.0</v>
      </c>
    </row>
    <row r="2983">
      <c r="A2983" s="24" t="s">
        <v>32</v>
      </c>
      <c r="B2983" s="24" t="s">
        <v>68</v>
      </c>
      <c r="C2983" s="27">
        <v>363.0</v>
      </c>
    </row>
    <row r="2984">
      <c r="A2984" s="24" t="s">
        <v>52</v>
      </c>
      <c r="B2984" s="24" t="s">
        <v>69</v>
      </c>
      <c r="C2984" s="27">
        <v>329.0</v>
      </c>
    </row>
    <row r="2985">
      <c r="A2985" s="24" t="s">
        <v>62</v>
      </c>
      <c r="B2985" s="24" t="s">
        <v>69</v>
      </c>
      <c r="C2985" s="27">
        <v>10.6</v>
      </c>
    </row>
    <row r="2986">
      <c r="A2986" s="24" t="s">
        <v>32</v>
      </c>
      <c r="B2986" s="24" t="s">
        <v>69</v>
      </c>
      <c r="C2986" s="27">
        <v>351.0</v>
      </c>
    </row>
    <row r="2987">
      <c r="A2987" s="24" t="s">
        <v>52</v>
      </c>
      <c r="B2987" s="24" t="s">
        <v>70</v>
      </c>
      <c r="C2987" s="27">
        <v>327.0</v>
      </c>
    </row>
    <row r="2988">
      <c r="A2988" s="24" t="s">
        <v>62</v>
      </c>
      <c r="B2988" s="24" t="s">
        <v>70</v>
      </c>
      <c r="C2988" s="27">
        <v>10.7</v>
      </c>
    </row>
    <row r="2989">
      <c r="A2989" s="24" t="s">
        <v>32</v>
      </c>
      <c r="B2989" s="24" t="s">
        <v>70</v>
      </c>
      <c r="C2989" s="27">
        <v>349.0</v>
      </c>
    </row>
    <row r="2990">
      <c r="A2990" s="24" t="s">
        <v>52</v>
      </c>
      <c r="B2990" s="24" t="s">
        <v>71</v>
      </c>
      <c r="C2990" s="27">
        <v>361.0</v>
      </c>
    </row>
    <row r="2991">
      <c r="A2991" s="24" t="s">
        <v>62</v>
      </c>
      <c r="B2991" s="24" t="s">
        <v>71</v>
      </c>
      <c r="C2991" s="27">
        <v>25.3</v>
      </c>
    </row>
    <row r="2992">
      <c r="A2992" s="24" t="s">
        <v>25</v>
      </c>
      <c r="B2992" s="24" t="s">
        <v>68</v>
      </c>
      <c r="C2992" s="27">
        <v>419.0</v>
      </c>
    </row>
    <row r="2993">
      <c r="A2993" s="24" t="s">
        <v>30</v>
      </c>
      <c r="B2993" s="24" t="s">
        <v>68</v>
      </c>
      <c r="C2993" s="27">
        <v>328.0</v>
      </c>
    </row>
    <row r="2994">
      <c r="A2994" s="24" t="s">
        <v>46</v>
      </c>
      <c r="B2994" s="24" t="s">
        <v>68</v>
      </c>
      <c r="C2994" s="27">
        <v>93.0</v>
      </c>
    </row>
    <row r="2995">
      <c r="A2995" s="24" t="s">
        <v>30</v>
      </c>
      <c r="B2995" s="24" t="s">
        <v>69</v>
      </c>
      <c r="C2995" s="27">
        <v>316.0</v>
      </c>
    </row>
    <row r="2996">
      <c r="A2996" s="24" t="s">
        <v>25</v>
      </c>
      <c r="B2996" s="24" t="s">
        <v>69</v>
      </c>
      <c r="C2996" s="27">
        <v>408.0</v>
      </c>
    </row>
    <row r="2997">
      <c r="A2997" s="24" t="s">
        <v>30</v>
      </c>
      <c r="B2997" s="24" t="s">
        <v>70</v>
      </c>
      <c r="C2997" s="27">
        <v>315.0</v>
      </c>
    </row>
    <row r="2998">
      <c r="A2998" s="24" t="s">
        <v>46</v>
      </c>
      <c r="B2998" s="24" t="s">
        <v>69</v>
      </c>
      <c r="C2998" s="27">
        <v>104.0</v>
      </c>
    </row>
    <row r="2999">
      <c r="A2999" s="24" t="s">
        <v>46</v>
      </c>
      <c r="B2999" s="24" t="s">
        <v>70</v>
      </c>
      <c r="C2999" s="27">
        <v>101.0</v>
      </c>
    </row>
    <row r="3000">
      <c r="A3000" s="24" t="s">
        <v>30</v>
      </c>
      <c r="B3000" s="24" t="s">
        <v>71</v>
      </c>
      <c r="C3000" s="27">
        <v>349.0</v>
      </c>
    </row>
    <row r="3001">
      <c r="A3001" s="24" t="s">
        <v>46</v>
      </c>
      <c r="B3001" s="24" t="s">
        <v>71</v>
      </c>
      <c r="C3001" s="27">
        <v>100.0</v>
      </c>
    </row>
    <row r="3002">
      <c r="A3002" s="24" t="s">
        <v>25</v>
      </c>
      <c r="B3002" s="24" t="s">
        <v>71</v>
      </c>
      <c r="C3002" s="27">
        <v>441.0</v>
      </c>
    </row>
    <row r="3003">
      <c r="A3003" s="24" t="s">
        <v>32</v>
      </c>
      <c r="B3003" s="24" t="s">
        <v>68</v>
      </c>
      <c r="C3003" s="27">
        <v>363.0</v>
      </c>
    </row>
    <row r="3004">
      <c r="A3004" s="24" t="s">
        <v>24</v>
      </c>
      <c r="B3004" s="24" t="s">
        <v>68</v>
      </c>
      <c r="C3004" s="27">
        <v>370.0</v>
      </c>
    </row>
    <row r="3005">
      <c r="A3005" s="24" t="s">
        <v>32</v>
      </c>
      <c r="B3005" s="24" t="s">
        <v>69</v>
      </c>
      <c r="C3005" s="27">
        <v>351.0</v>
      </c>
    </row>
    <row r="3006">
      <c r="A3006" s="24" t="s">
        <v>24</v>
      </c>
      <c r="B3006" s="24" t="s">
        <v>69</v>
      </c>
      <c r="C3006" s="27">
        <v>358.0</v>
      </c>
    </row>
    <row r="3007">
      <c r="A3007" s="24" t="s">
        <v>32</v>
      </c>
      <c r="B3007" s="24" t="s">
        <v>70</v>
      </c>
      <c r="C3007" s="27">
        <v>349.0</v>
      </c>
    </row>
    <row r="3008">
      <c r="A3008" s="24" t="s">
        <v>67</v>
      </c>
      <c r="B3008" s="24" t="s">
        <v>69</v>
      </c>
      <c r="C3008" s="27">
        <v>428.0</v>
      </c>
    </row>
    <row r="3009">
      <c r="A3009" s="24" t="s">
        <v>24</v>
      </c>
      <c r="B3009" s="24" t="s">
        <v>70</v>
      </c>
      <c r="C3009" s="27">
        <v>357.0</v>
      </c>
    </row>
    <row r="3010">
      <c r="A3010" s="24" t="s">
        <v>32</v>
      </c>
      <c r="B3010" s="24" t="s">
        <v>71</v>
      </c>
      <c r="C3010" s="27">
        <v>384.0</v>
      </c>
    </row>
    <row r="3011">
      <c r="A3011" s="24" t="s">
        <v>67</v>
      </c>
      <c r="B3011" s="24" t="s">
        <v>70</v>
      </c>
      <c r="C3011" s="27">
        <v>426.0</v>
      </c>
    </row>
    <row r="3012">
      <c r="A3012" s="24" t="s">
        <v>46</v>
      </c>
      <c r="B3012" s="24" t="s">
        <v>68</v>
      </c>
      <c r="C3012" s="27">
        <v>93.0</v>
      </c>
    </row>
    <row r="3013">
      <c r="A3013" s="24" t="s">
        <v>46</v>
      </c>
      <c r="B3013" s="24" t="s">
        <v>69</v>
      </c>
      <c r="C3013" s="27">
        <v>104.0</v>
      </c>
    </row>
    <row r="3014">
      <c r="A3014" s="24" t="s">
        <v>63</v>
      </c>
      <c r="B3014" s="24" t="s">
        <v>68</v>
      </c>
      <c r="C3014" s="27">
        <v>194.0</v>
      </c>
    </row>
    <row r="3015">
      <c r="A3015" s="24" t="s">
        <v>46</v>
      </c>
      <c r="B3015" s="24" t="s">
        <v>70</v>
      </c>
      <c r="C3015" s="27">
        <v>101.0</v>
      </c>
    </row>
    <row r="3016">
      <c r="A3016" s="24" t="s">
        <v>63</v>
      </c>
      <c r="B3016" s="24" t="s">
        <v>70</v>
      </c>
      <c r="C3016" s="27">
        <v>181.0</v>
      </c>
    </row>
    <row r="3017">
      <c r="A3017" s="24" t="s">
        <v>46</v>
      </c>
      <c r="B3017" s="24" t="s">
        <v>71</v>
      </c>
      <c r="C3017" s="27">
        <v>100.0</v>
      </c>
    </row>
    <row r="3018">
      <c r="A3018" s="24" t="s">
        <v>24</v>
      </c>
      <c r="B3018" s="24" t="s">
        <v>68</v>
      </c>
      <c r="C3018" s="27">
        <v>370.0</v>
      </c>
    </row>
    <row r="3019">
      <c r="A3019" s="24" t="s">
        <v>53</v>
      </c>
      <c r="B3019" s="24" t="s">
        <v>69</v>
      </c>
      <c r="C3019" s="27">
        <v>556.0</v>
      </c>
    </row>
    <row r="3020">
      <c r="A3020" s="24" t="s">
        <v>63</v>
      </c>
      <c r="B3020" s="24" t="s">
        <v>71</v>
      </c>
      <c r="C3020" s="27">
        <v>216.0</v>
      </c>
    </row>
    <row r="3021">
      <c r="A3021" s="24" t="s">
        <v>24</v>
      </c>
      <c r="B3021" s="24" t="s">
        <v>69</v>
      </c>
      <c r="C3021" s="27">
        <v>358.0</v>
      </c>
    </row>
    <row r="3022">
      <c r="A3022" s="24" t="s">
        <v>58</v>
      </c>
      <c r="B3022" s="24" t="s">
        <v>68</v>
      </c>
      <c r="C3022" s="27">
        <v>500.0</v>
      </c>
    </row>
    <row r="3023">
      <c r="A3023" s="24" t="s">
        <v>58</v>
      </c>
      <c r="B3023" s="24" t="s">
        <v>69</v>
      </c>
      <c r="C3023" s="27">
        <v>489.0</v>
      </c>
    </row>
    <row r="3024">
      <c r="A3024" s="24" t="s">
        <v>24</v>
      </c>
      <c r="B3024" s="24" t="s">
        <v>70</v>
      </c>
      <c r="C3024" s="27">
        <v>357.0</v>
      </c>
    </row>
    <row r="3025">
      <c r="A3025" s="24" t="s">
        <v>26</v>
      </c>
      <c r="B3025" s="24" t="s">
        <v>68</v>
      </c>
      <c r="C3025" s="27">
        <v>454.0</v>
      </c>
    </row>
    <row r="3026">
      <c r="A3026" s="24" t="s">
        <v>24</v>
      </c>
      <c r="B3026" s="24" t="s">
        <v>71</v>
      </c>
      <c r="C3026" s="27">
        <v>391.0</v>
      </c>
    </row>
    <row r="3027">
      <c r="A3027" s="24" t="s">
        <v>58</v>
      </c>
      <c r="B3027" s="24" t="s">
        <v>70</v>
      </c>
      <c r="C3027" s="27">
        <v>487.0</v>
      </c>
    </row>
    <row r="3028">
      <c r="A3028" s="24" t="s">
        <v>26</v>
      </c>
      <c r="B3028" s="24" t="s">
        <v>69</v>
      </c>
      <c r="C3028" s="27">
        <v>443.0</v>
      </c>
    </row>
    <row r="3029">
      <c r="A3029" s="24" t="s">
        <v>58</v>
      </c>
      <c r="B3029" s="24" t="s">
        <v>71</v>
      </c>
      <c r="C3029" s="27">
        <v>522.0</v>
      </c>
    </row>
    <row r="3030">
      <c r="A3030" s="24" t="s">
        <v>26</v>
      </c>
      <c r="B3030" s="24" t="s">
        <v>70</v>
      </c>
      <c r="C3030" s="27">
        <v>441.0</v>
      </c>
    </row>
    <row r="3031">
      <c r="A3031" s="24" t="s">
        <v>29</v>
      </c>
      <c r="B3031" s="24" t="s">
        <v>68</v>
      </c>
      <c r="C3031" s="27">
        <v>481.0</v>
      </c>
    </row>
    <row r="3032">
      <c r="A3032" s="24" t="s">
        <v>63</v>
      </c>
      <c r="B3032" s="24" t="s">
        <v>69</v>
      </c>
      <c r="C3032" s="27">
        <v>183.0</v>
      </c>
    </row>
    <row r="3033">
      <c r="A3033" s="24" t="s">
        <v>26</v>
      </c>
      <c r="B3033" s="24" t="s">
        <v>71</v>
      </c>
      <c r="C3033" s="27">
        <v>476.0</v>
      </c>
    </row>
    <row r="3034">
      <c r="A3034" s="24" t="s">
        <v>29</v>
      </c>
      <c r="B3034" s="24" t="s">
        <v>69</v>
      </c>
      <c r="C3034" s="27">
        <v>470.0</v>
      </c>
    </row>
    <row r="3035">
      <c r="A3035" s="24" t="s">
        <v>63</v>
      </c>
      <c r="B3035" s="24" t="s">
        <v>70</v>
      </c>
      <c r="C3035" s="27">
        <v>181.0</v>
      </c>
    </row>
    <row r="3036">
      <c r="A3036" s="24" t="s">
        <v>29</v>
      </c>
      <c r="B3036" s="24" t="s">
        <v>70</v>
      </c>
      <c r="C3036" s="27">
        <v>468.0</v>
      </c>
    </row>
    <row r="3037">
      <c r="A3037" s="24" t="s">
        <v>63</v>
      </c>
      <c r="B3037" s="24" t="s">
        <v>71</v>
      </c>
      <c r="C3037" s="27">
        <v>216.0</v>
      </c>
    </row>
    <row r="3038">
      <c r="A3038" s="24" t="s">
        <v>28</v>
      </c>
      <c r="B3038" s="24" t="s">
        <v>69</v>
      </c>
      <c r="C3038" s="27">
        <v>291.0</v>
      </c>
    </row>
    <row r="3039">
      <c r="A3039" s="24" t="s">
        <v>58</v>
      </c>
      <c r="B3039" s="24" t="s">
        <v>68</v>
      </c>
      <c r="C3039" s="27">
        <v>500.0</v>
      </c>
    </row>
    <row r="3040">
      <c r="A3040" s="24" t="s">
        <v>28</v>
      </c>
      <c r="B3040" s="24" t="s">
        <v>70</v>
      </c>
      <c r="C3040" s="27">
        <v>289.0</v>
      </c>
    </row>
    <row r="3041">
      <c r="A3041" s="24" t="s">
        <v>38</v>
      </c>
      <c r="B3041" s="24" t="s">
        <v>68</v>
      </c>
      <c r="C3041" s="27">
        <v>341.0</v>
      </c>
    </row>
    <row r="3042">
      <c r="A3042" s="24" t="s">
        <v>28</v>
      </c>
      <c r="B3042" s="24" t="s">
        <v>71</v>
      </c>
      <c r="C3042" s="27">
        <v>324.0</v>
      </c>
    </row>
    <row r="3043">
      <c r="A3043" s="24" t="s">
        <v>38</v>
      </c>
      <c r="B3043" s="24" t="s">
        <v>69</v>
      </c>
      <c r="C3043" s="27">
        <v>330.0</v>
      </c>
    </row>
    <row r="3044">
      <c r="A3044" s="24" t="s">
        <v>48</v>
      </c>
      <c r="B3044" s="24" t="s">
        <v>68</v>
      </c>
      <c r="C3044" s="27">
        <v>103.0</v>
      </c>
    </row>
    <row r="3045">
      <c r="A3045" s="24" t="s">
        <v>58</v>
      </c>
      <c r="B3045" s="24" t="s">
        <v>70</v>
      </c>
      <c r="C3045" s="27">
        <v>487.0</v>
      </c>
    </row>
    <row r="3046">
      <c r="A3046" s="24" t="s">
        <v>48</v>
      </c>
      <c r="B3046" s="24" t="s">
        <v>69</v>
      </c>
      <c r="C3046" s="27">
        <v>114.0</v>
      </c>
    </row>
    <row r="3047">
      <c r="A3047" s="24" t="s">
        <v>48</v>
      </c>
      <c r="B3047" s="24" t="s">
        <v>70</v>
      </c>
      <c r="C3047" s="27">
        <v>111.0</v>
      </c>
    </row>
    <row r="3048">
      <c r="A3048" s="24" t="s">
        <v>38</v>
      </c>
      <c r="B3048" s="24" t="s">
        <v>71</v>
      </c>
      <c r="C3048" s="27">
        <v>363.0</v>
      </c>
    </row>
    <row r="3049">
      <c r="A3049" s="24" t="s">
        <v>48</v>
      </c>
      <c r="B3049" s="24" t="s">
        <v>71</v>
      </c>
      <c r="C3049" s="27">
        <v>110.0</v>
      </c>
    </row>
    <row r="3050">
      <c r="A3050" s="24" t="s">
        <v>29</v>
      </c>
      <c r="B3050" s="24" t="s">
        <v>68</v>
      </c>
      <c r="C3050" s="27">
        <v>481.0</v>
      </c>
    </row>
    <row r="3051">
      <c r="A3051" s="24" t="s">
        <v>61</v>
      </c>
      <c r="B3051" s="24" t="s">
        <v>68</v>
      </c>
      <c r="C3051" s="27">
        <v>28.4</v>
      </c>
    </row>
    <row r="3052">
      <c r="A3052" s="24" t="s">
        <v>59</v>
      </c>
      <c r="B3052" s="24" t="s">
        <v>68</v>
      </c>
      <c r="C3052" s="27">
        <v>451.0</v>
      </c>
    </row>
    <row r="3053">
      <c r="A3053" s="24" t="s">
        <v>59</v>
      </c>
      <c r="B3053" s="24" t="s">
        <v>69</v>
      </c>
      <c r="C3053" s="27">
        <v>439.0</v>
      </c>
    </row>
    <row r="3054">
      <c r="A3054" s="24" t="s">
        <v>29</v>
      </c>
      <c r="B3054" s="24" t="s">
        <v>69</v>
      </c>
      <c r="C3054" s="27">
        <v>470.0</v>
      </c>
    </row>
    <row r="3055">
      <c r="A3055" s="24" t="s">
        <v>61</v>
      </c>
      <c r="B3055" s="24" t="s">
        <v>69</v>
      </c>
      <c r="C3055" s="27">
        <v>16.8</v>
      </c>
    </row>
    <row r="3056">
      <c r="A3056" s="24" t="s">
        <v>59</v>
      </c>
      <c r="B3056" s="24" t="s">
        <v>70</v>
      </c>
      <c r="C3056" s="27">
        <v>438.0</v>
      </c>
    </row>
    <row r="3057">
      <c r="A3057" s="24" t="s">
        <v>29</v>
      </c>
      <c r="B3057" s="24" t="s">
        <v>70</v>
      </c>
      <c r="C3057" s="27">
        <v>468.0</v>
      </c>
    </row>
    <row r="3058">
      <c r="A3058" s="24" t="s">
        <v>29</v>
      </c>
      <c r="B3058" s="24" t="s">
        <v>71</v>
      </c>
      <c r="C3058" s="27">
        <v>502.0</v>
      </c>
    </row>
    <row r="3059">
      <c r="A3059" s="24" t="s">
        <v>59</v>
      </c>
      <c r="B3059" s="24" t="s">
        <v>71</v>
      </c>
      <c r="C3059" s="27">
        <v>472.0</v>
      </c>
    </row>
    <row r="3060">
      <c r="A3060" s="24" t="s">
        <v>68</v>
      </c>
      <c r="B3060" s="24" t="s">
        <v>18</v>
      </c>
      <c r="C3060" s="27">
        <v>23.5</v>
      </c>
    </row>
    <row r="3061">
      <c r="A3061" s="24" t="s">
        <v>38</v>
      </c>
      <c r="B3061" s="24" t="s">
        <v>68</v>
      </c>
      <c r="C3061" s="27">
        <v>341.0</v>
      </c>
    </row>
    <row r="3062">
      <c r="A3062" s="24" t="s">
        <v>52</v>
      </c>
      <c r="B3062" s="24" t="s">
        <v>68</v>
      </c>
      <c r="C3062" s="27">
        <v>340.0</v>
      </c>
    </row>
    <row r="3063">
      <c r="A3063" s="24" t="s">
        <v>52</v>
      </c>
      <c r="B3063" s="24" t="s">
        <v>69</v>
      </c>
      <c r="C3063" s="27">
        <v>329.0</v>
      </c>
    </row>
    <row r="3064">
      <c r="A3064" s="24" t="s">
        <v>38</v>
      </c>
      <c r="B3064" s="24" t="s">
        <v>69</v>
      </c>
      <c r="C3064" s="27">
        <v>330.0</v>
      </c>
    </row>
    <row r="3065">
      <c r="A3065" s="24" t="s">
        <v>52</v>
      </c>
      <c r="B3065" s="24" t="s">
        <v>70</v>
      </c>
      <c r="C3065" s="27">
        <v>327.0</v>
      </c>
    </row>
    <row r="3066">
      <c r="A3066" s="24" t="s">
        <v>68</v>
      </c>
      <c r="B3066" s="24" t="s">
        <v>22</v>
      </c>
      <c r="C3066" s="27">
        <v>292.0</v>
      </c>
    </row>
    <row r="3067">
      <c r="A3067" s="24" t="s">
        <v>68</v>
      </c>
      <c r="B3067" s="24" t="s">
        <v>35</v>
      </c>
      <c r="C3067" s="27">
        <v>327.0</v>
      </c>
    </row>
    <row r="3068">
      <c r="A3068" s="24" t="s">
        <v>38</v>
      </c>
      <c r="B3068" s="24" t="s">
        <v>70</v>
      </c>
      <c r="C3068" s="27">
        <v>328.0</v>
      </c>
    </row>
    <row r="3069">
      <c r="A3069" s="24" t="s">
        <v>68</v>
      </c>
      <c r="B3069" s="24" t="s">
        <v>41</v>
      </c>
      <c r="C3069" s="27">
        <v>277.0</v>
      </c>
    </row>
    <row r="3070">
      <c r="A3070" s="24" t="s">
        <v>52</v>
      </c>
      <c r="B3070" s="24" t="s">
        <v>71</v>
      </c>
      <c r="C3070" s="27">
        <v>361.0</v>
      </c>
    </row>
    <row r="3071">
      <c r="A3071" s="24" t="s">
        <v>68</v>
      </c>
      <c r="B3071" s="24" t="s">
        <v>64</v>
      </c>
      <c r="C3071" s="27">
        <v>185.0</v>
      </c>
    </row>
    <row r="3072">
      <c r="A3072" s="24" t="s">
        <v>25</v>
      </c>
      <c r="B3072" s="24" t="s">
        <v>68</v>
      </c>
      <c r="C3072" s="27">
        <v>419.0</v>
      </c>
    </row>
    <row r="3073">
      <c r="A3073" s="24" t="s">
        <v>38</v>
      </c>
      <c r="B3073" s="24" t="s">
        <v>71</v>
      </c>
      <c r="C3073" s="27">
        <v>363.0</v>
      </c>
    </row>
    <row r="3074">
      <c r="A3074" s="24" t="s">
        <v>68</v>
      </c>
      <c r="B3074" s="24" t="s">
        <v>65</v>
      </c>
      <c r="C3074" s="27">
        <v>132.0</v>
      </c>
    </row>
    <row r="3075">
      <c r="A3075" s="24" t="s">
        <v>68</v>
      </c>
      <c r="B3075" s="24" t="s">
        <v>36</v>
      </c>
      <c r="C3075" s="27">
        <v>324.0</v>
      </c>
    </row>
    <row r="3076">
      <c r="A3076" s="24" t="s">
        <v>25</v>
      </c>
      <c r="B3076" s="24" t="s">
        <v>69</v>
      </c>
      <c r="C3076" s="27">
        <v>408.0</v>
      </c>
    </row>
    <row r="3077">
      <c r="A3077" s="24" t="s">
        <v>68</v>
      </c>
      <c r="B3077" s="24" t="s">
        <v>43</v>
      </c>
      <c r="C3077" s="27">
        <v>137.0</v>
      </c>
    </row>
    <row r="3078">
      <c r="A3078" s="24" t="s">
        <v>25</v>
      </c>
      <c r="B3078" s="24" t="s">
        <v>70</v>
      </c>
      <c r="C3078" s="27">
        <v>406.0</v>
      </c>
    </row>
    <row r="3079">
      <c r="A3079" s="24" t="s">
        <v>61</v>
      </c>
      <c r="B3079" s="24" t="s">
        <v>69</v>
      </c>
      <c r="C3079" s="27">
        <v>16.8</v>
      </c>
    </row>
    <row r="3080">
      <c r="A3080" s="24" t="s">
        <v>68</v>
      </c>
      <c r="B3080" s="24" t="s">
        <v>50</v>
      </c>
      <c r="C3080" s="27">
        <v>536.0</v>
      </c>
    </row>
    <row r="3081">
      <c r="A3081" s="24" t="s">
        <v>68</v>
      </c>
      <c r="B3081" s="24" t="s">
        <v>23</v>
      </c>
      <c r="C3081" s="27">
        <v>318.0</v>
      </c>
    </row>
    <row r="3082">
      <c r="A3082" s="24" t="s">
        <v>68</v>
      </c>
      <c r="B3082" s="24" t="s">
        <v>54</v>
      </c>
      <c r="C3082" s="27">
        <v>383.0</v>
      </c>
    </row>
    <row r="3083">
      <c r="A3083" s="24" t="s">
        <v>61</v>
      </c>
      <c r="B3083" s="24" t="s">
        <v>70</v>
      </c>
      <c r="C3083" s="27">
        <v>15.0</v>
      </c>
    </row>
    <row r="3084">
      <c r="A3084" s="24" t="s">
        <v>68</v>
      </c>
      <c r="B3084" s="24" t="s">
        <v>34</v>
      </c>
      <c r="C3084" s="27">
        <v>99.6</v>
      </c>
    </row>
    <row r="3085">
      <c r="A3085" s="24" t="s">
        <v>61</v>
      </c>
      <c r="B3085" s="24" t="s">
        <v>71</v>
      </c>
      <c r="C3085" s="27">
        <v>49.6</v>
      </c>
    </row>
    <row r="3086">
      <c r="A3086" s="24" t="s">
        <v>68</v>
      </c>
      <c r="B3086" s="24" t="s">
        <v>20</v>
      </c>
      <c r="C3086" s="27">
        <v>306.0</v>
      </c>
    </row>
    <row r="3087">
      <c r="A3087" s="24" t="s">
        <v>67</v>
      </c>
      <c r="B3087" s="24" t="s">
        <v>68</v>
      </c>
      <c r="C3087" s="27">
        <v>440.0</v>
      </c>
    </row>
    <row r="3088">
      <c r="A3088" s="24" t="s">
        <v>52</v>
      </c>
      <c r="B3088" s="24" t="s">
        <v>68</v>
      </c>
      <c r="C3088" s="27">
        <v>340.0</v>
      </c>
    </row>
    <row r="3089">
      <c r="A3089" s="24" t="s">
        <v>68</v>
      </c>
      <c r="B3089" s="24" t="s">
        <v>42</v>
      </c>
      <c r="C3089" s="27">
        <v>217.0</v>
      </c>
    </row>
    <row r="3090">
      <c r="A3090" s="24" t="s">
        <v>52</v>
      </c>
      <c r="B3090" s="24" t="s">
        <v>69</v>
      </c>
      <c r="C3090" s="27">
        <v>329.0</v>
      </c>
    </row>
    <row r="3091">
      <c r="A3091" s="24" t="s">
        <v>68</v>
      </c>
      <c r="B3091" s="24" t="s">
        <v>21</v>
      </c>
      <c r="C3091" s="27">
        <v>310.0</v>
      </c>
    </row>
    <row r="3092">
      <c r="A3092" s="24" t="s">
        <v>67</v>
      </c>
      <c r="B3092" s="24" t="s">
        <v>70</v>
      </c>
      <c r="C3092" s="27">
        <v>426.0</v>
      </c>
    </row>
    <row r="3093">
      <c r="A3093" s="24" t="s">
        <v>52</v>
      </c>
      <c r="B3093" s="24" t="s">
        <v>70</v>
      </c>
      <c r="C3093" s="27">
        <v>327.0</v>
      </c>
    </row>
    <row r="3094">
      <c r="A3094" s="24" t="s">
        <v>52</v>
      </c>
      <c r="B3094" s="24" t="s">
        <v>71</v>
      </c>
      <c r="C3094" s="27">
        <v>361.0</v>
      </c>
    </row>
    <row r="3095">
      <c r="A3095" s="24" t="s">
        <v>67</v>
      </c>
      <c r="B3095" s="24" t="s">
        <v>71</v>
      </c>
      <c r="C3095" s="27">
        <v>461.0</v>
      </c>
    </row>
    <row r="3096">
      <c r="A3096" s="24" t="s">
        <v>25</v>
      </c>
      <c r="B3096" s="24" t="s">
        <v>68</v>
      </c>
      <c r="C3096" s="27">
        <v>419.0</v>
      </c>
    </row>
    <row r="3097">
      <c r="A3097" s="24" t="s">
        <v>53</v>
      </c>
      <c r="B3097" s="24" t="s">
        <v>68</v>
      </c>
      <c r="C3097" s="27">
        <v>568.0</v>
      </c>
    </row>
    <row r="3098">
      <c r="A3098" s="24" t="s">
        <v>68</v>
      </c>
      <c r="B3098" s="24" t="s">
        <v>66</v>
      </c>
      <c r="C3098" s="27">
        <v>231.0</v>
      </c>
    </row>
    <row r="3099">
      <c r="A3099" s="24" t="s">
        <v>25</v>
      </c>
      <c r="B3099" s="24" t="s">
        <v>69</v>
      </c>
      <c r="C3099" s="27">
        <v>408.0</v>
      </c>
    </row>
    <row r="3100">
      <c r="A3100" s="24" t="s">
        <v>53</v>
      </c>
      <c r="B3100" s="24" t="s">
        <v>69</v>
      </c>
      <c r="C3100" s="27">
        <v>556.0</v>
      </c>
    </row>
    <row r="3101">
      <c r="A3101" s="24" t="s">
        <v>25</v>
      </c>
      <c r="B3101" s="24" t="s">
        <v>70</v>
      </c>
      <c r="C3101" s="27">
        <v>406.0</v>
      </c>
    </row>
    <row r="3102">
      <c r="A3102" s="24" t="s">
        <v>68</v>
      </c>
      <c r="B3102" s="24" t="s">
        <v>60</v>
      </c>
      <c r="C3102" s="27">
        <v>160.0</v>
      </c>
    </row>
    <row r="3103">
      <c r="A3103" s="24" t="s">
        <v>53</v>
      </c>
      <c r="B3103" s="24" t="s">
        <v>70</v>
      </c>
      <c r="C3103" s="27">
        <v>554.0</v>
      </c>
    </row>
    <row r="3104">
      <c r="A3104" s="24" t="s">
        <v>25</v>
      </c>
      <c r="B3104" s="24" t="s">
        <v>71</v>
      </c>
      <c r="C3104" s="27">
        <v>441.0</v>
      </c>
    </row>
    <row r="3105">
      <c r="A3105" s="24" t="s">
        <v>53</v>
      </c>
      <c r="B3105" s="24" t="s">
        <v>71</v>
      </c>
      <c r="C3105" s="27">
        <v>589.0</v>
      </c>
    </row>
    <row r="3106">
      <c r="A3106" s="24" t="s">
        <v>67</v>
      </c>
      <c r="B3106" s="24" t="s">
        <v>68</v>
      </c>
      <c r="C3106" s="27">
        <v>440.0</v>
      </c>
    </row>
    <row r="3107">
      <c r="A3107" s="24" t="s">
        <v>67</v>
      </c>
      <c r="B3107" s="24" t="s">
        <v>69</v>
      </c>
      <c r="C3107" s="27">
        <v>428.0</v>
      </c>
    </row>
    <row r="3108">
      <c r="A3108" s="24" t="s">
        <v>68</v>
      </c>
      <c r="B3108" s="24" t="s">
        <v>55</v>
      </c>
      <c r="C3108" s="27">
        <v>512.0</v>
      </c>
    </row>
    <row r="3109">
      <c r="A3109" s="24" t="s">
        <v>26</v>
      </c>
      <c r="B3109" s="24" t="s">
        <v>69</v>
      </c>
      <c r="C3109" s="27">
        <v>443.0</v>
      </c>
    </row>
    <row r="3110">
      <c r="A3110" s="24" t="s">
        <v>68</v>
      </c>
      <c r="B3110" s="24" t="s">
        <v>56</v>
      </c>
      <c r="C3110" s="27">
        <v>572.0</v>
      </c>
    </row>
    <row r="3111">
      <c r="A3111" s="24" t="s">
        <v>26</v>
      </c>
      <c r="B3111" s="24" t="s">
        <v>70</v>
      </c>
      <c r="C3111" s="27">
        <v>441.0</v>
      </c>
    </row>
    <row r="3112">
      <c r="A3112" s="24" t="s">
        <v>67</v>
      </c>
      <c r="B3112" s="24" t="s">
        <v>71</v>
      </c>
      <c r="C3112" s="27">
        <v>461.0</v>
      </c>
    </row>
    <row r="3113">
      <c r="A3113" s="24" t="s">
        <v>53</v>
      </c>
      <c r="B3113" s="24" t="s">
        <v>68</v>
      </c>
      <c r="C3113" s="27">
        <v>568.0</v>
      </c>
    </row>
    <row r="3114">
      <c r="A3114" s="24" t="s">
        <v>53</v>
      </c>
      <c r="B3114" s="24" t="s">
        <v>69</v>
      </c>
      <c r="C3114" s="27">
        <v>556.0</v>
      </c>
    </row>
    <row r="3115">
      <c r="A3115" s="24" t="s">
        <v>68</v>
      </c>
      <c r="B3115" s="24" t="s">
        <v>27</v>
      </c>
      <c r="C3115" s="27">
        <v>290.0</v>
      </c>
    </row>
    <row r="3116">
      <c r="A3116" s="24" t="s">
        <v>28</v>
      </c>
      <c r="B3116" s="24" t="s">
        <v>68</v>
      </c>
      <c r="C3116" s="27">
        <v>303.0</v>
      </c>
    </row>
    <row r="3117">
      <c r="A3117" s="24" t="s">
        <v>68</v>
      </c>
      <c r="B3117" s="24" t="s">
        <v>57</v>
      </c>
      <c r="C3117" s="27">
        <v>481.0</v>
      </c>
    </row>
    <row r="3118">
      <c r="A3118" s="24" t="s">
        <v>68</v>
      </c>
      <c r="B3118" s="24" t="s">
        <v>37</v>
      </c>
      <c r="C3118" s="27">
        <v>263.0</v>
      </c>
    </row>
    <row r="3119">
      <c r="A3119" s="24" t="s">
        <v>28</v>
      </c>
      <c r="B3119" s="24" t="s">
        <v>69</v>
      </c>
      <c r="C3119" s="27">
        <v>291.0</v>
      </c>
    </row>
    <row r="3120">
      <c r="A3120" s="24" t="s">
        <v>68</v>
      </c>
      <c r="B3120" s="24" t="s">
        <v>39</v>
      </c>
      <c r="C3120" s="27">
        <v>246.0</v>
      </c>
    </row>
    <row r="3121">
      <c r="A3121" s="24" t="s">
        <v>53</v>
      </c>
      <c r="B3121" s="24" t="s">
        <v>71</v>
      </c>
      <c r="C3121" s="27">
        <v>589.0</v>
      </c>
    </row>
    <row r="3122">
      <c r="A3122" s="24" t="s">
        <v>26</v>
      </c>
      <c r="B3122" s="24" t="s">
        <v>68</v>
      </c>
      <c r="C3122" s="27">
        <v>454.0</v>
      </c>
    </row>
    <row r="3123">
      <c r="A3123" s="24" t="s">
        <v>68</v>
      </c>
      <c r="B3123" s="24" t="s">
        <v>40</v>
      </c>
      <c r="C3123" s="27">
        <v>179.0</v>
      </c>
    </row>
    <row r="3124">
      <c r="A3124" s="24" t="s">
        <v>28</v>
      </c>
      <c r="B3124" s="24" t="s">
        <v>70</v>
      </c>
      <c r="C3124" s="27">
        <v>289.0</v>
      </c>
    </row>
    <row r="3125">
      <c r="A3125" s="24" t="s">
        <v>26</v>
      </c>
      <c r="B3125" s="24" t="s">
        <v>69</v>
      </c>
      <c r="C3125" s="27">
        <v>443.0</v>
      </c>
    </row>
    <row r="3126">
      <c r="A3126" s="24" t="s">
        <v>68</v>
      </c>
      <c r="B3126" s="24" t="s">
        <v>51</v>
      </c>
      <c r="C3126" s="27">
        <v>313.0</v>
      </c>
    </row>
    <row r="3127">
      <c r="A3127" s="24" t="s">
        <v>26</v>
      </c>
      <c r="B3127" s="24" t="s">
        <v>70</v>
      </c>
      <c r="C3127" s="27">
        <v>441.0</v>
      </c>
    </row>
    <row r="3128">
      <c r="A3128" s="24" t="s">
        <v>28</v>
      </c>
      <c r="B3128" s="24" t="s">
        <v>71</v>
      </c>
      <c r="C3128" s="27">
        <v>324.0</v>
      </c>
    </row>
    <row r="3129">
      <c r="A3129" s="24" t="s">
        <v>68</v>
      </c>
      <c r="B3129" s="24" t="s">
        <v>47</v>
      </c>
      <c r="C3129" s="27">
        <v>62.7</v>
      </c>
    </row>
    <row r="3130">
      <c r="A3130" s="24" t="s">
        <v>26</v>
      </c>
      <c r="B3130" s="24" t="s">
        <v>71</v>
      </c>
      <c r="C3130" s="27">
        <v>476.0</v>
      </c>
    </row>
    <row r="3131">
      <c r="A3131" s="24" t="s">
        <v>48</v>
      </c>
      <c r="B3131" s="24" t="s">
        <v>68</v>
      </c>
      <c r="C3131" s="27">
        <v>103.0</v>
      </c>
    </row>
    <row r="3132">
      <c r="A3132" s="24" t="s">
        <v>48</v>
      </c>
      <c r="B3132" s="24" t="s">
        <v>69</v>
      </c>
      <c r="C3132" s="27">
        <v>114.0</v>
      </c>
    </row>
    <row r="3133">
      <c r="A3133" s="24" t="s">
        <v>28</v>
      </c>
      <c r="B3133" s="24" t="s">
        <v>68</v>
      </c>
      <c r="C3133" s="27">
        <v>303.0</v>
      </c>
    </row>
    <row r="3134">
      <c r="A3134" s="24" t="s">
        <v>68</v>
      </c>
      <c r="B3134" s="24" t="s">
        <v>30</v>
      </c>
      <c r="C3134" s="27">
        <v>328.0</v>
      </c>
    </row>
    <row r="3135">
      <c r="A3135" s="24" t="s">
        <v>48</v>
      </c>
      <c r="B3135" s="24" t="s">
        <v>70</v>
      </c>
      <c r="C3135" s="27">
        <v>111.0</v>
      </c>
    </row>
    <row r="3136">
      <c r="A3136" s="24" t="s">
        <v>28</v>
      </c>
      <c r="B3136" s="24" t="s">
        <v>69</v>
      </c>
      <c r="C3136" s="27">
        <v>291.0</v>
      </c>
    </row>
    <row r="3137">
      <c r="A3137" s="24" t="s">
        <v>48</v>
      </c>
      <c r="B3137" s="24" t="s">
        <v>71</v>
      </c>
      <c r="C3137" s="27">
        <v>110.0</v>
      </c>
    </row>
    <row r="3138">
      <c r="A3138" s="24" t="s">
        <v>28</v>
      </c>
      <c r="B3138" s="24" t="s">
        <v>70</v>
      </c>
      <c r="C3138" s="27">
        <v>289.0</v>
      </c>
    </row>
    <row r="3139">
      <c r="A3139" s="24" t="s">
        <v>68</v>
      </c>
      <c r="B3139" s="24" t="s">
        <v>46</v>
      </c>
      <c r="C3139" s="27">
        <v>93.6</v>
      </c>
    </row>
    <row r="3140">
      <c r="A3140" s="24" t="s">
        <v>28</v>
      </c>
      <c r="B3140" s="24" t="s">
        <v>71</v>
      </c>
      <c r="C3140" s="27">
        <v>324.0</v>
      </c>
    </row>
    <row r="3141">
      <c r="A3141" s="24" t="s">
        <v>68</v>
      </c>
      <c r="B3141" s="24" t="s">
        <v>24</v>
      </c>
      <c r="C3141" s="27">
        <v>370.0</v>
      </c>
    </row>
    <row r="3142">
      <c r="A3142" s="24" t="s">
        <v>59</v>
      </c>
      <c r="B3142" s="24" t="s">
        <v>69</v>
      </c>
      <c r="C3142" s="27">
        <v>439.0</v>
      </c>
    </row>
    <row r="3143">
      <c r="A3143" s="24" t="s">
        <v>48</v>
      </c>
      <c r="B3143" s="24" t="s">
        <v>68</v>
      </c>
      <c r="C3143" s="27">
        <v>103.0</v>
      </c>
    </row>
    <row r="3144">
      <c r="A3144" s="24" t="s">
        <v>48</v>
      </c>
      <c r="B3144" s="24" t="s">
        <v>69</v>
      </c>
      <c r="C3144" s="27">
        <v>114.0</v>
      </c>
    </row>
    <row r="3145">
      <c r="A3145" s="24" t="s">
        <v>59</v>
      </c>
      <c r="B3145" s="24" t="s">
        <v>70</v>
      </c>
      <c r="C3145" s="27">
        <v>438.0</v>
      </c>
    </row>
    <row r="3146">
      <c r="A3146" s="24" t="s">
        <v>48</v>
      </c>
      <c r="B3146" s="24" t="s">
        <v>70</v>
      </c>
      <c r="C3146" s="27">
        <v>111.0</v>
      </c>
    </row>
    <row r="3147">
      <c r="A3147" s="24" t="s">
        <v>68</v>
      </c>
      <c r="B3147" s="24" t="s">
        <v>63</v>
      </c>
      <c r="C3147" s="27">
        <v>194.0</v>
      </c>
    </row>
    <row r="3148">
      <c r="A3148" s="24" t="s">
        <v>59</v>
      </c>
      <c r="B3148" s="24" t="s">
        <v>71</v>
      </c>
      <c r="C3148" s="27">
        <v>472.0</v>
      </c>
    </row>
    <row r="3149">
      <c r="A3149" s="24" t="s">
        <v>48</v>
      </c>
      <c r="B3149" s="24" t="s">
        <v>71</v>
      </c>
      <c r="C3149" s="27">
        <v>110.0</v>
      </c>
    </row>
    <row r="3150">
      <c r="A3150" s="24" t="s">
        <v>68</v>
      </c>
      <c r="B3150" s="24" t="s">
        <v>58</v>
      </c>
      <c r="C3150" s="27">
        <v>498.0</v>
      </c>
    </row>
    <row r="3151">
      <c r="A3151" s="24" t="s">
        <v>59</v>
      </c>
      <c r="B3151" s="24" t="s">
        <v>68</v>
      </c>
      <c r="C3151" s="27">
        <v>451.0</v>
      </c>
    </row>
    <row r="3152">
      <c r="A3152" s="24" t="s">
        <v>59</v>
      </c>
      <c r="B3152" s="24" t="s">
        <v>69</v>
      </c>
      <c r="C3152" s="27">
        <v>439.0</v>
      </c>
    </row>
    <row r="3153">
      <c r="A3153" s="24" t="s">
        <v>68</v>
      </c>
      <c r="B3153" s="24" t="s">
        <v>38</v>
      </c>
      <c r="C3153" s="27">
        <v>350.0</v>
      </c>
    </row>
    <row r="3154">
      <c r="A3154" s="24" t="s">
        <v>59</v>
      </c>
      <c r="B3154" s="24" t="s">
        <v>70</v>
      </c>
      <c r="C3154" s="27">
        <v>438.0</v>
      </c>
    </row>
    <row r="3155">
      <c r="A3155" s="24" t="s">
        <v>68</v>
      </c>
      <c r="B3155" s="24" t="s">
        <v>61</v>
      </c>
      <c r="C3155" s="27">
        <v>28.5</v>
      </c>
    </row>
    <row r="3156">
      <c r="A3156" s="24" t="s">
        <v>68</v>
      </c>
      <c r="B3156" s="24" t="s">
        <v>22</v>
      </c>
      <c r="C3156" s="27">
        <v>292.0</v>
      </c>
    </row>
    <row r="3157">
      <c r="A3157" s="24" t="s">
        <v>68</v>
      </c>
      <c r="B3157" s="24" t="s">
        <v>52</v>
      </c>
      <c r="C3157" s="27">
        <v>340.0</v>
      </c>
    </row>
    <row r="3158">
      <c r="A3158" s="24" t="s">
        <v>68</v>
      </c>
      <c r="B3158" s="24" t="s">
        <v>35</v>
      </c>
      <c r="C3158" s="27">
        <v>327.0</v>
      </c>
    </row>
    <row r="3159">
      <c r="A3159" s="24" t="s">
        <v>68</v>
      </c>
      <c r="B3159" s="24" t="s">
        <v>18</v>
      </c>
      <c r="C3159" s="27">
        <v>23.5</v>
      </c>
    </row>
    <row r="3160">
      <c r="A3160" s="24" t="s">
        <v>68</v>
      </c>
      <c r="B3160" s="24" t="s">
        <v>41</v>
      </c>
      <c r="C3160" s="27">
        <v>277.0</v>
      </c>
    </row>
    <row r="3161">
      <c r="A3161" s="24" t="s">
        <v>68</v>
      </c>
      <c r="B3161" s="24" t="s">
        <v>64</v>
      </c>
      <c r="C3161" s="27">
        <v>185.0</v>
      </c>
    </row>
    <row r="3162">
      <c r="A3162" s="24" t="s">
        <v>68</v>
      </c>
      <c r="B3162" s="24" t="s">
        <v>25</v>
      </c>
      <c r="C3162" s="27">
        <v>421.0</v>
      </c>
    </row>
    <row r="3163">
      <c r="A3163" s="24" t="s">
        <v>68</v>
      </c>
      <c r="B3163" s="24" t="s">
        <v>65</v>
      </c>
      <c r="C3163" s="27">
        <v>132.0</v>
      </c>
    </row>
    <row r="3164">
      <c r="A3164" s="24" t="s">
        <v>68</v>
      </c>
      <c r="B3164" s="24" t="s">
        <v>22</v>
      </c>
      <c r="C3164" s="27">
        <v>292.0</v>
      </c>
    </row>
    <row r="3165">
      <c r="A3165" s="24" t="s">
        <v>68</v>
      </c>
      <c r="B3165" s="24" t="s">
        <v>53</v>
      </c>
      <c r="C3165" s="27">
        <v>569.0</v>
      </c>
    </row>
    <row r="3166">
      <c r="A3166" s="24" t="s">
        <v>68</v>
      </c>
      <c r="B3166" s="24" t="s">
        <v>36</v>
      </c>
      <c r="C3166" s="27">
        <v>324.0</v>
      </c>
    </row>
    <row r="3167">
      <c r="A3167" s="24" t="s">
        <v>68</v>
      </c>
      <c r="B3167" s="24" t="s">
        <v>35</v>
      </c>
      <c r="C3167" s="27">
        <v>327.0</v>
      </c>
    </row>
    <row r="3168">
      <c r="A3168" s="24" t="s">
        <v>68</v>
      </c>
      <c r="B3168" s="24" t="s">
        <v>43</v>
      </c>
      <c r="C3168" s="27">
        <v>137.0</v>
      </c>
    </row>
    <row r="3169">
      <c r="A3169" s="24" t="s">
        <v>68</v>
      </c>
      <c r="B3169" s="24" t="s">
        <v>26</v>
      </c>
      <c r="C3169" s="27">
        <v>465.0</v>
      </c>
    </row>
    <row r="3170">
      <c r="A3170" s="24" t="s">
        <v>68</v>
      </c>
      <c r="B3170" s="24" t="s">
        <v>41</v>
      </c>
      <c r="C3170" s="27">
        <v>277.0</v>
      </c>
    </row>
    <row r="3171">
      <c r="A3171" s="24" t="s">
        <v>68</v>
      </c>
      <c r="B3171" s="24" t="s">
        <v>50</v>
      </c>
      <c r="C3171" s="27">
        <v>536.0</v>
      </c>
    </row>
    <row r="3172">
      <c r="A3172" s="24" t="s">
        <v>68</v>
      </c>
      <c r="B3172" s="24" t="s">
        <v>28</v>
      </c>
      <c r="C3172" s="27">
        <v>303.0</v>
      </c>
    </row>
    <row r="3173">
      <c r="A3173" s="24" t="s">
        <v>68</v>
      </c>
      <c r="B3173" s="24" t="s">
        <v>64</v>
      </c>
      <c r="C3173" s="27">
        <v>185.0</v>
      </c>
    </row>
    <row r="3174">
      <c r="A3174" s="24" t="s">
        <v>68</v>
      </c>
      <c r="B3174" s="24" t="s">
        <v>48</v>
      </c>
      <c r="C3174" s="27">
        <v>103.0</v>
      </c>
    </row>
    <row r="3175">
      <c r="A3175" s="24" t="s">
        <v>68</v>
      </c>
      <c r="B3175" s="24" t="s">
        <v>23</v>
      </c>
      <c r="C3175" s="27">
        <v>318.0</v>
      </c>
    </row>
    <row r="3176">
      <c r="A3176" s="24" t="s">
        <v>68</v>
      </c>
      <c r="B3176" s="24" t="s">
        <v>65</v>
      </c>
      <c r="C3176" s="27">
        <v>132.0</v>
      </c>
    </row>
    <row r="3177">
      <c r="A3177" s="24" t="s">
        <v>68</v>
      </c>
      <c r="B3177" s="24" t="s">
        <v>59</v>
      </c>
      <c r="C3177" s="27">
        <v>450.0</v>
      </c>
    </row>
    <row r="3178">
      <c r="A3178" s="24" t="s">
        <v>68</v>
      </c>
      <c r="B3178" s="24" t="s">
        <v>54</v>
      </c>
      <c r="C3178" s="27">
        <v>383.0</v>
      </c>
    </row>
    <row r="3179">
      <c r="A3179" s="24" t="s">
        <v>68</v>
      </c>
      <c r="B3179" s="24" t="s">
        <v>68</v>
      </c>
      <c r="C3179" s="27">
        <v>0.0</v>
      </c>
    </row>
    <row r="3180">
      <c r="A3180" s="24" t="s">
        <v>68</v>
      </c>
      <c r="B3180" s="24" t="s">
        <v>69</v>
      </c>
      <c r="C3180" s="27">
        <v>17.9</v>
      </c>
    </row>
    <row r="3181">
      <c r="A3181" s="24" t="s">
        <v>68</v>
      </c>
      <c r="B3181" s="24" t="s">
        <v>36</v>
      </c>
      <c r="C3181" s="27">
        <v>324.0</v>
      </c>
    </row>
    <row r="3182">
      <c r="A3182" s="24" t="s">
        <v>68</v>
      </c>
      <c r="B3182" s="24" t="s">
        <v>34</v>
      </c>
      <c r="C3182" s="27">
        <v>99.6</v>
      </c>
    </row>
    <row r="3183">
      <c r="A3183" s="24" t="s">
        <v>68</v>
      </c>
      <c r="B3183" s="24" t="s">
        <v>70</v>
      </c>
      <c r="C3183" s="27">
        <v>14.7</v>
      </c>
    </row>
    <row r="3184">
      <c r="A3184" s="24" t="s">
        <v>68</v>
      </c>
      <c r="B3184" s="24" t="s">
        <v>43</v>
      </c>
      <c r="C3184" s="27">
        <v>137.0</v>
      </c>
    </row>
    <row r="3185">
      <c r="A3185" s="24" t="s">
        <v>68</v>
      </c>
      <c r="B3185" s="24" t="s">
        <v>71</v>
      </c>
      <c r="C3185" s="27">
        <v>22.6</v>
      </c>
    </row>
    <row r="3186">
      <c r="A3186" s="24" t="s">
        <v>68</v>
      </c>
      <c r="B3186" s="24" t="s">
        <v>50</v>
      </c>
      <c r="C3186" s="27">
        <v>536.0</v>
      </c>
    </row>
    <row r="3187">
      <c r="A3187" s="24" t="s">
        <v>68</v>
      </c>
      <c r="B3187" s="24" t="s">
        <v>42</v>
      </c>
      <c r="C3187" s="27">
        <v>217.0</v>
      </c>
    </row>
    <row r="3188">
      <c r="A3188" s="24" t="s">
        <v>68</v>
      </c>
      <c r="B3188" s="24" t="s">
        <v>23</v>
      </c>
      <c r="C3188" s="27">
        <v>318.0</v>
      </c>
    </row>
    <row r="3189">
      <c r="A3189" s="24" t="s">
        <v>69</v>
      </c>
      <c r="B3189" s="24" t="s">
        <v>18</v>
      </c>
      <c r="C3189" s="27">
        <v>39.8</v>
      </c>
    </row>
    <row r="3190">
      <c r="A3190" s="24" t="s">
        <v>68</v>
      </c>
      <c r="B3190" s="24" t="s">
        <v>21</v>
      </c>
      <c r="C3190" s="27">
        <v>310.0</v>
      </c>
    </row>
    <row r="3191">
      <c r="A3191" s="24" t="s">
        <v>69</v>
      </c>
      <c r="B3191" s="24" t="s">
        <v>49</v>
      </c>
      <c r="C3191" s="27">
        <v>460.0</v>
      </c>
    </row>
    <row r="3192">
      <c r="A3192" s="24" t="s">
        <v>68</v>
      </c>
      <c r="B3192" s="24" t="s">
        <v>33</v>
      </c>
      <c r="C3192" s="27">
        <v>313.0</v>
      </c>
    </row>
    <row r="3193">
      <c r="A3193" s="24" t="s">
        <v>68</v>
      </c>
      <c r="B3193" s="24" t="s">
        <v>66</v>
      </c>
      <c r="C3193" s="27">
        <v>231.0</v>
      </c>
    </row>
    <row r="3194">
      <c r="A3194" s="24" t="s">
        <v>69</v>
      </c>
      <c r="B3194" s="24" t="s">
        <v>22</v>
      </c>
      <c r="C3194" s="27">
        <v>281.0</v>
      </c>
    </row>
    <row r="3195">
      <c r="A3195" s="24" t="s">
        <v>68</v>
      </c>
      <c r="B3195" s="24" t="s">
        <v>34</v>
      </c>
      <c r="C3195" s="27">
        <v>99.6</v>
      </c>
    </row>
    <row r="3196">
      <c r="A3196" s="24" t="s">
        <v>68</v>
      </c>
      <c r="B3196" s="24" t="s">
        <v>60</v>
      </c>
      <c r="C3196" s="27">
        <v>160.0</v>
      </c>
    </row>
    <row r="3197">
      <c r="A3197" s="24" t="s">
        <v>69</v>
      </c>
      <c r="B3197" s="24" t="s">
        <v>35</v>
      </c>
      <c r="C3197" s="27">
        <v>338.0</v>
      </c>
    </row>
    <row r="3198">
      <c r="A3198" s="24" t="s">
        <v>68</v>
      </c>
      <c r="B3198" s="24" t="s">
        <v>20</v>
      </c>
      <c r="C3198" s="27">
        <v>306.0</v>
      </c>
    </row>
    <row r="3199">
      <c r="A3199" s="24" t="s">
        <v>68</v>
      </c>
      <c r="B3199" s="24" t="s">
        <v>45</v>
      </c>
      <c r="C3199" s="27">
        <v>93.6</v>
      </c>
    </row>
    <row r="3200">
      <c r="A3200" s="24" t="s">
        <v>69</v>
      </c>
      <c r="B3200" s="24" t="s">
        <v>41</v>
      </c>
      <c r="C3200" s="27">
        <v>288.0</v>
      </c>
    </row>
    <row r="3201">
      <c r="A3201" s="24" t="s">
        <v>68</v>
      </c>
      <c r="B3201" s="24" t="s">
        <v>42</v>
      </c>
      <c r="C3201" s="27">
        <v>217.0</v>
      </c>
    </row>
    <row r="3202">
      <c r="A3202" s="24" t="s">
        <v>68</v>
      </c>
      <c r="B3202" s="24" t="s">
        <v>56</v>
      </c>
      <c r="C3202" s="27">
        <v>572.0</v>
      </c>
    </row>
    <row r="3203">
      <c r="A3203" s="24" t="s">
        <v>68</v>
      </c>
      <c r="B3203" s="24" t="s">
        <v>21</v>
      </c>
      <c r="C3203" s="27">
        <v>310.0</v>
      </c>
    </row>
    <row r="3204">
      <c r="A3204" s="24" t="s">
        <v>69</v>
      </c>
      <c r="B3204" s="24" t="s">
        <v>65</v>
      </c>
      <c r="C3204" s="27">
        <v>142.0</v>
      </c>
    </row>
    <row r="3205">
      <c r="A3205" s="24" t="s">
        <v>68</v>
      </c>
      <c r="B3205" s="24" t="s">
        <v>44</v>
      </c>
      <c r="C3205" s="27">
        <v>55.6</v>
      </c>
    </row>
    <row r="3206">
      <c r="A3206" s="24" t="s">
        <v>68</v>
      </c>
      <c r="B3206" s="24" t="s">
        <v>33</v>
      </c>
      <c r="C3206" s="27">
        <v>313.0</v>
      </c>
    </row>
    <row r="3207">
      <c r="A3207" s="24" t="s">
        <v>69</v>
      </c>
      <c r="B3207" s="24" t="s">
        <v>36</v>
      </c>
      <c r="C3207" s="27">
        <v>335.0</v>
      </c>
    </row>
    <row r="3208">
      <c r="A3208" s="24" t="s">
        <v>68</v>
      </c>
      <c r="B3208" s="24" t="s">
        <v>27</v>
      </c>
      <c r="C3208" s="27">
        <v>290.0</v>
      </c>
    </row>
    <row r="3209">
      <c r="A3209" s="24" t="s">
        <v>68</v>
      </c>
      <c r="B3209" s="24" t="s">
        <v>66</v>
      </c>
      <c r="C3209" s="27">
        <v>231.0</v>
      </c>
    </row>
    <row r="3210">
      <c r="A3210" s="24" t="s">
        <v>68</v>
      </c>
      <c r="B3210" s="24" t="s">
        <v>60</v>
      </c>
      <c r="C3210" s="27">
        <v>160.0</v>
      </c>
    </row>
    <row r="3211">
      <c r="A3211" s="24" t="s">
        <v>68</v>
      </c>
      <c r="B3211" s="24" t="s">
        <v>57</v>
      </c>
      <c r="C3211" s="27">
        <v>481.0</v>
      </c>
    </row>
    <row r="3212">
      <c r="A3212" s="24" t="s">
        <v>68</v>
      </c>
      <c r="B3212" s="24" t="s">
        <v>37</v>
      </c>
      <c r="C3212" s="27">
        <v>263.0</v>
      </c>
    </row>
    <row r="3213">
      <c r="A3213" s="24" t="s">
        <v>69</v>
      </c>
      <c r="B3213" s="24" t="s">
        <v>50</v>
      </c>
      <c r="C3213" s="27">
        <v>524.0</v>
      </c>
    </row>
    <row r="3214">
      <c r="A3214" s="24" t="s">
        <v>68</v>
      </c>
      <c r="B3214" s="24" t="s">
        <v>55</v>
      </c>
      <c r="C3214" s="27">
        <v>512.0</v>
      </c>
    </row>
    <row r="3215">
      <c r="A3215" s="24" t="s">
        <v>68</v>
      </c>
      <c r="B3215" s="24" t="s">
        <v>39</v>
      </c>
      <c r="C3215" s="27">
        <v>246.0</v>
      </c>
    </row>
    <row r="3216">
      <c r="A3216" s="24" t="s">
        <v>68</v>
      </c>
      <c r="B3216" s="24" t="s">
        <v>56</v>
      </c>
      <c r="C3216" s="27">
        <v>572.0</v>
      </c>
    </row>
    <row r="3217">
      <c r="A3217" s="24" t="s">
        <v>69</v>
      </c>
      <c r="B3217" s="24" t="s">
        <v>54</v>
      </c>
      <c r="C3217" s="27">
        <v>371.0</v>
      </c>
    </row>
    <row r="3218">
      <c r="A3218" s="24" t="s">
        <v>68</v>
      </c>
      <c r="B3218" s="24" t="s">
        <v>31</v>
      </c>
      <c r="C3218" s="27">
        <v>449.0</v>
      </c>
    </row>
    <row r="3219">
      <c r="A3219" s="24" t="s">
        <v>69</v>
      </c>
      <c r="B3219" s="24" t="s">
        <v>34</v>
      </c>
      <c r="C3219" s="27">
        <v>87.8</v>
      </c>
    </row>
    <row r="3220">
      <c r="A3220" s="24" t="s">
        <v>69</v>
      </c>
      <c r="B3220" s="24" t="s">
        <v>20</v>
      </c>
      <c r="C3220" s="27">
        <v>295.0</v>
      </c>
    </row>
    <row r="3221">
      <c r="A3221" s="24" t="s">
        <v>68</v>
      </c>
      <c r="B3221" s="24" t="s">
        <v>40</v>
      </c>
      <c r="C3221" s="27">
        <v>179.0</v>
      </c>
    </row>
    <row r="3222">
      <c r="A3222" s="24" t="s">
        <v>68</v>
      </c>
      <c r="B3222" s="24" t="s">
        <v>27</v>
      </c>
      <c r="C3222" s="27">
        <v>290.0</v>
      </c>
    </row>
    <row r="3223">
      <c r="A3223" s="24" t="s">
        <v>68</v>
      </c>
      <c r="B3223" s="24" t="s">
        <v>51</v>
      </c>
      <c r="C3223" s="27">
        <v>313.0</v>
      </c>
    </row>
    <row r="3224">
      <c r="A3224" s="24" t="s">
        <v>68</v>
      </c>
      <c r="B3224" s="24" t="s">
        <v>57</v>
      </c>
      <c r="C3224" s="27">
        <v>481.0</v>
      </c>
    </row>
    <row r="3225">
      <c r="A3225" s="24" t="s">
        <v>69</v>
      </c>
      <c r="B3225" s="24" t="s">
        <v>21</v>
      </c>
      <c r="C3225" s="27">
        <v>298.0</v>
      </c>
    </row>
    <row r="3226">
      <c r="A3226" s="24" t="s">
        <v>68</v>
      </c>
      <c r="B3226" s="24" t="s">
        <v>37</v>
      </c>
      <c r="C3226" s="27">
        <v>263.0</v>
      </c>
    </row>
    <row r="3227">
      <c r="A3227" s="24" t="s">
        <v>69</v>
      </c>
      <c r="B3227" s="24" t="s">
        <v>33</v>
      </c>
      <c r="C3227" s="27">
        <v>301.0</v>
      </c>
    </row>
    <row r="3228">
      <c r="A3228" s="24" t="s">
        <v>68</v>
      </c>
      <c r="B3228" s="24" t="s">
        <v>62</v>
      </c>
      <c r="C3228" s="27">
        <v>18.8</v>
      </c>
    </row>
    <row r="3229">
      <c r="A3229" s="24" t="s">
        <v>69</v>
      </c>
      <c r="B3229" s="24" t="s">
        <v>66</v>
      </c>
      <c r="C3229" s="27">
        <v>249.0</v>
      </c>
    </row>
    <row r="3230">
      <c r="A3230" s="24" t="s">
        <v>68</v>
      </c>
      <c r="B3230" s="24" t="s">
        <v>30</v>
      </c>
      <c r="C3230" s="27">
        <v>328.0</v>
      </c>
    </row>
    <row r="3231">
      <c r="A3231" s="24" t="s">
        <v>69</v>
      </c>
      <c r="B3231" s="24" t="s">
        <v>60</v>
      </c>
      <c r="C3231" s="27">
        <v>148.0</v>
      </c>
    </row>
    <row r="3232">
      <c r="A3232" s="24" t="s">
        <v>69</v>
      </c>
      <c r="B3232" s="24" t="s">
        <v>45</v>
      </c>
      <c r="C3232" s="27">
        <v>104.0</v>
      </c>
    </row>
    <row r="3233">
      <c r="A3233" s="24" t="s">
        <v>68</v>
      </c>
      <c r="B3233" s="24" t="s">
        <v>40</v>
      </c>
      <c r="C3233" s="27">
        <v>179.0</v>
      </c>
    </row>
    <row r="3234">
      <c r="A3234" s="24" t="s">
        <v>68</v>
      </c>
      <c r="B3234" s="24" t="s">
        <v>51</v>
      </c>
      <c r="C3234" s="27">
        <v>313.0</v>
      </c>
    </row>
    <row r="3235">
      <c r="A3235" s="24" t="s">
        <v>68</v>
      </c>
      <c r="B3235" s="24" t="s">
        <v>46</v>
      </c>
      <c r="C3235" s="27">
        <v>93.6</v>
      </c>
    </row>
    <row r="3236">
      <c r="A3236" s="24" t="s">
        <v>69</v>
      </c>
      <c r="B3236" s="24" t="s">
        <v>56</v>
      </c>
      <c r="C3236" s="27">
        <v>560.0</v>
      </c>
    </row>
    <row r="3237">
      <c r="A3237" s="24" t="s">
        <v>68</v>
      </c>
      <c r="B3237" s="24" t="s">
        <v>47</v>
      </c>
      <c r="C3237" s="27">
        <v>62.7</v>
      </c>
    </row>
    <row r="3238">
      <c r="A3238" s="24" t="s">
        <v>69</v>
      </c>
      <c r="B3238" s="24" t="s">
        <v>44</v>
      </c>
      <c r="C3238" s="27">
        <v>73.3</v>
      </c>
    </row>
    <row r="3239">
      <c r="A3239" s="24" t="s">
        <v>68</v>
      </c>
      <c r="B3239" s="24" t="s">
        <v>62</v>
      </c>
      <c r="C3239" s="27">
        <v>18.8</v>
      </c>
    </row>
    <row r="3240">
      <c r="A3240" s="24" t="s">
        <v>68</v>
      </c>
      <c r="B3240" s="24" t="s">
        <v>63</v>
      </c>
      <c r="C3240" s="27">
        <v>194.0</v>
      </c>
    </row>
    <row r="3241">
      <c r="A3241" s="24" t="s">
        <v>69</v>
      </c>
      <c r="B3241" s="24" t="s">
        <v>27</v>
      </c>
      <c r="C3241" s="27">
        <v>278.0</v>
      </c>
    </row>
    <row r="3242">
      <c r="A3242" s="24" t="s">
        <v>68</v>
      </c>
      <c r="B3242" s="24" t="s">
        <v>58</v>
      </c>
      <c r="C3242" s="27">
        <v>498.0</v>
      </c>
    </row>
    <row r="3243">
      <c r="A3243" s="24" t="s">
        <v>68</v>
      </c>
      <c r="B3243" s="24" t="s">
        <v>32</v>
      </c>
      <c r="C3243" s="27">
        <v>363.0</v>
      </c>
    </row>
    <row r="3244">
      <c r="A3244" s="24" t="s">
        <v>68</v>
      </c>
      <c r="B3244" s="24" t="s">
        <v>29</v>
      </c>
      <c r="C3244" s="27">
        <v>490.0</v>
      </c>
    </row>
    <row r="3245">
      <c r="A3245" s="24" t="s">
        <v>68</v>
      </c>
      <c r="B3245" s="24" t="s">
        <v>46</v>
      </c>
      <c r="C3245" s="27">
        <v>93.6</v>
      </c>
    </row>
    <row r="3246">
      <c r="A3246" s="24" t="s">
        <v>68</v>
      </c>
      <c r="B3246" s="24" t="s">
        <v>38</v>
      </c>
      <c r="C3246" s="27">
        <v>350.0</v>
      </c>
    </row>
    <row r="3247">
      <c r="A3247" s="24" t="s">
        <v>68</v>
      </c>
      <c r="B3247" s="24" t="s">
        <v>24</v>
      </c>
      <c r="C3247" s="27">
        <v>370.0</v>
      </c>
    </row>
    <row r="3248">
      <c r="A3248" s="24" t="s">
        <v>68</v>
      </c>
      <c r="B3248" s="24" t="s">
        <v>61</v>
      </c>
      <c r="C3248" s="27">
        <v>28.5</v>
      </c>
    </row>
    <row r="3249">
      <c r="A3249" s="24" t="s">
        <v>69</v>
      </c>
      <c r="B3249" s="24" t="s">
        <v>31</v>
      </c>
      <c r="C3249" s="27">
        <v>437.0</v>
      </c>
    </row>
    <row r="3250">
      <c r="A3250" s="24" t="s">
        <v>68</v>
      </c>
      <c r="B3250" s="24" t="s">
        <v>63</v>
      </c>
      <c r="C3250" s="27">
        <v>194.0</v>
      </c>
    </row>
    <row r="3251">
      <c r="A3251" s="24" t="s">
        <v>68</v>
      </c>
      <c r="B3251" s="24" t="s">
        <v>52</v>
      </c>
      <c r="C3251" s="27">
        <v>340.0</v>
      </c>
    </row>
    <row r="3252">
      <c r="A3252" s="24" t="s">
        <v>68</v>
      </c>
      <c r="B3252" s="24" t="s">
        <v>58</v>
      </c>
      <c r="C3252" s="27">
        <v>498.0</v>
      </c>
    </row>
    <row r="3253">
      <c r="A3253" s="24" t="s">
        <v>68</v>
      </c>
      <c r="B3253" s="24" t="s">
        <v>25</v>
      </c>
      <c r="C3253" s="27">
        <v>421.0</v>
      </c>
    </row>
    <row r="3254">
      <c r="A3254" s="24" t="s">
        <v>68</v>
      </c>
      <c r="B3254" s="24" t="s">
        <v>29</v>
      </c>
      <c r="C3254" s="27">
        <v>490.0</v>
      </c>
    </row>
    <row r="3255">
      <c r="A3255" s="24" t="s">
        <v>69</v>
      </c>
      <c r="B3255" s="24" t="s">
        <v>47</v>
      </c>
      <c r="C3255" s="27">
        <v>73.5</v>
      </c>
    </row>
    <row r="3256">
      <c r="A3256" s="24" t="s">
        <v>68</v>
      </c>
      <c r="B3256" s="24" t="s">
        <v>67</v>
      </c>
      <c r="C3256" s="27">
        <v>440.0</v>
      </c>
    </row>
    <row r="3257">
      <c r="A3257" s="24" t="s">
        <v>68</v>
      </c>
      <c r="B3257" s="24" t="s">
        <v>38</v>
      </c>
      <c r="C3257" s="27">
        <v>350.0</v>
      </c>
    </row>
    <row r="3258">
      <c r="A3258" s="24" t="s">
        <v>68</v>
      </c>
      <c r="B3258" s="24" t="s">
        <v>61</v>
      </c>
      <c r="C3258" s="27">
        <v>28.5</v>
      </c>
    </row>
    <row r="3259">
      <c r="A3259" s="24" t="s">
        <v>68</v>
      </c>
      <c r="B3259" s="24" t="s">
        <v>53</v>
      </c>
      <c r="C3259" s="27">
        <v>569.0</v>
      </c>
    </row>
    <row r="3260">
      <c r="A3260" s="24" t="s">
        <v>69</v>
      </c>
      <c r="B3260" s="24" t="s">
        <v>30</v>
      </c>
      <c r="C3260" s="27">
        <v>316.0</v>
      </c>
    </row>
    <row r="3261">
      <c r="A3261" s="24" t="s">
        <v>68</v>
      </c>
      <c r="B3261" s="24" t="s">
        <v>52</v>
      </c>
      <c r="C3261" s="27">
        <v>340.0</v>
      </c>
    </row>
    <row r="3262">
      <c r="A3262" s="24" t="s">
        <v>69</v>
      </c>
      <c r="B3262" s="24" t="s">
        <v>32</v>
      </c>
      <c r="C3262" s="27">
        <v>352.0</v>
      </c>
    </row>
    <row r="3263">
      <c r="A3263" s="24" t="s">
        <v>68</v>
      </c>
      <c r="B3263" s="24" t="s">
        <v>26</v>
      </c>
      <c r="C3263" s="27">
        <v>465.0</v>
      </c>
    </row>
    <row r="3264">
      <c r="A3264" s="24" t="s">
        <v>68</v>
      </c>
      <c r="B3264" s="24" t="s">
        <v>25</v>
      </c>
      <c r="C3264" s="27">
        <v>421.0</v>
      </c>
    </row>
    <row r="3265">
      <c r="A3265" s="24" t="s">
        <v>68</v>
      </c>
      <c r="B3265" s="24" t="s">
        <v>28</v>
      </c>
      <c r="C3265" s="27">
        <v>303.0</v>
      </c>
    </row>
    <row r="3266">
      <c r="A3266" s="24" t="s">
        <v>68</v>
      </c>
      <c r="B3266" s="24" t="s">
        <v>48</v>
      </c>
      <c r="C3266" s="27">
        <v>103.0</v>
      </c>
    </row>
    <row r="3267">
      <c r="A3267" s="24" t="s">
        <v>69</v>
      </c>
      <c r="B3267" s="24" t="s">
        <v>46</v>
      </c>
      <c r="C3267" s="27">
        <v>104.0</v>
      </c>
    </row>
    <row r="3268">
      <c r="A3268" s="24" t="s">
        <v>68</v>
      </c>
      <c r="B3268" s="24" t="s">
        <v>53</v>
      </c>
      <c r="C3268" s="27">
        <v>569.0</v>
      </c>
    </row>
    <row r="3269">
      <c r="A3269" s="24" t="s">
        <v>69</v>
      </c>
      <c r="B3269" s="24" t="s">
        <v>24</v>
      </c>
      <c r="C3269" s="27">
        <v>358.0</v>
      </c>
    </row>
    <row r="3270">
      <c r="A3270" s="24" t="s">
        <v>68</v>
      </c>
      <c r="B3270" s="24" t="s">
        <v>26</v>
      </c>
      <c r="C3270" s="27">
        <v>465.0</v>
      </c>
    </row>
    <row r="3271">
      <c r="A3271" s="24" t="s">
        <v>69</v>
      </c>
      <c r="B3271" s="24" t="s">
        <v>63</v>
      </c>
      <c r="C3271" s="27">
        <v>183.0</v>
      </c>
    </row>
    <row r="3272">
      <c r="A3272" s="24" t="s">
        <v>68</v>
      </c>
      <c r="B3272" s="24" t="s">
        <v>68</v>
      </c>
      <c r="C3272" s="27">
        <v>0.0</v>
      </c>
    </row>
    <row r="3273">
      <c r="A3273" s="24" t="s">
        <v>69</v>
      </c>
      <c r="B3273" s="24" t="s">
        <v>58</v>
      </c>
      <c r="C3273" s="27">
        <v>486.0</v>
      </c>
    </row>
    <row r="3274">
      <c r="A3274" s="24" t="s">
        <v>68</v>
      </c>
      <c r="B3274" s="24" t="s">
        <v>69</v>
      </c>
      <c r="C3274" s="27">
        <v>17.9</v>
      </c>
    </row>
    <row r="3275">
      <c r="A3275" s="24" t="s">
        <v>68</v>
      </c>
      <c r="B3275" s="24" t="s">
        <v>48</v>
      </c>
      <c r="C3275" s="27">
        <v>103.0</v>
      </c>
    </row>
    <row r="3276">
      <c r="A3276" s="24" t="s">
        <v>68</v>
      </c>
      <c r="B3276" s="24" t="s">
        <v>70</v>
      </c>
      <c r="C3276" s="27">
        <v>14.7</v>
      </c>
    </row>
    <row r="3277">
      <c r="A3277" s="24" t="s">
        <v>68</v>
      </c>
      <c r="B3277" s="24" t="s">
        <v>59</v>
      </c>
      <c r="C3277" s="27">
        <v>450.0</v>
      </c>
    </row>
    <row r="3278">
      <c r="A3278" s="24" t="s">
        <v>69</v>
      </c>
      <c r="B3278" s="24" t="s">
        <v>38</v>
      </c>
      <c r="C3278" s="27">
        <v>338.0</v>
      </c>
    </row>
    <row r="3279">
      <c r="A3279" s="24" t="s">
        <v>68</v>
      </c>
      <c r="B3279" s="24" t="s">
        <v>68</v>
      </c>
      <c r="C3279" s="27">
        <v>0.0</v>
      </c>
    </row>
    <row r="3280">
      <c r="A3280" s="24" t="s">
        <v>68</v>
      </c>
      <c r="B3280" s="24" t="s">
        <v>71</v>
      </c>
      <c r="C3280" s="27">
        <v>22.6</v>
      </c>
    </row>
    <row r="3281">
      <c r="A3281" s="24" t="s">
        <v>68</v>
      </c>
      <c r="B3281" s="24" t="s">
        <v>69</v>
      </c>
      <c r="C3281" s="27">
        <v>17.9</v>
      </c>
    </row>
    <row r="3282">
      <c r="A3282" s="24" t="s">
        <v>69</v>
      </c>
      <c r="B3282" s="24" t="s">
        <v>18</v>
      </c>
      <c r="C3282" s="27">
        <v>39.8</v>
      </c>
    </row>
    <row r="3283">
      <c r="A3283" s="24" t="s">
        <v>69</v>
      </c>
      <c r="B3283" s="24" t="s">
        <v>61</v>
      </c>
      <c r="C3283" s="27">
        <v>16.7</v>
      </c>
    </row>
    <row r="3284">
      <c r="A3284" s="24" t="s">
        <v>69</v>
      </c>
      <c r="B3284" s="24" t="s">
        <v>52</v>
      </c>
      <c r="C3284" s="27">
        <v>328.0</v>
      </c>
    </row>
    <row r="3285">
      <c r="A3285" s="24" t="s">
        <v>68</v>
      </c>
      <c r="B3285" s="24" t="s">
        <v>71</v>
      </c>
      <c r="C3285" s="27">
        <v>22.6</v>
      </c>
    </row>
    <row r="3286">
      <c r="A3286" s="24" t="s">
        <v>69</v>
      </c>
      <c r="B3286" s="24" t="s">
        <v>18</v>
      </c>
      <c r="C3286" s="27">
        <v>39.8</v>
      </c>
    </row>
    <row r="3287">
      <c r="A3287" s="24" t="s">
        <v>69</v>
      </c>
      <c r="B3287" s="24" t="s">
        <v>22</v>
      </c>
      <c r="C3287" s="27">
        <v>281.0</v>
      </c>
    </row>
    <row r="3288">
      <c r="A3288" s="24" t="s">
        <v>69</v>
      </c>
      <c r="B3288" s="24" t="s">
        <v>49</v>
      </c>
      <c r="C3288" s="27">
        <v>460.0</v>
      </c>
    </row>
    <row r="3289">
      <c r="A3289" s="24" t="s">
        <v>69</v>
      </c>
      <c r="B3289" s="24" t="s">
        <v>67</v>
      </c>
      <c r="C3289" s="27">
        <v>428.0</v>
      </c>
    </row>
    <row r="3290">
      <c r="A3290" s="24" t="s">
        <v>69</v>
      </c>
      <c r="B3290" s="24" t="s">
        <v>35</v>
      </c>
      <c r="C3290" s="27">
        <v>338.0</v>
      </c>
    </row>
    <row r="3291">
      <c r="A3291" s="24" t="s">
        <v>69</v>
      </c>
      <c r="B3291" s="24" t="s">
        <v>53</v>
      </c>
      <c r="C3291" s="27">
        <v>557.0</v>
      </c>
    </row>
    <row r="3292">
      <c r="A3292" s="24" t="s">
        <v>69</v>
      </c>
      <c r="B3292" s="24" t="s">
        <v>41</v>
      </c>
      <c r="C3292" s="27">
        <v>288.0</v>
      </c>
    </row>
    <row r="3293">
      <c r="A3293" s="24" t="s">
        <v>69</v>
      </c>
      <c r="B3293" s="24" t="s">
        <v>35</v>
      </c>
      <c r="C3293" s="27">
        <v>338.0</v>
      </c>
    </row>
    <row r="3294">
      <c r="A3294" s="24" t="s">
        <v>69</v>
      </c>
      <c r="B3294" s="24" t="s">
        <v>64</v>
      </c>
      <c r="C3294" s="27">
        <v>196.0</v>
      </c>
    </row>
    <row r="3295">
      <c r="A3295" s="24" t="s">
        <v>69</v>
      </c>
      <c r="B3295" s="24" t="s">
        <v>41</v>
      </c>
      <c r="C3295" s="27">
        <v>288.0</v>
      </c>
    </row>
    <row r="3296">
      <c r="A3296" s="24" t="s">
        <v>69</v>
      </c>
      <c r="B3296" s="24" t="s">
        <v>28</v>
      </c>
      <c r="C3296" s="27">
        <v>291.0</v>
      </c>
    </row>
    <row r="3297">
      <c r="A3297" s="24" t="s">
        <v>69</v>
      </c>
      <c r="B3297" s="24" t="s">
        <v>65</v>
      </c>
      <c r="C3297" s="27">
        <v>142.0</v>
      </c>
    </row>
    <row r="3298">
      <c r="A3298" s="24" t="s">
        <v>69</v>
      </c>
      <c r="B3298" s="24" t="s">
        <v>64</v>
      </c>
      <c r="C3298" s="27">
        <v>196.0</v>
      </c>
    </row>
    <row r="3299">
      <c r="A3299" s="24" t="s">
        <v>69</v>
      </c>
      <c r="B3299" s="24" t="s">
        <v>48</v>
      </c>
      <c r="C3299" s="27">
        <v>114.0</v>
      </c>
    </row>
    <row r="3300">
      <c r="A3300" s="24" t="s">
        <v>69</v>
      </c>
      <c r="B3300" s="24" t="s">
        <v>65</v>
      </c>
      <c r="C3300" s="27">
        <v>142.0</v>
      </c>
    </row>
    <row r="3301">
      <c r="A3301" s="24" t="s">
        <v>69</v>
      </c>
      <c r="B3301" s="24" t="s">
        <v>36</v>
      </c>
      <c r="C3301" s="27">
        <v>335.0</v>
      </c>
    </row>
    <row r="3302">
      <c r="A3302" s="24" t="s">
        <v>69</v>
      </c>
      <c r="B3302" s="24" t="s">
        <v>36</v>
      </c>
      <c r="C3302" s="27">
        <v>335.0</v>
      </c>
    </row>
    <row r="3303">
      <c r="A3303" s="24" t="s">
        <v>69</v>
      </c>
      <c r="B3303" s="24" t="s">
        <v>68</v>
      </c>
      <c r="C3303" s="27">
        <v>17.9</v>
      </c>
    </row>
    <row r="3304">
      <c r="A3304" s="24" t="s">
        <v>69</v>
      </c>
      <c r="B3304" s="24" t="s">
        <v>43</v>
      </c>
      <c r="C3304" s="27">
        <v>226.0</v>
      </c>
    </row>
    <row r="3305">
      <c r="A3305" s="24" t="s">
        <v>69</v>
      </c>
      <c r="B3305" s="24" t="s">
        <v>43</v>
      </c>
      <c r="C3305" s="27">
        <v>226.0</v>
      </c>
    </row>
    <row r="3306">
      <c r="A3306" s="24" t="s">
        <v>69</v>
      </c>
      <c r="B3306" s="24" t="s">
        <v>69</v>
      </c>
      <c r="C3306" s="27">
        <v>0.0</v>
      </c>
    </row>
    <row r="3307">
      <c r="A3307" s="24" t="s">
        <v>69</v>
      </c>
      <c r="B3307" s="24" t="s">
        <v>50</v>
      </c>
      <c r="C3307" s="27">
        <v>524.0</v>
      </c>
    </row>
    <row r="3308">
      <c r="A3308" s="24" t="s">
        <v>69</v>
      </c>
      <c r="B3308" s="24" t="s">
        <v>50</v>
      </c>
      <c r="C3308" s="27">
        <v>524.0</v>
      </c>
    </row>
    <row r="3309">
      <c r="A3309" s="24" t="s">
        <v>69</v>
      </c>
      <c r="B3309" s="24" t="s">
        <v>23</v>
      </c>
      <c r="C3309" s="27">
        <v>306.0</v>
      </c>
    </row>
    <row r="3310">
      <c r="A3310" s="24" t="s">
        <v>69</v>
      </c>
      <c r="B3310" s="24" t="s">
        <v>23</v>
      </c>
      <c r="C3310" s="27">
        <v>306.0</v>
      </c>
    </row>
    <row r="3311">
      <c r="A3311" s="24" t="s">
        <v>69</v>
      </c>
      <c r="B3311" s="24" t="s">
        <v>71</v>
      </c>
      <c r="C3311" s="27">
        <v>39.1</v>
      </c>
    </row>
    <row r="3312">
      <c r="A3312" s="24" t="s">
        <v>69</v>
      </c>
      <c r="B3312" s="24" t="s">
        <v>54</v>
      </c>
      <c r="C3312" s="27">
        <v>371.0</v>
      </c>
    </row>
    <row r="3313">
      <c r="A3313" s="24" t="s">
        <v>69</v>
      </c>
      <c r="B3313" s="24" t="s">
        <v>34</v>
      </c>
      <c r="C3313" s="27">
        <v>87.8</v>
      </c>
    </row>
    <row r="3314">
      <c r="A3314" s="24" t="s">
        <v>70</v>
      </c>
      <c r="B3314" s="24" t="s">
        <v>49</v>
      </c>
      <c r="C3314" s="27">
        <v>458.0</v>
      </c>
    </row>
    <row r="3315">
      <c r="A3315" s="24" t="s">
        <v>69</v>
      </c>
      <c r="B3315" s="24" t="s">
        <v>34</v>
      </c>
      <c r="C3315" s="27">
        <v>87.8</v>
      </c>
    </row>
    <row r="3316">
      <c r="A3316" s="24" t="s">
        <v>69</v>
      </c>
      <c r="B3316" s="24" t="s">
        <v>20</v>
      </c>
      <c r="C3316" s="27">
        <v>295.0</v>
      </c>
    </row>
    <row r="3317">
      <c r="A3317" s="24" t="s">
        <v>70</v>
      </c>
      <c r="B3317" s="24" t="s">
        <v>22</v>
      </c>
      <c r="C3317" s="27">
        <v>279.0</v>
      </c>
    </row>
    <row r="3318">
      <c r="A3318" s="24" t="s">
        <v>69</v>
      </c>
      <c r="B3318" s="24" t="s">
        <v>42</v>
      </c>
      <c r="C3318" s="27">
        <v>228.0</v>
      </c>
    </row>
    <row r="3319">
      <c r="A3319" s="24" t="s">
        <v>69</v>
      </c>
      <c r="B3319" s="24" t="s">
        <v>20</v>
      </c>
      <c r="C3319" s="27">
        <v>295.0</v>
      </c>
    </row>
    <row r="3320">
      <c r="A3320" s="24" t="s">
        <v>69</v>
      </c>
      <c r="B3320" s="24" t="s">
        <v>21</v>
      </c>
      <c r="C3320" s="27">
        <v>298.0</v>
      </c>
    </row>
    <row r="3321">
      <c r="A3321" s="24" t="s">
        <v>69</v>
      </c>
      <c r="B3321" s="24" t="s">
        <v>33</v>
      </c>
      <c r="C3321" s="27">
        <v>301.0</v>
      </c>
    </row>
    <row r="3322">
      <c r="A3322" s="24" t="s">
        <v>70</v>
      </c>
      <c r="B3322" s="24" t="s">
        <v>35</v>
      </c>
      <c r="C3322" s="27">
        <v>335.0</v>
      </c>
    </row>
    <row r="3323">
      <c r="A3323" s="24" t="s">
        <v>69</v>
      </c>
      <c r="B3323" s="24" t="s">
        <v>42</v>
      </c>
      <c r="C3323" s="27">
        <v>228.0</v>
      </c>
    </row>
    <row r="3324">
      <c r="A3324" s="24" t="s">
        <v>70</v>
      </c>
      <c r="B3324" s="24" t="s">
        <v>41</v>
      </c>
      <c r="C3324" s="27">
        <v>285.0</v>
      </c>
    </row>
    <row r="3325">
      <c r="A3325" s="24" t="s">
        <v>69</v>
      </c>
      <c r="B3325" s="24" t="s">
        <v>66</v>
      </c>
      <c r="C3325" s="27">
        <v>249.0</v>
      </c>
    </row>
    <row r="3326">
      <c r="A3326" s="24" t="s">
        <v>70</v>
      </c>
      <c r="B3326" s="24" t="s">
        <v>65</v>
      </c>
      <c r="C3326" s="27">
        <v>140.0</v>
      </c>
    </row>
    <row r="3327">
      <c r="A3327" s="24" t="s">
        <v>69</v>
      </c>
      <c r="B3327" s="24" t="s">
        <v>60</v>
      </c>
      <c r="C3327" s="27">
        <v>148.0</v>
      </c>
    </row>
    <row r="3328">
      <c r="A3328" s="24" t="s">
        <v>70</v>
      </c>
      <c r="B3328" s="24" t="s">
        <v>36</v>
      </c>
      <c r="C3328" s="27">
        <v>333.0</v>
      </c>
    </row>
    <row r="3329">
      <c r="A3329" s="24" t="s">
        <v>69</v>
      </c>
      <c r="B3329" s="24" t="s">
        <v>45</v>
      </c>
      <c r="C3329" s="27">
        <v>104.0</v>
      </c>
    </row>
    <row r="3330">
      <c r="A3330" s="24" t="s">
        <v>69</v>
      </c>
      <c r="B3330" s="24" t="s">
        <v>33</v>
      </c>
      <c r="C3330" s="27">
        <v>301.0</v>
      </c>
    </row>
    <row r="3331">
      <c r="A3331" s="24" t="s">
        <v>69</v>
      </c>
      <c r="B3331" s="24" t="s">
        <v>55</v>
      </c>
      <c r="C3331" s="27">
        <v>501.0</v>
      </c>
    </row>
    <row r="3332">
      <c r="A3332" s="24" t="s">
        <v>70</v>
      </c>
      <c r="B3332" s="24" t="s">
        <v>43</v>
      </c>
      <c r="C3332" s="27">
        <v>224.0</v>
      </c>
    </row>
    <row r="3333">
      <c r="A3333" s="24" t="s">
        <v>69</v>
      </c>
      <c r="B3333" s="24" t="s">
        <v>56</v>
      </c>
      <c r="C3333" s="27">
        <v>560.0</v>
      </c>
    </row>
    <row r="3334">
      <c r="A3334" s="24" t="s">
        <v>70</v>
      </c>
      <c r="B3334" s="24" t="s">
        <v>50</v>
      </c>
      <c r="C3334" s="27">
        <v>523.0</v>
      </c>
    </row>
    <row r="3335">
      <c r="A3335" s="24" t="s">
        <v>69</v>
      </c>
      <c r="B3335" s="24" t="s">
        <v>44</v>
      </c>
      <c r="C3335" s="27">
        <v>73.3</v>
      </c>
    </row>
    <row r="3336">
      <c r="A3336" s="24" t="s">
        <v>69</v>
      </c>
      <c r="B3336" s="24" t="s">
        <v>45</v>
      </c>
      <c r="C3336" s="27">
        <v>104.0</v>
      </c>
    </row>
    <row r="3337">
      <c r="A3337" s="24" t="s">
        <v>69</v>
      </c>
      <c r="B3337" s="24" t="s">
        <v>55</v>
      </c>
      <c r="C3337" s="27">
        <v>501.0</v>
      </c>
    </row>
    <row r="3338">
      <c r="A3338" s="24" t="s">
        <v>69</v>
      </c>
      <c r="B3338" s="24" t="s">
        <v>27</v>
      </c>
      <c r="C3338" s="27">
        <v>278.0</v>
      </c>
    </row>
    <row r="3339">
      <c r="A3339" s="24" t="s">
        <v>70</v>
      </c>
      <c r="B3339" s="24" t="s">
        <v>54</v>
      </c>
      <c r="C3339" s="27">
        <v>369.0</v>
      </c>
    </row>
    <row r="3340">
      <c r="A3340" s="24" t="s">
        <v>70</v>
      </c>
      <c r="B3340" s="24" t="s">
        <v>34</v>
      </c>
      <c r="C3340" s="27">
        <v>86.0</v>
      </c>
    </row>
    <row r="3341">
      <c r="A3341" s="24" t="s">
        <v>69</v>
      </c>
      <c r="B3341" s="24" t="s">
        <v>56</v>
      </c>
      <c r="C3341" s="27">
        <v>560.0</v>
      </c>
    </row>
    <row r="3342">
      <c r="A3342" s="24" t="s">
        <v>69</v>
      </c>
      <c r="B3342" s="24" t="s">
        <v>57</v>
      </c>
      <c r="C3342" s="27">
        <v>469.0</v>
      </c>
    </row>
    <row r="3343">
      <c r="A3343" s="24" t="s">
        <v>70</v>
      </c>
      <c r="B3343" s="24" t="s">
        <v>20</v>
      </c>
      <c r="C3343" s="27">
        <v>293.0</v>
      </c>
    </row>
    <row r="3344">
      <c r="A3344" s="24" t="s">
        <v>69</v>
      </c>
      <c r="B3344" s="24" t="s">
        <v>37</v>
      </c>
      <c r="C3344" s="27">
        <v>251.0</v>
      </c>
    </row>
    <row r="3345">
      <c r="A3345" s="24" t="s">
        <v>70</v>
      </c>
      <c r="B3345" s="24" t="s">
        <v>42</v>
      </c>
      <c r="C3345" s="27">
        <v>226.0</v>
      </c>
    </row>
    <row r="3346">
      <c r="A3346" s="24" t="s">
        <v>70</v>
      </c>
      <c r="B3346" s="24" t="s">
        <v>21</v>
      </c>
      <c r="C3346" s="27">
        <v>296.0</v>
      </c>
    </row>
    <row r="3347">
      <c r="A3347" s="24" t="s">
        <v>69</v>
      </c>
      <c r="B3347" s="24" t="s">
        <v>39</v>
      </c>
      <c r="C3347" s="27">
        <v>234.0</v>
      </c>
    </row>
    <row r="3348">
      <c r="A3348" s="24" t="s">
        <v>69</v>
      </c>
      <c r="B3348" s="24" t="s">
        <v>44</v>
      </c>
      <c r="C3348" s="27">
        <v>73.3</v>
      </c>
    </row>
    <row r="3349">
      <c r="A3349" s="24" t="s">
        <v>69</v>
      </c>
      <c r="B3349" s="24" t="s">
        <v>31</v>
      </c>
      <c r="C3349" s="27">
        <v>437.0</v>
      </c>
    </row>
    <row r="3350">
      <c r="A3350" s="24" t="s">
        <v>70</v>
      </c>
      <c r="B3350" s="24" t="s">
        <v>33</v>
      </c>
      <c r="C3350" s="27">
        <v>299.0</v>
      </c>
    </row>
    <row r="3351">
      <c r="A3351" s="24" t="s">
        <v>69</v>
      </c>
      <c r="B3351" s="24" t="s">
        <v>57</v>
      </c>
      <c r="C3351" s="27">
        <v>469.0</v>
      </c>
    </row>
    <row r="3352">
      <c r="A3352" s="24" t="s">
        <v>69</v>
      </c>
      <c r="B3352" s="24" t="s">
        <v>40</v>
      </c>
      <c r="C3352" s="27">
        <v>167.0</v>
      </c>
    </row>
    <row r="3353">
      <c r="A3353" s="24" t="s">
        <v>70</v>
      </c>
      <c r="B3353" s="24" t="s">
        <v>66</v>
      </c>
      <c r="C3353" s="27">
        <v>247.0</v>
      </c>
    </row>
    <row r="3354">
      <c r="A3354" s="24" t="s">
        <v>69</v>
      </c>
      <c r="B3354" s="24" t="s">
        <v>51</v>
      </c>
      <c r="C3354" s="27">
        <v>301.0</v>
      </c>
    </row>
    <row r="3355">
      <c r="A3355" s="24" t="s">
        <v>70</v>
      </c>
      <c r="B3355" s="24" t="s">
        <v>60</v>
      </c>
      <c r="C3355" s="27">
        <v>147.0</v>
      </c>
    </row>
    <row r="3356">
      <c r="A3356" s="24" t="s">
        <v>69</v>
      </c>
      <c r="B3356" s="24" t="s">
        <v>39</v>
      </c>
      <c r="C3356" s="27">
        <v>234.0</v>
      </c>
    </row>
    <row r="3357">
      <c r="A3357" s="24" t="s">
        <v>69</v>
      </c>
      <c r="B3357" s="24" t="s">
        <v>47</v>
      </c>
      <c r="C3357" s="27">
        <v>73.5</v>
      </c>
    </row>
    <row r="3358">
      <c r="A3358" s="24" t="s">
        <v>69</v>
      </c>
      <c r="B3358" s="24" t="s">
        <v>31</v>
      </c>
      <c r="C3358" s="27">
        <v>437.0</v>
      </c>
    </row>
    <row r="3359">
      <c r="A3359" s="24" t="s">
        <v>69</v>
      </c>
      <c r="B3359" s="24" t="s">
        <v>40</v>
      </c>
      <c r="C3359" s="27">
        <v>167.0</v>
      </c>
    </row>
    <row r="3360">
      <c r="A3360" s="24" t="s">
        <v>69</v>
      </c>
      <c r="B3360" s="24" t="s">
        <v>62</v>
      </c>
      <c r="C3360" s="27">
        <v>11.5</v>
      </c>
    </row>
    <row r="3361">
      <c r="A3361" s="24" t="s">
        <v>69</v>
      </c>
      <c r="B3361" s="24" t="s">
        <v>51</v>
      </c>
      <c r="C3361" s="27">
        <v>301.0</v>
      </c>
    </row>
    <row r="3362">
      <c r="A3362" s="24" t="s">
        <v>70</v>
      </c>
      <c r="B3362" s="24" t="s">
        <v>45</v>
      </c>
      <c r="C3362" s="27">
        <v>102.0</v>
      </c>
    </row>
    <row r="3363">
      <c r="A3363" s="24" t="s">
        <v>69</v>
      </c>
      <c r="B3363" s="24" t="s">
        <v>30</v>
      </c>
      <c r="C3363" s="27">
        <v>316.0</v>
      </c>
    </row>
    <row r="3364">
      <c r="A3364" s="24" t="s">
        <v>69</v>
      </c>
      <c r="B3364" s="24" t="s">
        <v>47</v>
      </c>
      <c r="C3364" s="27">
        <v>73.5</v>
      </c>
    </row>
    <row r="3365">
      <c r="A3365" s="24" t="s">
        <v>70</v>
      </c>
      <c r="B3365" s="24" t="s">
        <v>55</v>
      </c>
      <c r="C3365" s="27">
        <v>499.0</v>
      </c>
    </row>
    <row r="3366">
      <c r="A3366" s="24" t="s">
        <v>69</v>
      </c>
      <c r="B3366" s="24" t="s">
        <v>32</v>
      </c>
      <c r="C3366" s="27">
        <v>352.0</v>
      </c>
    </row>
    <row r="3367">
      <c r="A3367" s="24" t="s">
        <v>69</v>
      </c>
      <c r="B3367" s="24" t="s">
        <v>46</v>
      </c>
      <c r="C3367" s="27">
        <v>104.0</v>
      </c>
    </row>
    <row r="3368">
      <c r="A3368" s="24" t="s">
        <v>70</v>
      </c>
      <c r="B3368" s="24" t="s">
        <v>56</v>
      </c>
      <c r="C3368" s="27">
        <v>558.0</v>
      </c>
    </row>
    <row r="3369">
      <c r="A3369" s="24" t="s">
        <v>69</v>
      </c>
      <c r="B3369" s="24" t="s">
        <v>62</v>
      </c>
      <c r="C3369" s="27">
        <v>11.5</v>
      </c>
    </row>
    <row r="3370">
      <c r="A3370" s="24" t="s">
        <v>69</v>
      </c>
      <c r="B3370" s="24" t="s">
        <v>24</v>
      </c>
      <c r="C3370" s="27">
        <v>358.0</v>
      </c>
    </row>
    <row r="3371">
      <c r="A3371" s="24" t="s">
        <v>69</v>
      </c>
      <c r="B3371" s="24" t="s">
        <v>32</v>
      </c>
      <c r="C3371" s="27">
        <v>352.0</v>
      </c>
    </row>
    <row r="3372">
      <c r="A3372" s="24" t="s">
        <v>69</v>
      </c>
      <c r="B3372" s="24" t="s">
        <v>63</v>
      </c>
      <c r="C3372" s="27">
        <v>183.0</v>
      </c>
    </row>
    <row r="3373">
      <c r="A3373" s="24" t="s">
        <v>70</v>
      </c>
      <c r="B3373" s="24" t="s">
        <v>27</v>
      </c>
      <c r="C3373" s="27">
        <v>276.0</v>
      </c>
    </row>
    <row r="3374">
      <c r="A3374" s="24" t="s">
        <v>69</v>
      </c>
      <c r="B3374" s="24" t="s">
        <v>46</v>
      </c>
      <c r="C3374" s="27">
        <v>104.0</v>
      </c>
    </row>
    <row r="3375">
      <c r="A3375" s="24" t="s">
        <v>69</v>
      </c>
      <c r="B3375" s="24" t="s">
        <v>58</v>
      </c>
      <c r="C3375" s="27">
        <v>486.0</v>
      </c>
    </row>
    <row r="3376">
      <c r="A3376" s="24" t="s">
        <v>70</v>
      </c>
      <c r="B3376" s="24" t="s">
        <v>57</v>
      </c>
      <c r="C3376" s="27">
        <v>468.0</v>
      </c>
    </row>
    <row r="3377">
      <c r="A3377" s="24" t="s">
        <v>69</v>
      </c>
      <c r="B3377" s="24" t="s">
        <v>24</v>
      </c>
      <c r="C3377" s="27">
        <v>358.0</v>
      </c>
    </row>
    <row r="3378">
      <c r="A3378" s="24" t="s">
        <v>70</v>
      </c>
      <c r="B3378" s="24" t="s">
        <v>37</v>
      </c>
      <c r="C3378" s="27">
        <v>250.0</v>
      </c>
    </row>
    <row r="3379">
      <c r="A3379" s="24" t="s">
        <v>69</v>
      </c>
      <c r="B3379" s="24" t="s">
        <v>29</v>
      </c>
      <c r="C3379" s="27">
        <v>478.0</v>
      </c>
    </row>
    <row r="3380">
      <c r="A3380" s="24" t="s">
        <v>69</v>
      </c>
      <c r="B3380" s="24" t="s">
        <v>63</v>
      </c>
      <c r="C3380" s="27">
        <v>183.0</v>
      </c>
    </row>
    <row r="3381">
      <c r="A3381" s="24" t="s">
        <v>70</v>
      </c>
      <c r="B3381" s="24" t="s">
        <v>39</v>
      </c>
      <c r="C3381" s="27">
        <v>233.0</v>
      </c>
    </row>
    <row r="3382">
      <c r="A3382" s="24" t="s">
        <v>69</v>
      </c>
      <c r="B3382" s="24" t="s">
        <v>61</v>
      </c>
      <c r="C3382" s="27">
        <v>16.7</v>
      </c>
    </row>
    <row r="3383">
      <c r="A3383" s="24" t="s">
        <v>69</v>
      </c>
      <c r="B3383" s="24" t="s">
        <v>58</v>
      </c>
      <c r="C3383" s="27">
        <v>486.0</v>
      </c>
    </row>
    <row r="3384">
      <c r="A3384" s="24" t="s">
        <v>69</v>
      </c>
      <c r="B3384" s="24" t="s">
        <v>52</v>
      </c>
      <c r="C3384" s="27">
        <v>328.0</v>
      </c>
    </row>
    <row r="3385">
      <c r="A3385" s="24" t="s">
        <v>70</v>
      </c>
      <c r="B3385" s="24" t="s">
        <v>31</v>
      </c>
      <c r="C3385" s="27">
        <v>435.0</v>
      </c>
    </row>
    <row r="3386">
      <c r="A3386" s="24" t="s">
        <v>70</v>
      </c>
      <c r="B3386" s="24" t="s">
        <v>40</v>
      </c>
      <c r="C3386" s="27">
        <v>166.0</v>
      </c>
    </row>
    <row r="3387">
      <c r="A3387" s="24" t="s">
        <v>69</v>
      </c>
      <c r="B3387" s="24" t="s">
        <v>38</v>
      </c>
      <c r="C3387" s="27">
        <v>338.0</v>
      </c>
    </row>
    <row r="3388">
      <c r="A3388" s="24" t="s">
        <v>70</v>
      </c>
      <c r="B3388" s="24" t="s">
        <v>51</v>
      </c>
      <c r="C3388" s="27">
        <v>299.0</v>
      </c>
    </row>
    <row r="3389">
      <c r="A3389" s="24" t="s">
        <v>69</v>
      </c>
      <c r="B3389" s="24" t="s">
        <v>61</v>
      </c>
      <c r="C3389" s="27">
        <v>16.7</v>
      </c>
    </row>
    <row r="3390">
      <c r="A3390" s="24" t="s">
        <v>69</v>
      </c>
      <c r="B3390" s="24" t="s">
        <v>25</v>
      </c>
      <c r="C3390" s="27">
        <v>409.0</v>
      </c>
    </row>
    <row r="3391">
      <c r="A3391" s="24" t="s">
        <v>69</v>
      </c>
      <c r="B3391" s="24" t="s">
        <v>52</v>
      </c>
      <c r="C3391" s="27">
        <v>328.0</v>
      </c>
    </row>
    <row r="3392">
      <c r="A3392" s="24" t="s">
        <v>69</v>
      </c>
      <c r="B3392" s="24" t="s">
        <v>67</v>
      </c>
      <c r="C3392" s="27">
        <v>428.0</v>
      </c>
    </row>
    <row r="3393">
      <c r="A3393" s="24" t="s">
        <v>69</v>
      </c>
      <c r="B3393" s="24" t="s">
        <v>25</v>
      </c>
      <c r="C3393" s="27">
        <v>409.0</v>
      </c>
    </row>
    <row r="3394">
      <c r="A3394" s="24" t="s">
        <v>70</v>
      </c>
      <c r="B3394" s="24" t="s">
        <v>30</v>
      </c>
      <c r="C3394" s="27">
        <v>315.0</v>
      </c>
    </row>
    <row r="3395">
      <c r="A3395" s="24" t="s">
        <v>69</v>
      </c>
      <c r="B3395" s="24" t="s">
        <v>53</v>
      </c>
      <c r="C3395" s="27">
        <v>557.0</v>
      </c>
    </row>
    <row r="3396">
      <c r="A3396" s="24" t="s">
        <v>69</v>
      </c>
      <c r="B3396" s="24" t="s">
        <v>26</v>
      </c>
      <c r="C3396" s="27">
        <v>453.0</v>
      </c>
    </row>
    <row r="3397">
      <c r="A3397" s="24" t="s">
        <v>69</v>
      </c>
      <c r="B3397" s="24" t="s">
        <v>26</v>
      </c>
      <c r="C3397" s="27">
        <v>453.0</v>
      </c>
    </row>
    <row r="3398">
      <c r="A3398" s="24" t="s">
        <v>69</v>
      </c>
      <c r="B3398" s="24" t="s">
        <v>28</v>
      </c>
      <c r="C3398" s="27">
        <v>291.0</v>
      </c>
    </row>
    <row r="3399">
      <c r="A3399" s="24" t="s">
        <v>69</v>
      </c>
      <c r="B3399" s="24" t="s">
        <v>48</v>
      </c>
      <c r="C3399" s="27">
        <v>114.0</v>
      </c>
    </row>
    <row r="3400">
      <c r="A3400" s="24" t="s">
        <v>69</v>
      </c>
      <c r="B3400" s="24" t="s">
        <v>28</v>
      </c>
      <c r="C3400" s="27">
        <v>291.0</v>
      </c>
    </row>
    <row r="3401">
      <c r="A3401" s="24" t="s">
        <v>69</v>
      </c>
      <c r="B3401" s="24" t="s">
        <v>59</v>
      </c>
      <c r="C3401" s="27">
        <v>438.0</v>
      </c>
    </row>
    <row r="3402">
      <c r="A3402" s="24" t="s">
        <v>70</v>
      </c>
      <c r="B3402" s="24" t="s">
        <v>24</v>
      </c>
      <c r="C3402" s="27">
        <v>356.0</v>
      </c>
    </row>
    <row r="3403">
      <c r="A3403" s="24" t="s">
        <v>69</v>
      </c>
      <c r="B3403" s="24" t="s">
        <v>68</v>
      </c>
      <c r="C3403" s="27">
        <v>17.9</v>
      </c>
    </row>
    <row r="3404">
      <c r="A3404" s="24" t="s">
        <v>70</v>
      </c>
      <c r="B3404" s="24" t="s">
        <v>63</v>
      </c>
      <c r="C3404" s="27">
        <v>181.0</v>
      </c>
    </row>
    <row r="3405">
      <c r="A3405" s="24" t="s">
        <v>69</v>
      </c>
      <c r="B3405" s="24" t="s">
        <v>69</v>
      </c>
      <c r="C3405" s="27">
        <v>0.0</v>
      </c>
    </row>
    <row r="3406">
      <c r="A3406" s="24" t="s">
        <v>69</v>
      </c>
      <c r="B3406" s="24" t="s">
        <v>68</v>
      </c>
      <c r="C3406" s="27">
        <v>17.9</v>
      </c>
    </row>
    <row r="3407">
      <c r="A3407" s="24" t="s">
        <v>70</v>
      </c>
      <c r="B3407" s="24" t="s">
        <v>58</v>
      </c>
      <c r="C3407" s="27">
        <v>484.0</v>
      </c>
    </row>
    <row r="3408">
      <c r="A3408" s="24" t="s">
        <v>69</v>
      </c>
      <c r="B3408" s="24" t="s">
        <v>71</v>
      </c>
      <c r="C3408" s="27">
        <v>39.1</v>
      </c>
    </row>
    <row r="3409">
      <c r="A3409" s="24" t="s">
        <v>70</v>
      </c>
      <c r="B3409" s="24" t="s">
        <v>29</v>
      </c>
      <c r="C3409" s="27">
        <v>477.0</v>
      </c>
    </row>
    <row r="3410">
      <c r="A3410" s="24" t="s">
        <v>69</v>
      </c>
      <c r="B3410" s="24" t="s">
        <v>70</v>
      </c>
      <c r="C3410" s="27">
        <v>2.9</v>
      </c>
    </row>
    <row r="3411">
      <c r="A3411" s="24" t="s">
        <v>70</v>
      </c>
      <c r="B3411" s="24" t="s">
        <v>18</v>
      </c>
      <c r="C3411" s="27">
        <v>37.5</v>
      </c>
    </row>
    <row r="3412">
      <c r="A3412" s="24" t="s">
        <v>70</v>
      </c>
      <c r="B3412" s="24" t="s">
        <v>49</v>
      </c>
      <c r="C3412" s="27">
        <v>458.0</v>
      </c>
    </row>
    <row r="3413">
      <c r="A3413" s="24" t="s">
        <v>70</v>
      </c>
      <c r="B3413" s="24" t="s">
        <v>22</v>
      </c>
      <c r="C3413" s="27">
        <v>279.0</v>
      </c>
    </row>
    <row r="3414">
      <c r="A3414" s="24" t="s">
        <v>70</v>
      </c>
      <c r="B3414" s="24" t="s">
        <v>61</v>
      </c>
      <c r="C3414" s="27">
        <v>15.0</v>
      </c>
    </row>
    <row r="3415">
      <c r="A3415" s="24" t="s">
        <v>70</v>
      </c>
      <c r="B3415" s="24" t="s">
        <v>35</v>
      </c>
      <c r="C3415" s="27">
        <v>335.0</v>
      </c>
    </row>
    <row r="3416">
      <c r="A3416" s="24" t="s">
        <v>70</v>
      </c>
      <c r="B3416" s="24" t="s">
        <v>52</v>
      </c>
      <c r="C3416" s="27">
        <v>327.0</v>
      </c>
    </row>
    <row r="3417">
      <c r="A3417" s="24" t="s">
        <v>70</v>
      </c>
      <c r="B3417" s="24" t="s">
        <v>41</v>
      </c>
      <c r="C3417" s="27">
        <v>285.0</v>
      </c>
    </row>
    <row r="3418">
      <c r="A3418" s="24" t="s">
        <v>70</v>
      </c>
      <c r="B3418" s="24" t="s">
        <v>49</v>
      </c>
      <c r="C3418" s="27">
        <v>458.0</v>
      </c>
    </row>
    <row r="3419">
      <c r="A3419" s="24" t="s">
        <v>70</v>
      </c>
      <c r="B3419" s="24" t="s">
        <v>25</v>
      </c>
      <c r="C3419" s="27">
        <v>407.0</v>
      </c>
    </row>
    <row r="3420">
      <c r="A3420" s="24" t="s">
        <v>70</v>
      </c>
      <c r="B3420" s="24" t="s">
        <v>64</v>
      </c>
      <c r="C3420" s="27">
        <v>193.0</v>
      </c>
    </row>
    <row r="3421">
      <c r="A3421" s="24" t="s">
        <v>70</v>
      </c>
      <c r="B3421" s="24" t="s">
        <v>67</v>
      </c>
      <c r="C3421" s="27">
        <v>426.0</v>
      </c>
    </row>
    <row r="3422">
      <c r="A3422" s="24" t="s">
        <v>70</v>
      </c>
      <c r="B3422" s="24" t="s">
        <v>22</v>
      </c>
      <c r="C3422" s="27">
        <v>279.0</v>
      </c>
    </row>
    <row r="3423">
      <c r="A3423" s="24" t="s">
        <v>70</v>
      </c>
      <c r="B3423" s="24" t="s">
        <v>53</v>
      </c>
      <c r="C3423" s="27">
        <v>555.0</v>
      </c>
    </row>
    <row r="3424">
      <c r="A3424" s="24" t="s">
        <v>70</v>
      </c>
      <c r="B3424" s="24" t="s">
        <v>36</v>
      </c>
      <c r="C3424" s="27">
        <v>333.0</v>
      </c>
    </row>
    <row r="3425">
      <c r="A3425" s="24" t="s">
        <v>70</v>
      </c>
      <c r="B3425" s="24" t="s">
        <v>43</v>
      </c>
      <c r="C3425" s="27">
        <v>224.0</v>
      </c>
    </row>
    <row r="3426">
      <c r="A3426" s="24" t="s">
        <v>70</v>
      </c>
      <c r="B3426" s="24" t="s">
        <v>26</v>
      </c>
      <c r="C3426" s="27">
        <v>451.0</v>
      </c>
    </row>
    <row r="3427">
      <c r="A3427" s="24" t="s">
        <v>70</v>
      </c>
      <c r="B3427" s="24" t="s">
        <v>50</v>
      </c>
      <c r="C3427" s="27">
        <v>523.0</v>
      </c>
    </row>
    <row r="3428">
      <c r="A3428" s="24" t="s">
        <v>70</v>
      </c>
      <c r="B3428" s="24" t="s">
        <v>41</v>
      </c>
      <c r="C3428" s="27">
        <v>285.0</v>
      </c>
    </row>
    <row r="3429">
      <c r="A3429" s="24" t="s">
        <v>70</v>
      </c>
      <c r="B3429" s="24" t="s">
        <v>28</v>
      </c>
      <c r="C3429" s="27">
        <v>290.0</v>
      </c>
    </row>
    <row r="3430">
      <c r="A3430" s="24" t="s">
        <v>70</v>
      </c>
      <c r="B3430" s="24" t="s">
        <v>23</v>
      </c>
      <c r="C3430" s="27">
        <v>304.0</v>
      </c>
    </row>
    <row r="3431">
      <c r="A3431" s="24" t="s">
        <v>70</v>
      </c>
      <c r="B3431" s="24" t="s">
        <v>64</v>
      </c>
      <c r="C3431" s="27">
        <v>193.0</v>
      </c>
    </row>
    <row r="3432">
      <c r="A3432" s="24" t="s">
        <v>70</v>
      </c>
      <c r="B3432" s="24" t="s">
        <v>65</v>
      </c>
      <c r="C3432" s="27">
        <v>140.0</v>
      </c>
    </row>
    <row r="3433">
      <c r="A3433" s="24" t="s">
        <v>70</v>
      </c>
      <c r="B3433" s="24" t="s">
        <v>54</v>
      </c>
      <c r="C3433" s="27">
        <v>369.0</v>
      </c>
    </row>
    <row r="3434">
      <c r="A3434" s="24" t="s">
        <v>70</v>
      </c>
      <c r="B3434" s="24" t="s">
        <v>59</v>
      </c>
      <c r="C3434" s="27">
        <v>437.0</v>
      </c>
    </row>
    <row r="3435">
      <c r="A3435" s="24" t="s">
        <v>70</v>
      </c>
      <c r="B3435" s="24" t="s">
        <v>34</v>
      </c>
      <c r="C3435" s="27">
        <v>86.0</v>
      </c>
    </row>
    <row r="3436">
      <c r="A3436" s="24" t="s">
        <v>70</v>
      </c>
      <c r="B3436" s="24" t="s">
        <v>36</v>
      </c>
      <c r="C3436" s="27">
        <v>333.0</v>
      </c>
    </row>
    <row r="3437">
      <c r="A3437" s="24" t="s">
        <v>70</v>
      </c>
      <c r="B3437" s="24" t="s">
        <v>68</v>
      </c>
      <c r="C3437" s="27">
        <v>15.6</v>
      </c>
    </row>
    <row r="3438">
      <c r="A3438" s="24" t="s">
        <v>70</v>
      </c>
      <c r="B3438" s="24" t="s">
        <v>69</v>
      </c>
      <c r="C3438" s="27">
        <v>3.8</v>
      </c>
    </row>
    <row r="3439">
      <c r="A3439" s="24" t="s">
        <v>70</v>
      </c>
      <c r="B3439" s="24" t="s">
        <v>70</v>
      </c>
      <c r="C3439" s="27">
        <v>0.0</v>
      </c>
    </row>
    <row r="3440">
      <c r="A3440" s="24" t="s">
        <v>70</v>
      </c>
      <c r="B3440" s="24" t="s">
        <v>43</v>
      </c>
      <c r="C3440" s="27">
        <v>224.0</v>
      </c>
    </row>
    <row r="3441">
      <c r="A3441" s="24" t="s">
        <v>70</v>
      </c>
      <c r="B3441" s="24" t="s">
        <v>21</v>
      </c>
      <c r="C3441" s="27">
        <v>296.0</v>
      </c>
    </row>
    <row r="3442">
      <c r="A3442" s="24" t="s">
        <v>71</v>
      </c>
      <c r="B3442" s="24" t="s">
        <v>18</v>
      </c>
      <c r="C3442" s="27">
        <v>2.0</v>
      </c>
    </row>
    <row r="3443">
      <c r="A3443" s="24" t="s">
        <v>70</v>
      </c>
      <c r="B3443" s="24" t="s">
        <v>50</v>
      </c>
      <c r="C3443" s="27">
        <v>523.0</v>
      </c>
    </row>
    <row r="3444">
      <c r="A3444" s="24" t="s">
        <v>70</v>
      </c>
      <c r="B3444" s="24" t="s">
        <v>33</v>
      </c>
      <c r="C3444" s="27">
        <v>299.0</v>
      </c>
    </row>
    <row r="3445">
      <c r="A3445" s="24" t="s">
        <v>71</v>
      </c>
      <c r="B3445" s="24" t="s">
        <v>49</v>
      </c>
      <c r="C3445" s="27">
        <v>493.0</v>
      </c>
    </row>
    <row r="3446">
      <c r="A3446" s="24" t="s">
        <v>71</v>
      </c>
      <c r="B3446" s="24" t="s">
        <v>22</v>
      </c>
      <c r="C3446" s="27">
        <v>313.0</v>
      </c>
    </row>
    <row r="3447">
      <c r="A3447" s="24" t="s">
        <v>70</v>
      </c>
      <c r="B3447" s="24" t="s">
        <v>60</v>
      </c>
      <c r="C3447" s="27">
        <v>147.0</v>
      </c>
    </row>
    <row r="3448">
      <c r="A3448" s="24" t="s">
        <v>70</v>
      </c>
      <c r="B3448" s="24" t="s">
        <v>54</v>
      </c>
      <c r="C3448" s="27">
        <v>369.0</v>
      </c>
    </row>
    <row r="3449">
      <c r="A3449" s="24" t="s">
        <v>70</v>
      </c>
      <c r="B3449" s="24" t="s">
        <v>45</v>
      </c>
      <c r="C3449" s="27">
        <v>102.0</v>
      </c>
    </row>
    <row r="3450">
      <c r="A3450" s="24" t="s">
        <v>70</v>
      </c>
      <c r="B3450" s="24" t="s">
        <v>34</v>
      </c>
      <c r="C3450" s="27">
        <v>86.0</v>
      </c>
    </row>
    <row r="3451">
      <c r="A3451" s="24" t="s">
        <v>70</v>
      </c>
      <c r="B3451" s="24" t="s">
        <v>55</v>
      </c>
      <c r="C3451" s="27">
        <v>499.0</v>
      </c>
    </row>
    <row r="3452">
      <c r="A3452" s="24" t="s">
        <v>70</v>
      </c>
      <c r="B3452" s="24" t="s">
        <v>20</v>
      </c>
      <c r="C3452" s="27">
        <v>293.0</v>
      </c>
    </row>
    <row r="3453">
      <c r="A3453" s="24" t="s">
        <v>70</v>
      </c>
      <c r="B3453" s="24" t="s">
        <v>56</v>
      </c>
      <c r="C3453" s="27">
        <v>558.0</v>
      </c>
    </row>
    <row r="3454">
      <c r="A3454" s="24" t="s">
        <v>70</v>
      </c>
      <c r="B3454" s="24" t="s">
        <v>42</v>
      </c>
      <c r="C3454" s="27">
        <v>226.0</v>
      </c>
    </row>
    <row r="3455">
      <c r="A3455" s="24" t="s">
        <v>71</v>
      </c>
      <c r="B3455" s="24" t="s">
        <v>64</v>
      </c>
      <c r="C3455" s="27">
        <v>191.0</v>
      </c>
    </row>
    <row r="3456">
      <c r="A3456" s="24" t="s">
        <v>70</v>
      </c>
      <c r="B3456" s="24" t="s">
        <v>44</v>
      </c>
      <c r="C3456" s="27">
        <v>71.0</v>
      </c>
    </row>
    <row r="3457">
      <c r="A3457" s="24" t="s">
        <v>71</v>
      </c>
      <c r="B3457" s="24" t="s">
        <v>65</v>
      </c>
      <c r="C3457" s="27">
        <v>138.0</v>
      </c>
    </row>
    <row r="3458">
      <c r="A3458" s="24" t="s">
        <v>70</v>
      </c>
      <c r="B3458" s="24" t="s">
        <v>27</v>
      </c>
      <c r="C3458" s="27">
        <v>276.0</v>
      </c>
    </row>
    <row r="3459">
      <c r="A3459" s="24" t="s">
        <v>71</v>
      </c>
      <c r="B3459" s="24" t="s">
        <v>36</v>
      </c>
      <c r="C3459" s="27">
        <v>330.0</v>
      </c>
    </row>
    <row r="3460">
      <c r="A3460" s="24" t="s">
        <v>70</v>
      </c>
      <c r="B3460" s="24" t="s">
        <v>57</v>
      </c>
      <c r="C3460" s="27">
        <v>468.0</v>
      </c>
    </row>
    <row r="3461">
      <c r="A3461" s="24" t="s">
        <v>70</v>
      </c>
      <c r="B3461" s="24" t="s">
        <v>66</v>
      </c>
      <c r="C3461" s="27">
        <v>247.0</v>
      </c>
    </row>
    <row r="3462">
      <c r="A3462" s="24" t="s">
        <v>71</v>
      </c>
      <c r="B3462" s="24" t="s">
        <v>43</v>
      </c>
      <c r="C3462" s="27">
        <v>117.0</v>
      </c>
    </row>
    <row r="3463">
      <c r="A3463" s="24" t="s">
        <v>70</v>
      </c>
      <c r="B3463" s="24" t="s">
        <v>60</v>
      </c>
      <c r="C3463" s="27">
        <v>147.0</v>
      </c>
    </row>
    <row r="3464">
      <c r="A3464" s="24" t="s">
        <v>71</v>
      </c>
      <c r="B3464" s="24" t="s">
        <v>50</v>
      </c>
      <c r="C3464" s="27">
        <v>557.0</v>
      </c>
    </row>
    <row r="3465">
      <c r="A3465" s="24" t="s">
        <v>70</v>
      </c>
      <c r="B3465" s="24" t="s">
        <v>39</v>
      </c>
      <c r="C3465" s="27">
        <v>233.0</v>
      </c>
    </row>
    <row r="3466">
      <c r="A3466" s="24" t="s">
        <v>71</v>
      </c>
      <c r="B3466" s="24" t="s">
        <v>23</v>
      </c>
      <c r="C3466" s="27">
        <v>339.0</v>
      </c>
    </row>
    <row r="3467">
      <c r="A3467" s="24" t="s">
        <v>70</v>
      </c>
      <c r="B3467" s="24" t="s">
        <v>45</v>
      </c>
      <c r="C3467" s="27">
        <v>102.0</v>
      </c>
    </row>
    <row r="3468">
      <c r="A3468" s="24" t="s">
        <v>70</v>
      </c>
      <c r="B3468" s="24" t="s">
        <v>31</v>
      </c>
      <c r="C3468" s="27">
        <v>435.0</v>
      </c>
    </row>
    <row r="3469">
      <c r="A3469" s="24" t="s">
        <v>71</v>
      </c>
      <c r="B3469" s="24" t="s">
        <v>54</v>
      </c>
      <c r="C3469" s="27">
        <v>404.0</v>
      </c>
    </row>
    <row r="3470">
      <c r="A3470" s="24" t="s">
        <v>70</v>
      </c>
      <c r="B3470" s="24" t="s">
        <v>40</v>
      </c>
      <c r="C3470" s="27">
        <v>166.0</v>
      </c>
    </row>
    <row r="3471">
      <c r="A3471" s="24" t="s">
        <v>71</v>
      </c>
      <c r="B3471" s="24" t="s">
        <v>34</v>
      </c>
      <c r="C3471" s="27">
        <v>121.0</v>
      </c>
    </row>
    <row r="3472">
      <c r="A3472" s="24" t="s">
        <v>70</v>
      </c>
      <c r="B3472" s="24" t="s">
        <v>51</v>
      </c>
      <c r="C3472" s="27">
        <v>299.0</v>
      </c>
    </row>
    <row r="3473">
      <c r="A3473" s="24" t="s">
        <v>70</v>
      </c>
      <c r="B3473" s="24" t="s">
        <v>55</v>
      </c>
      <c r="C3473" s="27">
        <v>499.0</v>
      </c>
    </row>
    <row r="3474">
      <c r="A3474" s="24" t="s">
        <v>70</v>
      </c>
      <c r="B3474" s="24" t="s">
        <v>56</v>
      </c>
      <c r="C3474" s="27">
        <v>558.0</v>
      </c>
    </row>
    <row r="3475">
      <c r="A3475" s="24" t="s">
        <v>70</v>
      </c>
      <c r="B3475" s="24" t="s">
        <v>44</v>
      </c>
      <c r="C3475" s="27">
        <v>71.0</v>
      </c>
    </row>
    <row r="3476">
      <c r="A3476" s="24" t="s">
        <v>71</v>
      </c>
      <c r="B3476" s="24" t="s">
        <v>21</v>
      </c>
      <c r="C3476" s="27">
        <v>331.0</v>
      </c>
    </row>
    <row r="3477">
      <c r="A3477" s="24" t="s">
        <v>70</v>
      </c>
      <c r="B3477" s="24" t="s">
        <v>30</v>
      </c>
      <c r="C3477" s="27">
        <v>315.0</v>
      </c>
    </row>
    <row r="3478">
      <c r="A3478" s="24" t="s">
        <v>70</v>
      </c>
      <c r="B3478" s="24" t="s">
        <v>27</v>
      </c>
      <c r="C3478" s="27">
        <v>276.0</v>
      </c>
    </row>
    <row r="3479">
      <c r="A3479" s="24" t="s">
        <v>71</v>
      </c>
      <c r="B3479" s="24" t="s">
        <v>33</v>
      </c>
      <c r="C3479" s="27">
        <v>334.0</v>
      </c>
    </row>
    <row r="3480">
      <c r="A3480" s="24" t="s">
        <v>70</v>
      </c>
      <c r="B3480" s="24" t="s">
        <v>32</v>
      </c>
      <c r="C3480" s="27">
        <v>350.0</v>
      </c>
    </row>
    <row r="3481">
      <c r="A3481" s="24" t="s">
        <v>71</v>
      </c>
      <c r="B3481" s="24" t="s">
        <v>66</v>
      </c>
      <c r="C3481" s="27">
        <v>211.0</v>
      </c>
    </row>
    <row r="3482">
      <c r="A3482" s="24" t="s">
        <v>70</v>
      </c>
      <c r="B3482" s="24" t="s">
        <v>37</v>
      </c>
      <c r="C3482" s="27">
        <v>250.0</v>
      </c>
    </row>
    <row r="3483">
      <c r="A3483" s="24" t="s">
        <v>71</v>
      </c>
      <c r="B3483" s="24" t="s">
        <v>60</v>
      </c>
      <c r="C3483" s="27">
        <v>181.0</v>
      </c>
    </row>
    <row r="3484">
      <c r="A3484" s="24" t="s">
        <v>70</v>
      </c>
      <c r="B3484" s="24" t="s">
        <v>39</v>
      </c>
      <c r="C3484" s="27">
        <v>233.0</v>
      </c>
    </row>
    <row r="3485">
      <c r="A3485" s="24" t="s">
        <v>70</v>
      </c>
      <c r="B3485" s="24" t="s">
        <v>63</v>
      </c>
      <c r="C3485" s="27">
        <v>181.0</v>
      </c>
    </row>
    <row r="3486">
      <c r="A3486" s="24" t="s">
        <v>71</v>
      </c>
      <c r="B3486" s="24" t="s">
        <v>45</v>
      </c>
      <c r="C3486" s="27">
        <v>100.0</v>
      </c>
    </row>
    <row r="3487">
      <c r="A3487" s="24" t="s">
        <v>70</v>
      </c>
      <c r="B3487" s="24" t="s">
        <v>40</v>
      </c>
      <c r="C3487" s="27">
        <v>166.0</v>
      </c>
    </row>
    <row r="3488">
      <c r="A3488" s="24" t="s">
        <v>71</v>
      </c>
      <c r="B3488" s="24" t="s">
        <v>55</v>
      </c>
      <c r="C3488" s="27">
        <v>534.0</v>
      </c>
    </row>
    <row r="3489">
      <c r="A3489" s="24" t="s">
        <v>70</v>
      </c>
      <c r="B3489" s="24" t="s">
        <v>29</v>
      </c>
      <c r="C3489" s="27">
        <v>477.0</v>
      </c>
    </row>
    <row r="3490">
      <c r="A3490" s="24" t="s">
        <v>71</v>
      </c>
      <c r="B3490" s="24" t="s">
        <v>56</v>
      </c>
      <c r="C3490" s="27">
        <v>593.0</v>
      </c>
    </row>
    <row r="3491">
      <c r="A3491" s="24" t="s">
        <v>70</v>
      </c>
      <c r="B3491" s="24" t="s">
        <v>38</v>
      </c>
      <c r="C3491" s="27">
        <v>337.0</v>
      </c>
    </row>
    <row r="3492">
      <c r="A3492" s="24" t="s">
        <v>71</v>
      </c>
      <c r="B3492" s="24" t="s">
        <v>44</v>
      </c>
      <c r="C3492" s="27">
        <v>35.5</v>
      </c>
    </row>
    <row r="3493">
      <c r="A3493" s="24" t="s">
        <v>70</v>
      </c>
      <c r="B3493" s="24" t="s">
        <v>61</v>
      </c>
      <c r="C3493" s="27">
        <v>15.0</v>
      </c>
    </row>
    <row r="3494">
      <c r="A3494" s="24" t="s">
        <v>70</v>
      </c>
      <c r="B3494" s="24" t="s">
        <v>47</v>
      </c>
      <c r="C3494" s="27">
        <v>71.2</v>
      </c>
    </row>
    <row r="3495">
      <c r="A3495" s="24" t="s">
        <v>71</v>
      </c>
      <c r="B3495" s="24" t="s">
        <v>27</v>
      </c>
      <c r="C3495" s="27">
        <v>311.0</v>
      </c>
    </row>
    <row r="3496">
      <c r="A3496" s="24" t="s">
        <v>70</v>
      </c>
      <c r="B3496" s="24" t="s">
        <v>52</v>
      </c>
      <c r="C3496" s="27">
        <v>327.0</v>
      </c>
    </row>
    <row r="3497">
      <c r="A3497" s="24" t="s">
        <v>70</v>
      </c>
      <c r="B3497" s="24" t="s">
        <v>62</v>
      </c>
      <c r="C3497" s="27">
        <v>11.5</v>
      </c>
    </row>
    <row r="3498">
      <c r="A3498" s="24" t="s">
        <v>71</v>
      </c>
      <c r="B3498" s="24" t="s">
        <v>57</v>
      </c>
      <c r="C3498" s="27">
        <v>502.0</v>
      </c>
    </row>
    <row r="3499">
      <c r="A3499" s="24" t="s">
        <v>70</v>
      </c>
      <c r="B3499" s="24" t="s">
        <v>25</v>
      </c>
      <c r="C3499" s="27">
        <v>407.0</v>
      </c>
    </row>
    <row r="3500">
      <c r="A3500" s="24" t="s">
        <v>71</v>
      </c>
      <c r="B3500" s="24" t="s">
        <v>37</v>
      </c>
      <c r="C3500" s="27">
        <v>284.0</v>
      </c>
    </row>
    <row r="3501">
      <c r="A3501" s="24" t="s">
        <v>70</v>
      </c>
      <c r="B3501" s="24" t="s">
        <v>67</v>
      </c>
      <c r="C3501" s="27">
        <v>426.0</v>
      </c>
    </row>
    <row r="3502">
      <c r="A3502" s="24" t="s">
        <v>70</v>
      </c>
      <c r="B3502" s="24" t="s">
        <v>32</v>
      </c>
      <c r="C3502" s="27">
        <v>350.0</v>
      </c>
    </row>
    <row r="3503">
      <c r="A3503" s="24" t="s">
        <v>71</v>
      </c>
      <c r="B3503" s="24" t="s">
        <v>31</v>
      </c>
      <c r="C3503" s="27">
        <v>470.0</v>
      </c>
    </row>
    <row r="3504">
      <c r="A3504" s="24" t="s">
        <v>70</v>
      </c>
      <c r="B3504" s="24" t="s">
        <v>53</v>
      </c>
      <c r="C3504" s="27">
        <v>555.0</v>
      </c>
    </row>
    <row r="3505">
      <c r="A3505" s="24" t="s">
        <v>71</v>
      </c>
      <c r="B3505" s="24" t="s">
        <v>40</v>
      </c>
      <c r="C3505" s="27">
        <v>200.0</v>
      </c>
    </row>
    <row r="3506">
      <c r="A3506" s="24" t="s">
        <v>70</v>
      </c>
      <c r="B3506" s="24" t="s">
        <v>26</v>
      </c>
      <c r="C3506" s="27">
        <v>451.0</v>
      </c>
    </row>
    <row r="3507">
      <c r="A3507" s="24" t="s">
        <v>71</v>
      </c>
      <c r="B3507" s="24" t="s">
        <v>51</v>
      </c>
      <c r="C3507" s="27">
        <v>334.0</v>
      </c>
    </row>
    <row r="3508">
      <c r="A3508" s="24" t="s">
        <v>70</v>
      </c>
      <c r="B3508" s="24" t="s">
        <v>24</v>
      </c>
      <c r="C3508" s="27">
        <v>356.0</v>
      </c>
    </row>
    <row r="3509">
      <c r="A3509" s="24" t="s">
        <v>71</v>
      </c>
      <c r="B3509" s="24" t="s">
        <v>47</v>
      </c>
      <c r="C3509" s="27">
        <v>69.2</v>
      </c>
    </row>
    <row r="3510">
      <c r="A3510" s="24" t="s">
        <v>70</v>
      </c>
      <c r="B3510" s="24" t="s">
        <v>48</v>
      </c>
      <c r="C3510" s="27">
        <v>112.0</v>
      </c>
    </row>
    <row r="3511">
      <c r="A3511" s="24" t="s">
        <v>70</v>
      </c>
      <c r="B3511" s="24" t="s">
        <v>63</v>
      </c>
      <c r="C3511" s="27">
        <v>181.0</v>
      </c>
    </row>
    <row r="3512">
      <c r="A3512" s="24" t="s">
        <v>71</v>
      </c>
      <c r="B3512" s="24" t="s">
        <v>62</v>
      </c>
      <c r="C3512" s="27">
        <v>25.3</v>
      </c>
    </row>
    <row r="3513">
      <c r="A3513" s="24" t="s">
        <v>70</v>
      </c>
      <c r="B3513" s="24" t="s">
        <v>58</v>
      </c>
      <c r="C3513" s="27">
        <v>484.0</v>
      </c>
    </row>
    <row r="3514">
      <c r="A3514" s="24" t="s">
        <v>71</v>
      </c>
      <c r="B3514" s="24" t="s">
        <v>30</v>
      </c>
      <c r="C3514" s="27">
        <v>349.0</v>
      </c>
    </row>
    <row r="3515">
      <c r="A3515" s="24" t="s">
        <v>70</v>
      </c>
      <c r="B3515" s="24" t="s">
        <v>29</v>
      </c>
      <c r="C3515" s="27">
        <v>477.0</v>
      </c>
    </row>
    <row r="3516">
      <c r="A3516" s="24" t="s">
        <v>70</v>
      </c>
      <c r="B3516" s="24" t="s">
        <v>69</v>
      </c>
      <c r="C3516" s="27">
        <v>3.8</v>
      </c>
    </row>
    <row r="3517">
      <c r="A3517" s="24" t="s">
        <v>70</v>
      </c>
      <c r="B3517" s="24" t="s">
        <v>38</v>
      </c>
      <c r="C3517" s="27">
        <v>337.0</v>
      </c>
    </row>
    <row r="3518">
      <c r="A3518" s="24" t="s">
        <v>70</v>
      </c>
      <c r="B3518" s="24" t="s">
        <v>70</v>
      </c>
      <c r="C3518" s="27">
        <v>0.0</v>
      </c>
    </row>
    <row r="3519">
      <c r="A3519" s="24" t="s">
        <v>70</v>
      </c>
      <c r="B3519" s="24" t="s">
        <v>61</v>
      </c>
      <c r="C3519" s="27">
        <v>15.0</v>
      </c>
    </row>
    <row r="3520">
      <c r="A3520" s="24" t="s">
        <v>70</v>
      </c>
      <c r="B3520" s="24" t="s">
        <v>71</v>
      </c>
      <c r="C3520" s="27">
        <v>36.8</v>
      </c>
    </row>
    <row r="3521">
      <c r="A3521" s="24" t="s">
        <v>71</v>
      </c>
      <c r="B3521" s="24" t="s">
        <v>24</v>
      </c>
      <c r="C3521" s="27">
        <v>391.0</v>
      </c>
    </row>
    <row r="3522">
      <c r="A3522" s="24" t="s">
        <v>71</v>
      </c>
      <c r="B3522" s="24" t="s">
        <v>18</v>
      </c>
      <c r="C3522" s="27">
        <v>2.0</v>
      </c>
    </row>
    <row r="3523">
      <c r="A3523" s="24" t="s">
        <v>70</v>
      </c>
      <c r="B3523" s="24" t="s">
        <v>52</v>
      </c>
      <c r="C3523" s="27">
        <v>327.0</v>
      </c>
    </row>
    <row r="3524">
      <c r="A3524" s="24" t="s">
        <v>71</v>
      </c>
      <c r="B3524" s="24" t="s">
        <v>63</v>
      </c>
      <c r="C3524" s="27">
        <v>216.0</v>
      </c>
    </row>
    <row r="3525">
      <c r="A3525" s="24" t="s">
        <v>71</v>
      </c>
      <c r="B3525" s="24" t="s">
        <v>49</v>
      </c>
      <c r="C3525" s="27">
        <v>493.0</v>
      </c>
    </row>
    <row r="3526">
      <c r="A3526" s="24" t="s">
        <v>70</v>
      </c>
      <c r="B3526" s="24" t="s">
        <v>25</v>
      </c>
      <c r="C3526" s="27">
        <v>407.0</v>
      </c>
    </row>
    <row r="3527">
      <c r="A3527" s="24" t="s">
        <v>71</v>
      </c>
      <c r="B3527" s="24" t="s">
        <v>58</v>
      </c>
      <c r="C3527" s="27">
        <v>519.0</v>
      </c>
    </row>
    <row r="3528">
      <c r="A3528" s="24" t="s">
        <v>70</v>
      </c>
      <c r="B3528" s="24" t="s">
        <v>67</v>
      </c>
      <c r="C3528" s="27">
        <v>426.0</v>
      </c>
    </row>
    <row r="3529">
      <c r="A3529" s="24" t="s">
        <v>70</v>
      </c>
      <c r="B3529" s="24" t="s">
        <v>53</v>
      </c>
      <c r="C3529" s="27">
        <v>555.0</v>
      </c>
    </row>
    <row r="3530">
      <c r="A3530" s="24" t="s">
        <v>71</v>
      </c>
      <c r="B3530" s="24" t="s">
        <v>38</v>
      </c>
      <c r="C3530" s="27">
        <v>371.0</v>
      </c>
    </row>
    <row r="3531">
      <c r="A3531" s="24" t="s">
        <v>70</v>
      </c>
      <c r="B3531" s="24" t="s">
        <v>26</v>
      </c>
      <c r="C3531" s="27">
        <v>451.0</v>
      </c>
    </row>
    <row r="3532">
      <c r="A3532" s="24" t="s">
        <v>71</v>
      </c>
      <c r="B3532" s="24" t="s">
        <v>64</v>
      </c>
      <c r="C3532" s="27">
        <v>191.0</v>
      </c>
    </row>
    <row r="3533">
      <c r="A3533" s="24" t="s">
        <v>70</v>
      </c>
      <c r="B3533" s="24" t="s">
        <v>28</v>
      </c>
      <c r="C3533" s="27">
        <v>290.0</v>
      </c>
    </row>
    <row r="3534">
      <c r="A3534" s="24" t="s">
        <v>71</v>
      </c>
      <c r="B3534" s="24" t="s">
        <v>65</v>
      </c>
      <c r="C3534" s="27">
        <v>138.0</v>
      </c>
    </row>
    <row r="3535">
      <c r="A3535" s="24" t="s">
        <v>71</v>
      </c>
      <c r="B3535" s="24" t="s">
        <v>61</v>
      </c>
      <c r="C3535" s="27">
        <v>49.7</v>
      </c>
    </row>
    <row r="3536">
      <c r="A3536" s="24" t="s">
        <v>70</v>
      </c>
      <c r="B3536" s="24" t="s">
        <v>48</v>
      </c>
      <c r="C3536" s="27">
        <v>112.0</v>
      </c>
    </row>
    <row r="3537">
      <c r="A3537" s="24" t="s">
        <v>71</v>
      </c>
      <c r="B3537" s="24" t="s">
        <v>36</v>
      </c>
      <c r="C3537" s="27">
        <v>330.0</v>
      </c>
    </row>
    <row r="3538">
      <c r="A3538" s="24" t="s">
        <v>71</v>
      </c>
      <c r="B3538" s="24" t="s">
        <v>52</v>
      </c>
      <c r="C3538" s="27">
        <v>361.0</v>
      </c>
    </row>
    <row r="3539">
      <c r="A3539" s="24" t="s">
        <v>70</v>
      </c>
      <c r="B3539" s="24" t="s">
        <v>59</v>
      </c>
      <c r="C3539" s="27">
        <v>437.0</v>
      </c>
    </row>
    <row r="3540">
      <c r="A3540" s="24" t="s">
        <v>71</v>
      </c>
      <c r="B3540" s="24" t="s">
        <v>25</v>
      </c>
      <c r="C3540" s="27">
        <v>442.0</v>
      </c>
    </row>
    <row r="3541">
      <c r="A3541" s="24" t="s">
        <v>71</v>
      </c>
      <c r="B3541" s="24" t="s">
        <v>67</v>
      </c>
      <c r="C3541" s="27">
        <v>461.0</v>
      </c>
    </row>
    <row r="3542">
      <c r="A3542" s="24" t="s">
        <v>70</v>
      </c>
      <c r="B3542" s="24" t="s">
        <v>68</v>
      </c>
      <c r="C3542" s="27">
        <v>15.6</v>
      </c>
    </row>
    <row r="3543">
      <c r="A3543" s="24" t="s">
        <v>71</v>
      </c>
      <c r="B3543" s="24" t="s">
        <v>53</v>
      </c>
      <c r="C3543" s="27">
        <v>590.0</v>
      </c>
    </row>
    <row r="3544">
      <c r="A3544" s="24" t="s">
        <v>71</v>
      </c>
      <c r="B3544" s="24" t="s">
        <v>50</v>
      </c>
      <c r="C3544" s="27">
        <v>557.0</v>
      </c>
    </row>
    <row r="3545">
      <c r="A3545" s="24" t="s">
        <v>71</v>
      </c>
      <c r="B3545" s="24" t="s">
        <v>26</v>
      </c>
      <c r="C3545" s="27">
        <v>486.0</v>
      </c>
    </row>
    <row r="3546">
      <c r="A3546" s="24" t="s">
        <v>71</v>
      </c>
      <c r="B3546" s="24" t="s">
        <v>23</v>
      </c>
      <c r="C3546" s="27">
        <v>339.0</v>
      </c>
    </row>
    <row r="3547">
      <c r="A3547" s="24" t="s">
        <v>70</v>
      </c>
      <c r="B3547" s="24" t="s">
        <v>70</v>
      </c>
      <c r="C3547" s="27">
        <v>0.0</v>
      </c>
    </row>
    <row r="3548">
      <c r="A3548" s="24" t="s">
        <v>70</v>
      </c>
      <c r="B3548" s="24" t="s">
        <v>71</v>
      </c>
      <c r="C3548" s="27">
        <v>36.8</v>
      </c>
    </row>
    <row r="3549">
      <c r="A3549" s="24" t="s">
        <v>71</v>
      </c>
      <c r="B3549" s="24" t="s">
        <v>54</v>
      </c>
      <c r="C3549" s="27">
        <v>404.0</v>
      </c>
    </row>
    <row r="3550">
      <c r="A3550" s="24" t="s">
        <v>71</v>
      </c>
      <c r="B3550" s="24" t="s">
        <v>48</v>
      </c>
      <c r="C3550" s="27">
        <v>110.0</v>
      </c>
    </row>
    <row r="3551">
      <c r="A3551" s="24" t="s">
        <v>71</v>
      </c>
      <c r="B3551" s="24" t="s">
        <v>59</v>
      </c>
      <c r="C3551" s="27">
        <v>471.0</v>
      </c>
    </row>
    <row r="3552">
      <c r="A3552" s="24" t="s">
        <v>71</v>
      </c>
      <c r="B3552" s="24" t="s">
        <v>68</v>
      </c>
      <c r="C3552" s="27">
        <v>21.9</v>
      </c>
    </row>
    <row r="3553">
      <c r="A3553" s="24" t="s">
        <v>71</v>
      </c>
      <c r="B3553" s="24" t="s">
        <v>18</v>
      </c>
      <c r="C3553" s="27">
        <v>2.0</v>
      </c>
    </row>
    <row r="3554">
      <c r="A3554" s="24" t="s">
        <v>71</v>
      </c>
      <c r="B3554" s="24" t="s">
        <v>69</v>
      </c>
      <c r="C3554" s="27">
        <v>39.1</v>
      </c>
    </row>
    <row r="3555">
      <c r="A3555" s="24" t="s">
        <v>71</v>
      </c>
      <c r="B3555" s="24" t="s">
        <v>49</v>
      </c>
      <c r="C3555" s="27">
        <v>493.0</v>
      </c>
    </row>
    <row r="3556">
      <c r="A3556" s="24" t="s">
        <v>71</v>
      </c>
      <c r="B3556" s="24" t="s">
        <v>42</v>
      </c>
      <c r="C3556" s="27">
        <v>224.0</v>
      </c>
    </row>
    <row r="3557">
      <c r="A3557" s="24" t="s">
        <v>71</v>
      </c>
      <c r="B3557" s="24" t="s">
        <v>22</v>
      </c>
      <c r="C3557" s="27">
        <v>313.0</v>
      </c>
    </row>
    <row r="3558">
      <c r="A3558" s="24" t="s">
        <v>71</v>
      </c>
      <c r="B3558" s="24" t="s">
        <v>21</v>
      </c>
      <c r="C3558" s="27">
        <v>331.0</v>
      </c>
    </row>
    <row r="3559">
      <c r="A3559" s="24" t="s">
        <v>71</v>
      </c>
      <c r="B3559" s="24" t="s">
        <v>71</v>
      </c>
      <c r="C3559" s="27">
        <v>0.0</v>
      </c>
    </row>
    <row r="3560">
      <c r="A3560" s="24" t="s">
        <v>71</v>
      </c>
      <c r="B3560" s="24" t="s">
        <v>35</v>
      </c>
      <c r="C3560" s="27">
        <v>333.0</v>
      </c>
    </row>
    <row r="3561">
      <c r="A3561" s="24" t="s">
        <v>71</v>
      </c>
      <c r="B3561" s="24" t="s">
        <v>66</v>
      </c>
      <c r="C3561" s="27">
        <v>211.0</v>
      </c>
    </row>
    <row r="3562">
      <c r="A3562" s="24" t="s">
        <v>71</v>
      </c>
      <c r="B3562" s="24" t="s">
        <v>41</v>
      </c>
      <c r="C3562" s="27">
        <v>283.0</v>
      </c>
    </row>
    <row r="3563">
      <c r="A3563" s="24" t="s">
        <v>71</v>
      </c>
      <c r="B3563" s="24" t="s">
        <v>60</v>
      </c>
      <c r="C3563" s="27">
        <v>181.0</v>
      </c>
    </row>
    <row r="3564">
      <c r="A3564" s="24" t="s">
        <v>71</v>
      </c>
      <c r="B3564" s="24" t="s">
        <v>64</v>
      </c>
      <c r="C3564" s="27">
        <v>191.0</v>
      </c>
    </row>
    <row r="3565">
      <c r="A3565" s="24" t="s">
        <v>71</v>
      </c>
      <c r="B3565" s="24" t="s">
        <v>65</v>
      </c>
      <c r="C3565" s="27">
        <v>138.0</v>
      </c>
    </row>
    <row r="3566">
      <c r="A3566" s="24" t="s">
        <v>71</v>
      </c>
      <c r="B3566" s="24" t="s">
        <v>55</v>
      </c>
      <c r="C3566" s="27">
        <v>534.0</v>
      </c>
    </row>
    <row r="3567">
      <c r="A3567" s="24" t="s">
        <v>71</v>
      </c>
      <c r="B3567" s="24" t="s">
        <v>36</v>
      </c>
      <c r="C3567" s="27">
        <v>330.0</v>
      </c>
    </row>
    <row r="3568">
      <c r="A3568" s="24" t="s">
        <v>71</v>
      </c>
      <c r="B3568" s="24" t="s">
        <v>56</v>
      </c>
      <c r="C3568" s="27">
        <v>593.0</v>
      </c>
    </row>
    <row r="3569">
      <c r="A3569" s="24" t="s">
        <v>71</v>
      </c>
      <c r="B3569" s="24" t="s">
        <v>43</v>
      </c>
      <c r="C3569" s="27">
        <v>117.0</v>
      </c>
    </row>
    <row r="3570">
      <c r="A3570" s="24" t="s">
        <v>71</v>
      </c>
      <c r="B3570" s="24" t="s">
        <v>50</v>
      </c>
      <c r="C3570" s="27">
        <v>557.0</v>
      </c>
    </row>
    <row r="3571">
      <c r="A3571" s="24" t="s">
        <v>71</v>
      </c>
      <c r="B3571" s="24" t="s">
        <v>44</v>
      </c>
      <c r="C3571" s="27">
        <v>35.5</v>
      </c>
    </row>
    <row r="3572">
      <c r="A3572" s="24" t="s">
        <v>71</v>
      </c>
      <c r="B3572" s="24" t="s">
        <v>27</v>
      </c>
      <c r="C3572" s="27">
        <v>311.0</v>
      </c>
    </row>
    <row r="3573">
      <c r="A3573" s="24" t="s">
        <v>71</v>
      </c>
      <c r="B3573" s="24" t="s">
        <v>57</v>
      </c>
      <c r="C3573" s="27">
        <v>502.0</v>
      </c>
    </row>
    <row r="3574">
      <c r="A3574" s="24" t="s">
        <v>71</v>
      </c>
      <c r="B3574" s="24" t="s">
        <v>23</v>
      </c>
      <c r="C3574" s="27">
        <v>339.0</v>
      </c>
    </row>
    <row r="3575">
      <c r="A3575" s="24" t="s">
        <v>71</v>
      </c>
      <c r="B3575" s="24" t="s">
        <v>37</v>
      </c>
      <c r="C3575" s="27">
        <v>284.0</v>
      </c>
    </row>
    <row r="3576">
      <c r="A3576" s="24" t="s">
        <v>71</v>
      </c>
      <c r="B3576" s="24" t="s">
        <v>54</v>
      </c>
      <c r="C3576" s="27">
        <v>404.0</v>
      </c>
    </row>
    <row r="3577">
      <c r="A3577" s="24" t="s">
        <v>71</v>
      </c>
      <c r="B3577" s="24" t="s">
        <v>39</v>
      </c>
      <c r="C3577" s="27">
        <v>267.0</v>
      </c>
    </row>
    <row r="3578">
      <c r="A3578" s="24" t="s">
        <v>71</v>
      </c>
      <c r="B3578" s="24" t="s">
        <v>34</v>
      </c>
      <c r="C3578" s="27">
        <v>121.0</v>
      </c>
    </row>
    <row r="3579">
      <c r="A3579" s="24" t="s">
        <v>71</v>
      </c>
      <c r="B3579" s="24" t="s">
        <v>31</v>
      </c>
      <c r="C3579" s="27">
        <v>470.0</v>
      </c>
    </row>
    <row r="3580">
      <c r="A3580" s="24" t="s">
        <v>71</v>
      </c>
      <c r="B3580" s="24" t="s">
        <v>20</v>
      </c>
      <c r="C3580" s="27">
        <v>328.0</v>
      </c>
    </row>
    <row r="3581">
      <c r="A3581" s="24" t="s">
        <v>71</v>
      </c>
      <c r="B3581" s="24" t="s">
        <v>40</v>
      </c>
      <c r="C3581" s="27">
        <v>200.0</v>
      </c>
    </row>
    <row r="3582">
      <c r="A3582" s="24" t="s">
        <v>71</v>
      </c>
      <c r="B3582" s="24" t="s">
        <v>42</v>
      </c>
      <c r="C3582" s="27">
        <v>224.0</v>
      </c>
    </row>
    <row r="3583">
      <c r="A3583" s="24" t="s">
        <v>71</v>
      </c>
      <c r="B3583" s="24" t="s">
        <v>51</v>
      </c>
      <c r="C3583" s="27">
        <v>334.0</v>
      </c>
    </row>
    <row r="3584">
      <c r="A3584" s="24" t="s">
        <v>71</v>
      </c>
      <c r="B3584" s="24" t="s">
        <v>21</v>
      </c>
      <c r="C3584" s="27">
        <v>331.0</v>
      </c>
    </row>
    <row r="3585">
      <c r="A3585" s="24" t="s">
        <v>71</v>
      </c>
      <c r="B3585" s="24" t="s">
        <v>47</v>
      </c>
      <c r="C3585" s="27">
        <v>69.2</v>
      </c>
    </row>
    <row r="3586">
      <c r="A3586" s="24" t="s">
        <v>71</v>
      </c>
      <c r="B3586" s="24" t="s">
        <v>62</v>
      </c>
      <c r="C3586" s="27">
        <v>25.3</v>
      </c>
    </row>
    <row r="3587">
      <c r="A3587" s="24" t="s">
        <v>71</v>
      </c>
      <c r="B3587" s="24" t="s">
        <v>33</v>
      </c>
      <c r="C3587" s="27">
        <v>334.0</v>
      </c>
    </row>
    <row r="3588">
      <c r="A3588" s="24" t="s">
        <v>71</v>
      </c>
      <c r="B3588" s="24" t="s">
        <v>66</v>
      </c>
      <c r="C3588" s="27">
        <v>211.0</v>
      </c>
    </row>
    <row r="3589">
      <c r="A3589" s="24" t="s">
        <v>71</v>
      </c>
      <c r="B3589" s="24" t="s">
        <v>30</v>
      </c>
      <c r="C3589" s="27">
        <v>349.0</v>
      </c>
    </row>
    <row r="3590">
      <c r="A3590" s="24" t="s">
        <v>71</v>
      </c>
      <c r="B3590" s="24" t="s">
        <v>32</v>
      </c>
      <c r="C3590" s="27">
        <v>385.0</v>
      </c>
    </row>
    <row r="3591">
      <c r="A3591" s="24" t="s">
        <v>71</v>
      </c>
      <c r="B3591" s="24" t="s">
        <v>46</v>
      </c>
      <c r="C3591" s="27">
        <v>100.0</v>
      </c>
    </row>
    <row r="3592">
      <c r="A3592" s="24" t="s">
        <v>71</v>
      </c>
      <c r="B3592" s="24" t="s">
        <v>45</v>
      </c>
      <c r="C3592" s="27">
        <v>100.0</v>
      </c>
    </row>
    <row r="3593">
      <c r="A3593" s="24" t="s">
        <v>71</v>
      </c>
      <c r="B3593" s="24" t="s">
        <v>24</v>
      </c>
      <c r="C3593" s="27">
        <v>391.0</v>
      </c>
    </row>
    <row r="3594">
      <c r="A3594" s="24" t="s">
        <v>71</v>
      </c>
      <c r="B3594" s="24" t="s">
        <v>55</v>
      </c>
      <c r="C3594" s="27">
        <v>534.0</v>
      </c>
    </row>
    <row r="3595">
      <c r="A3595" s="24" t="s">
        <v>71</v>
      </c>
      <c r="B3595" s="24" t="s">
        <v>63</v>
      </c>
      <c r="C3595" s="27">
        <v>216.0</v>
      </c>
    </row>
    <row r="3596">
      <c r="A3596" s="24" t="s">
        <v>71</v>
      </c>
      <c r="B3596" s="24" t="s">
        <v>58</v>
      </c>
      <c r="C3596" s="27">
        <v>519.0</v>
      </c>
    </row>
    <row r="3597">
      <c r="A3597" s="24" t="s">
        <v>71</v>
      </c>
      <c r="B3597" s="24" t="s">
        <v>56</v>
      </c>
      <c r="C3597" s="27">
        <v>593.0</v>
      </c>
    </row>
    <row r="3598">
      <c r="A3598" s="24" t="s">
        <v>71</v>
      </c>
      <c r="B3598" s="24" t="s">
        <v>29</v>
      </c>
      <c r="C3598" s="27">
        <v>511.0</v>
      </c>
    </row>
    <row r="3599">
      <c r="A3599" s="24" t="s">
        <v>71</v>
      </c>
      <c r="B3599" s="24" t="s">
        <v>44</v>
      </c>
      <c r="C3599" s="27">
        <v>35.5</v>
      </c>
    </row>
    <row r="3600">
      <c r="A3600" s="24" t="s">
        <v>71</v>
      </c>
      <c r="B3600" s="24" t="s">
        <v>38</v>
      </c>
      <c r="C3600" s="27">
        <v>371.0</v>
      </c>
    </row>
    <row r="3601">
      <c r="A3601" s="24" t="s">
        <v>71</v>
      </c>
      <c r="B3601" s="24" t="s">
        <v>61</v>
      </c>
      <c r="C3601" s="27">
        <v>49.7</v>
      </c>
    </row>
    <row r="3602">
      <c r="A3602" s="24" t="s">
        <v>71</v>
      </c>
      <c r="B3602" s="24" t="s">
        <v>52</v>
      </c>
      <c r="C3602" s="27">
        <v>361.0</v>
      </c>
    </row>
    <row r="3603">
      <c r="A3603" s="24" t="s">
        <v>71</v>
      </c>
      <c r="B3603" s="24" t="s">
        <v>57</v>
      </c>
      <c r="C3603" s="27">
        <v>502.0</v>
      </c>
    </row>
    <row r="3604">
      <c r="A3604" s="24" t="s">
        <v>71</v>
      </c>
      <c r="B3604" s="24" t="s">
        <v>25</v>
      </c>
      <c r="C3604" s="27">
        <v>442.0</v>
      </c>
    </row>
    <row r="3605">
      <c r="A3605" s="24" t="s">
        <v>71</v>
      </c>
      <c r="B3605" s="24" t="s">
        <v>37</v>
      </c>
      <c r="C3605" s="27">
        <v>284.0</v>
      </c>
    </row>
    <row r="3606">
      <c r="A3606" s="24" t="s">
        <v>71</v>
      </c>
      <c r="B3606" s="24" t="s">
        <v>39</v>
      </c>
      <c r="C3606" s="27">
        <v>267.0</v>
      </c>
    </row>
    <row r="3607">
      <c r="A3607" s="24" t="s">
        <v>71</v>
      </c>
      <c r="B3607" s="24" t="s">
        <v>67</v>
      </c>
      <c r="C3607" s="27">
        <v>461.0</v>
      </c>
    </row>
    <row r="3608">
      <c r="A3608" s="24" t="s">
        <v>71</v>
      </c>
      <c r="B3608" s="24" t="s">
        <v>31</v>
      </c>
      <c r="C3608" s="27">
        <v>470.0</v>
      </c>
    </row>
    <row r="3609">
      <c r="A3609" s="24" t="s">
        <v>71</v>
      </c>
      <c r="B3609" s="24" t="s">
        <v>53</v>
      </c>
      <c r="C3609" s="27">
        <v>590.0</v>
      </c>
    </row>
    <row r="3610">
      <c r="A3610" s="24" t="s">
        <v>71</v>
      </c>
      <c r="B3610" s="24" t="s">
        <v>26</v>
      </c>
      <c r="C3610" s="27">
        <v>486.0</v>
      </c>
    </row>
    <row r="3611">
      <c r="A3611" s="24" t="s">
        <v>71</v>
      </c>
      <c r="B3611" s="24" t="s">
        <v>40</v>
      </c>
      <c r="C3611" s="27">
        <v>200.0</v>
      </c>
    </row>
    <row r="3612">
      <c r="A3612" s="24" t="s">
        <v>71</v>
      </c>
      <c r="B3612" s="24" t="s">
        <v>51</v>
      </c>
      <c r="C3612" s="27">
        <v>334.0</v>
      </c>
    </row>
    <row r="3613">
      <c r="A3613" s="24" t="s">
        <v>71</v>
      </c>
      <c r="B3613" s="24" t="s">
        <v>28</v>
      </c>
      <c r="C3613" s="27">
        <v>324.0</v>
      </c>
    </row>
    <row r="3614">
      <c r="A3614" s="24" t="s">
        <v>71</v>
      </c>
      <c r="B3614" s="24" t="s">
        <v>47</v>
      </c>
      <c r="C3614" s="27">
        <v>69.2</v>
      </c>
    </row>
    <row r="3615">
      <c r="A3615" s="24" t="s">
        <v>71</v>
      </c>
      <c r="B3615" s="24" t="s">
        <v>48</v>
      </c>
      <c r="C3615" s="27">
        <v>110.0</v>
      </c>
    </row>
    <row r="3616">
      <c r="A3616" s="24" t="s">
        <v>71</v>
      </c>
      <c r="B3616" s="24" t="s">
        <v>62</v>
      </c>
      <c r="C3616" s="27">
        <v>25.3</v>
      </c>
    </row>
    <row r="3617">
      <c r="A3617" s="24" t="s">
        <v>71</v>
      </c>
      <c r="B3617" s="24" t="s">
        <v>59</v>
      </c>
      <c r="C3617" s="27">
        <v>471.0</v>
      </c>
    </row>
    <row r="3618">
      <c r="A3618" s="24" t="s">
        <v>71</v>
      </c>
      <c r="B3618" s="24" t="s">
        <v>30</v>
      </c>
      <c r="C3618" s="27">
        <v>349.0</v>
      </c>
    </row>
    <row r="3619">
      <c r="A3619" s="24" t="s">
        <v>71</v>
      </c>
      <c r="B3619" s="24" t="s">
        <v>68</v>
      </c>
      <c r="C3619" s="27">
        <v>21.9</v>
      </c>
    </row>
    <row r="3620">
      <c r="A3620" s="24" t="s">
        <v>71</v>
      </c>
      <c r="B3620" s="24" t="s">
        <v>32</v>
      </c>
      <c r="C3620" s="27">
        <v>385.0</v>
      </c>
    </row>
    <row r="3621">
      <c r="A3621" s="24" t="s">
        <v>71</v>
      </c>
      <c r="B3621" s="24" t="s">
        <v>69</v>
      </c>
      <c r="C3621" s="27">
        <v>39.1</v>
      </c>
    </row>
    <row r="3622">
      <c r="A3622" s="24" t="s">
        <v>71</v>
      </c>
      <c r="B3622" s="24" t="s">
        <v>70</v>
      </c>
      <c r="C3622" s="27">
        <v>35.8</v>
      </c>
    </row>
    <row r="3623">
      <c r="A3623" s="24" t="s">
        <v>71</v>
      </c>
      <c r="B3623" s="24" t="s">
        <v>46</v>
      </c>
      <c r="C3623" s="27">
        <v>100.0</v>
      </c>
    </row>
    <row r="3624">
      <c r="A3624" s="24" t="s">
        <v>71</v>
      </c>
      <c r="B3624" s="24" t="s">
        <v>71</v>
      </c>
      <c r="C3624" s="27">
        <v>0.0</v>
      </c>
    </row>
    <row r="3625">
      <c r="A3625" s="24" t="s">
        <v>71</v>
      </c>
      <c r="B3625" s="24" t="s">
        <v>24</v>
      </c>
      <c r="C3625" s="27">
        <v>391.0</v>
      </c>
    </row>
    <row r="3626">
      <c r="A3626" s="24" t="s">
        <v>71</v>
      </c>
      <c r="B3626" s="24" t="s">
        <v>63</v>
      </c>
      <c r="C3626" s="27">
        <v>216.0</v>
      </c>
    </row>
    <row r="3627">
      <c r="A3627" s="24" t="s">
        <v>71</v>
      </c>
      <c r="B3627" s="24" t="s">
        <v>58</v>
      </c>
      <c r="C3627" s="27">
        <v>519.0</v>
      </c>
    </row>
    <row r="3628">
      <c r="A3628" s="24" t="s">
        <v>71</v>
      </c>
      <c r="B3628" s="24" t="s">
        <v>29</v>
      </c>
      <c r="C3628" s="27">
        <v>511.0</v>
      </c>
    </row>
    <row r="3629">
      <c r="A3629" s="24" t="s">
        <v>71</v>
      </c>
      <c r="B3629" s="24" t="s">
        <v>38</v>
      </c>
      <c r="C3629" s="27">
        <v>371.0</v>
      </c>
    </row>
    <row r="3630">
      <c r="A3630" s="24" t="s">
        <v>71</v>
      </c>
      <c r="B3630" s="24" t="s">
        <v>61</v>
      </c>
      <c r="C3630" s="27">
        <v>49.7</v>
      </c>
    </row>
    <row r="3631">
      <c r="A3631" s="24" t="s">
        <v>71</v>
      </c>
      <c r="B3631" s="24" t="s">
        <v>52</v>
      </c>
      <c r="C3631" s="27">
        <v>361.0</v>
      </c>
    </row>
    <row r="3632">
      <c r="A3632" s="24" t="s">
        <v>71</v>
      </c>
      <c r="B3632" s="24" t="s">
        <v>25</v>
      </c>
      <c r="C3632" s="27">
        <v>442.0</v>
      </c>
    </row>
    <row r="3633">
      <c r="A3633" s="24" t="s">
        <v>71</v>
      </c>
      <c r="B3633" s="24" t="s">
        <v>67</v>
      </c>
      <c r="C3633" s="27">
        <v>461.0</v>
      </c>
    </row>
    <row r="3634">
      <c r="A3634" s="24" t="s">
        <v>71</v>
      </c>
      <c r="B3634" s="24" t="s">
        <v>53</v>
      </c>
      <c r="C3634" s="27">
        <v>590.0</v>
      </c>
    </row>
    <row r="3635">
      <c r="A3635" s="24" t="s">
        <v>71</v>
      </c>
      <c r="B3635" s="24" t="s">
        <v>26</v>
      </c>
      <c r="C3635" s="27">
        <v>486.0</v>
      </c>
    </row>
    <row r="3636">
      <c r="A3636" s="24" t="s">
        <v>71</v>
      </c>
      <c r="B3636" s="24" t="s">
        <v>28</v>
      </c>
      <c r="C3636" s="27">
        <v>324.0</v>
      </c>
    </row>
    <row r="3637">
      <c r="A3637" s="24" t="s">
        <v>71</v>
      </c>
      <c r="B3637" s="24" t="s">
        <v>48</v>
      </c>
      <c r="C3637" s="27">
        <v>110.0</v>
      </c>
    </row>
    <row r="3638">
      <c r="A3638" s="24" t="s">
        <v>71</v>
      </c>
      <c r="B3638" s="24" t="s">
        <v>59</v>
      </c>
      <c r="C3638" s="27">
        <v>471.0</v>
      </c>
    </row>
    <row r="3639">
      <c r="A3639" s="24" t="s">
        <v>71</v>
      </c>
      <c r="B3639" s="24" t="s">
        <v>68</v>
      </c>
      <c r="C3639" s="27">
        <v>21.9</v>
      </c>
    </row>
    <row r="3640">
      <c r="A3640" s="24" t="s">
        <v>71</v>
      </c>
      <c r="B3640" s="24" t="s">
        <v>69</v>
      </c>
      <c r="C3640" s="27">
        <v>39.1</v>
      </c>
    </row>
    <row r="3641">
      <c r="A3641" s="24" t="s">
        <v>71</v>
      </c>
      <c r="B3641" s="24" t="s">
        <v>70</v>
      </c>
      <c r="C3641" s="27">
        <v>35.8</v>
      </c>
    </row>
    <row r="3642">
      <c r="A3642" s="24" t="s">
        <v>71</v>
      </c>
      <c r="B3642" s="24" t="s">
        <v>71</v>
      </c>
      <c r="C3642" s="27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2031</v>
      </c>
      <c r="B1" s="24" t="s">
        <v>2032</v>
      </c>
      <c r="C1" s="24" t="s">
        <v>2038</v>
      </c>
      <c r="D1" s="24" t="s">
        <v>2034</v>
      </c>
      <c r="E1" s="24"/>
      <c r="F1" s="24"/>
    </row>
    <row r="2">
      <c r="A2" s="2" t="s">
        <v>18</v>
      </c>
      <c r="B2" s="2" t="s">
        <v>18</v>
      </c>
      <c r="C2" s="149">
        <v>0.0</v>
      </c>
    </row>
    <row r="3">
      <c r="A3" s="2" t="s">
        <v>18</v>
      </c>
      <c r="B3" s="2" t="s">
        <v>49</v>
      </c>
      <c r="C3" s="149">
        <v>1802.0</v>
      </c>
    </row>
    <row r="4">
      <c r="A4" s="2" t="s">
        <v>18</v>
      </c>
      <c r="B4" s="2" t="s">
        <v>22</v>
      </c>
      <c r="C4" s="149">
        <v>1050.0</v>
      </c>
    </row>
    <row r="5">
      <c r="A5" s="2" t="s">
        <v>18</v>
      </c>
      <c r="B5" s="2" t="s">
        <v>27</v>
      </c>
      <c r="C5" s="149">
        <v>790.0</v>
      </c>
    </row>
    <row r="6">
      <c r="A6" s="2" t="s">
        <v>18</v>
      </c>
      <c r="B6" s="2" t="s">
        <v>35</v>
      </c>
      <c r="C6" s="149">
        <v>874.0</v>
      </c>
    </row>
    <row r="7">
      <c r="A7" s="2" t="s">
        <v>18</v>
      </c>
      <c r="B7" s="2" t="s">
        <v>41</v>
      </c>
      <c r="C7" s="149">
        <v>734.0</v>
      </c>
    </row>
    <row r="8">
      <c r="A8" s="2" t="s">
        <v>18</v>
      </c>
      <c r="B8" s="2" t="s">
        <v>57</v>
      </c>
      <c r="C8" s="149">
        <v>1234.0</v>
      </c>
    </row>
    <row r="9">
      <c r="A9" s="2" t="s">
        <v>18</v>
      </c>
      <c r="B9" s="2" t="s">
        <v>37</v>
      </c>
      <c r="C9" s="149">
        <v>676.0</v>
      </c>
    </row>
    <row r="10">
      <c r="A10" s="2" t="s">
        <v>18</v>
      </c>
      <c r="B10" s="2" t="s">
        <v>39</v>
      </c>
      <c r="C10" s="149">
        <v>654.0</v>
      </c>
    </row>
    <row r="11">
      <c r="A11" s="2" t="s">
        <v>18</v>
      </c>
      <c r="B11" s="2" t="s">
        <v>64</v>
      </c>
      <c r="C11" s="149">
        <v>506.0</v>
      </c>
    </row>
    <row r="12">
      <c r="A12" s="2" t="s">
        <v>18</v>
      </c>
      <c r="B12" s="2" t="s">
        <v>65</v>
      </c>
      <c r="C12" s="149">
        <v>366.0</v>
      </c>
    </row>
    <row r="13">
      <c r="A13" s="2" t="s">
        <v>18</v>
      </c>
      <c r="B13" s="2" t="s">
        <v>36</v>
      </c>
      <c r="C13" s="149">
        <v>866.0</v>
      </c>
    </row>
    <row r="14">
      <c r="A14" s="2" t="s">
        <v>18</v>
      </c>
      <c r="B14" s="2" t="s">
        <v>31</v>
      </c>
      <c r="C14" s="149">
        <v>1110.0</v>
      </c>
    </row>
    <row r="15">
      <c r="A15" s="2" t="s">
        <v>18</v>
      </c>
      <c r="B15" s="2" t="s">
        <v>43</v>
      </c>
      <c r="C15" s="149">
        <v>422.0</v>
      </c>
    </row>
    <row r="16">
      <c r="A16" s="2" t="s">
        <v>18</v>
      </c>
      <c r="B16" s="2" t="s">
        <v>40</v>
      </c>
      <c r="C16" s="149">
        <v>468.0</v>
      </c>
    </row>
    <row r="17">
      <c r="A17" s="2" t="s">
        <v>18</v>
      </c>
      <c r="B17" s="2" t="s">
        <v>50</v>
      </c>
      <c r="C17" s="149">
        <v>1796.0</v>
      </c>
    </row>
    <row r="18">
      <c r="A18" s="2" t="s">
        <v>18</v>
      </c>
      <c r="B18" s="2" t="s">
        <v>51</v>
      </c>
      <c r="C18" s="149">
        <v>808.0</v>
      </c>
    </row>
    <row r="19">
      <c r="A19" s="2" t="s">
        <v>18</v>
      </c>
      <c r="B19" s="2" t="s">
        <v>23</v>
      </c>
      <c r="C19" s="149">
        <v>1128.0</v>
      </c>
    </row>
    <row r="20">
      <c r="A20" s="2" t="s">
        <v>18</v>
      </c>
      <c r="B20" s="2" t="s">
        <v>47</v>
      </c>
      <c r="C20" s="149">
        <v>220.0</v>
      </c>
    </row>
    <row r="21">
      <c r="A21" s="2" t="s">
        <v>18</v>
      </c>
      <c r="B21" s="2" t="s">
        <v>62</v>
      </c>
      <c r="C21" s="149">
        <v>98.0</v>
      </c>
    </row>
    <row r="22">
      <c r="A22" s="2" t="s">
        <v>18</v>
      </c>
      <c r="B22" s="2" t="s">
        <v>30</v>
      </c>
      <c r="C22" s="149">
        <v>796.0</v>
      </c>
    </row>
    <row r="23">
      <c r="A23" s="2" t="s">
        <v>18</v>
      </c>
      <c r="B23" s="2" t="s">
        <v>32</v>
      </c>
      <c r="C23" s="149">
        <v>872.0</v>
      </c>
    </row>
    <row r="24">
      <c r="A24" s="2" t="s">
        <v>18</v>
      </c>
      <c r="B24" s="2" t="s">
        <v>46</v>
      </c>
      <c r="C24" s="149">
        <v>274.0</v>
      </c>
    </row>
    <row r="25">
      <c r="A25" s="2" t="s">
        <v>18</v>
      </c>
      <c r="B25" s="2" t="s">
        <v>54</v>
      </c>
      <c r="C25" s="149">
        <v>1328.0</v>
      </c>
    </row>
    <row r="26">
      <c r="A26" s="2" t="s">
        <v>18</v>
      </c>
      <c r="B26" s="2" t="s">
        <v>34</v>
      </c>
      <c r="C26" s="149">
        <v>354.0</v>
      </c>
    </row>
    <row r="27">
      <c r="A27" s="2" t="s">
        <v>18</v>
      </c>
      <c r="B27" s="2" t="s">
        <v>20</v>
      </c>
      <c r="C27" s="149">
        <v>1128.0</v>
      </c>
    </row>
    <row r="28">
      <c r="A28" s="2" t="s">
        <v>18</v>
      </c>
      <c r="B28" s="2" t="s">
        <v>24</v>
      </c>
      <c r="C28" s="149">
        <v>978.0</v>
      </c>
    </row>
    <row r="29">
      <c r="A29" s="2" t="s">
        <v>18</v>
      </c>
      <c r="B29" s="2" t="s">
        <v>63</v>
      </c>
      <c r="C29" s="149">
        <v>510.0</v>
      </c>
    </row>
    <row r="30">
      <c r="A30" s="2" t="s">
        <v>18</v>
      </c>
      <c r="B30" s="2" t="s">
        <v>58</v>
      </c>
      <c r="C30" s="149">
        <v>1272.0</v>
      </c>
    </row>
    <row r="31">
      <c r="A31" s="2" t="s">
        <v>18</v>
      </c>
      <c r="B31" s="2" t="s">
        <v>42</v>
      </c>
      <c r="C31" s="149">
        <v>580.0</v>
      </c>
    </row>
    <row r="32">
      <c r="A32" s="2" t="s">
        <v>18</v>
      </c>
      <c r="B32" s="2" t="s">
        <v>21</v>
      </c>
      <c r="C32" s="149">
        <v>1102.0</v>
      </c>
    </row>
    <row r="33">
      <c r="A33" s="2" t="s">
        <v>18</v>
      </c>
      <c r="B33" s="2" t="s">
        <v>33</v>
      </c>
      <c r="C33" s="149">
        <v>834.0</v>
      </c>
    </row>
    <row r="34">
      <c r="A34" s="2" t="s">
        <v>18</v>
      </c>
      <c r="B34" s="2" t="s">
        <v>66</v>
      </c>
      <c r="C34" s="149">
        <v>740.0</v>
      </c>
    </row>
    <row r="35">
      <c r="A35" s="2" t="s">
        <v>18</v>
      </c>
      <c r="B35" s="2" t="s">
        <v>29</v>
      </c>
      <c r="C35" s="149">
        <v>1470.0</v>
      </c>
    </row>
    <row r="36">
      <c r="A36" s="2" t="s">
        <v>18</v>
      </c>
      <c r="B36" s="2" t="s">
        <v>60</v>
      </c>
      <c r="C36" s="149">
        <v>492.0</v>
      </c>
    </row>
    <row r="37">
      <c r="A37" s="2" t="s">
        <v>18</v>
      </c>
      <c r="B37" s="2" t="s">
        <v>38</v>
      </c>
      <c r="C37" s="149">
        <v>928.0</v>
      </c>
    </row>
    <row r="38">
      <c r="A38" s="2" t="s">
        <v>18</v>
      </c>
      <c r="B38" s="2" t="s">
        <v>61</v>
      </c>
      <c r="C38" s="149">
        <v>166.0</v>
      </c>
    </row>
    <row r="39">
      <c r="A39" s="2" t="s">
        <v>18</v>
      </c>
      <c r="B39" s="2" t="s">
        <v>52</v>
      </c>
      <c r="C39" s="149">
        <v>984.0</v>
      </c>
    </row>
    <row r="40">
      <c r="A40" s="2" t="s">
        <v>18</v>
      </c>
      <c r="B40" s="2" t="s">
        <v>25</v>
      </c>
      <c r="C40" s="149">
        <v>1092.0</v>
      </c>
    </row>
    <row r="41">
      <c r="A41" s="2" t="s">
        <v>18</v>
      </c>
      <c r="B41" s="2" t="s">
        <v>67</v>
      </c>
      <c r="C41" s="149">
        <v>1200.0</v>
      </c>
    </row>
    <row r="42">
      <c r="A42" s="2" t="s">
        <v>18</v>
      </c>
      <c r="B42" s="2" t="s">
        <v>45</v>
      </c>
      <c r="C42" s="149">
        <v>274.0</v>
      </c>
    </row>
    <row r="43">
      <c r="A43" s="2" t="s">
        <v>18</v>
      </c>
      <c r="B43" s="2" t="s">
        <v>53</v>
      </c>
      <c r="C43" s="149">
        <v>1378.0</v>
      </c>
    </row>
    <row r="44">
      <c r="A44" s="2" t="s">
        <v>18</v>
      </c>
      <c r="B44" s="2" t="s">
        <v>26</v>
      </c>
      <c r="C44" s="149">
        <v>1212.0</v>
      </c>
    </row>
    <row r="45">
      <c r="A45" s="2" t="s">
        <v>18</v>
      </c>
      <c r="B45" s="2" t="s">
        <v>28</v>
      </c>
      <c r="C45" s="149">
        <v>786.0</v>
      </c>
    </row>
    <row r="46">
      <c r="A46" s="2" t="s">
        <v>18</v>
      </c>
      <c r="B46" s="2" t="s">
        <v>55</v>
      </c>
      <c r="C46" s="149">
        <v>1722.0</v>
      </c>
    </row>
    <row r="47">
      <c r="A47" s="2" t="s">
        <v>18</v>
      </c>
      <c r="B47" s="2" t="s">
        <v>48</v>
      </c>
      <c r="C47" s="149">
        <v>356.0</v>
      </c>
    </row>
    <row r="48">
      <c r="A48" s="2" t="s">
        <v>18</v>
      </c>
      <c r="B48" s="2" t="s">
        <v>2035</v>
      </c>
      <c r="C48" s="149">
        <v>1956.0</v>
      </c>
    </row>
    <row r="49">
      <c r="A49" s="2" t="s">
        <v>18</v>
      </c>
      <c r="B49" s="2" t="s">
        <v>59</v>
      </c>
      <c r="C49" s="149">
        <v>1174.0</v>
      </c>
    </row>
    <row r="50">
      <c r="A50" s="2" t="s">
        <v>18</v>
      </c>
      <c r="B50" s="2" t="s">
        <v>44</v>
      </c>
      <c r="C50" s="149">
        <v>142.0</v>
      </c>
    </row>
    <row r="51">
      <c r="A51" s="2" t="s">
        <v>18</v>
      </c>
      <c r="B51" s="2" t="s">
        <v>2036</v>
      </c>
      <c r="C51" s="149">
        <v>1886.0</v>
      </c>
    </row>
    <row r="52">
      <c r="A52" s="2" t="s">
        <v>18</v>
      </c>
      <c r="B52" s="2" t="s">
        <v>2037</v>
      </c>
      <c r="C52" s="149">
        <v>1950.0</v>
      </c>
    </row>
    <row r="53">
      <c r="A53" s="2" t="s">
        <v>49</v>
      </c>
      <c r="B53" s="2" t="s">
        <v>18</v>
      </c>
      <c r="C53" s="149">
        <v>1802.0</v>
      </c>
    </row>
    <row r="54">
      <c r="A54" s="2" t="s">
        <v>49</v>
      </c>
      <c r="B54" s="2" t="s">
        <v>49</v>
      </c>
      <c r="C54" s="149">
        <v>0.0</v>
      </c>
    </row>
    <row r="55">
      <c r="A55" s="2" t="s">
        <v>49</v>
      </c>
      <c r="B55" s="2" t="s">
        <v>22</v>
      </c>
      <c r="C55" s="149">
        <v>796.0</v>
      </c>
    </row>
    <row r="56">
      <c r="A56" s="2" t="s">
        <v>49</v>
      </c>
      <c r="B56" s="2" t="s">
        <v>27</v>
      </c>
      <c r="C56" s="149">
        <v>1786.0</v>
      </c>
    </row>
    <row r="57">
      <c r="A57" s="2" t="s">
        <v>49</v>
      </c>
      <c r="B57" s="2" t="s">
        <v>35</v>
      </c>
      <c r="C57" s="149">
        <v>2514.0</v>
      </c>
    </row>
    <row r="58">
      <c r="A58" s="2" t="s">
        <v>49</v>
      </c>
      <c r="B58" s="2" t="s">
        <v>41</v>
      </c>
      <c r="C58" s="149">
        <v>2390.0</v>
      </c>
    </row>
    <row r="59">
      <c r="A59" s="2" t="s">
        <v>49</v>
      </c>
      <c r="B59" s="2" t="s">
        <v>57</v>
      </c>
      <c r="C59" s="149">
        <v>2350.0</v>
      </c>
    </row>
    <row r="60">
      <c r="A60" s="2" t="s">
        <v>49</v>
      </c>
      <c r="B60" s="2" t="s">
        <v>37</v>
      </c>
      <c r="C60" s="149">
        <v>1594.0</v>
      </c>
    </row>
    <row r="61">
      <c r="A61" s="2" t="s">
        <v>49</v>
      </c>
      <c r="B61" s="2" t="s">
        <v>39</v>
      </c>
      <c r="C61" s="149">
        <v>1466.0</v>
      </c>
    </row>
    <row r="62">
      <c r="A62" s="2" t="s">
        <v>49</v>
      </c>
      <c r="B62" s="2" t="s">
        <v>64</v>
      </c>
      <c r="C62" s="149">
        <v>2154.0</v>
      </c>
    </row>
    <row r="63">
      <c r="A63" s="2" t="s">
        <v>49</v>
      </c>
      <c r="B63" s="2" t="s">
        <v>65</v>
      </c>
      <c r="C63" s="149">
        <v>2034.0</v>
      </c>
    </row>
    <row r="64">
      <c r="A64" s="2" t="s">
        <v>49</v>
      </c>
      <c r="B64" s="2" t="s">
        <v>36</v>
      </c>
      <c r="C64" s="149">
        <v>2502.0</v>
      </c>
    </row>
    <row r="65">
      <c r="A65" s="2" t="s">
        <v>49</v>
      </c>
      <c r="B65" s="2" t="s">
        <v>31</v>
      </c>
      <c r="C65" s="149">
        <v>2306.0</v>
      </c>
    </row>
    <row r="66">
      <c r="A66" s="2" t="s">
        <v>49</v>
      </c>
      <c r="B66" s="2" t="s">
        <v>43</v>
      </c>
      <c r="C66" s="149">
        <v>2216.0</v>
      </c>
    </row>
    <row r="67">
      <c r="A67" s="2" t="s">
        <v>49</v>
      </c>
      <c r="B67" s="2" t="s">
        <v>40</v>
      </c>
      <c r="C67" s="149">
        <v>1412.0</v>
      </c>
    </row>
    <row r="68">
      <c r="A68" s="2" t="s">
        <v>49</v>
      </c>
      <c r="B68" s="2" t="s">
        <v>50</v>
      </c>
      <c r="C68" s="149">
        <v>1228.0</v>
      </c>
    </row>
    <row r="69">
      <c r="A69" s="2" t="s">
        <v>49</v>
      </c>
      <c r="B69" s="2" t="s">
        <v>51</v>
      </c>
      <c r="C69" s="149">
        <v>1922.0</v>
      </c>
    </row>
    <row r="70">
      <c r="A70" s="2" t="s">
        <v>49</v>
      </c>
      <c r="B70" s="2" t="s">
        <v>23</v>
      </c>
      <c r="C70" s="149">
        <v>822.0</v>
      </c>
    </row>
    <row r="71">
      <c r="A71" s="2" t="s">
        <v>49</v>
      </c>
      <c r="B71" s="2" t="s">
        <v>47</v>
      </c>
      <c r="C71" s="149">
        <v>1890.0</v>
      </c>
    </row>
    <row r="72">
      <c r="A72" s="2" t="s">
        <v>49</v>
      </c>
      <c r="B72" s="2" t="s">
        <v>62</v>
      </c>
      <c r="C72" s="149">
        <v>1756.0</v>
      </c>
    </row>
    <row r="73">
      <c r="A73" s="2" t="s">
        <v>49</v>
      </c>
      <c r="B73" s="2" t="s">
        <v>30</v>
      </c>
      <c r="C73" s="149">
        <v>1984.0</v>
      </c>
    </row>
    <row r="74">
      <c r="A74" s="2" t="s">
        <v>49</v>
      </c>
      <c r="B74" s="2" t="s">
        <v>32</v>
      </c>
      <c r="C74" s="149">
        <v>2068.0</v>
      </c>
    </row>
    <row r="75">
      <c r="A75" s="2" t="s">
        <v>49</v>
      </c>
      <c r="B75" s="2" t="s">
        <v>46</v>
      </c>
      <c r="C75" s="149">
        <v>1934.0</v>
      </c>
    </row>
    <row r="76">
      <c r="A76" s="2" t="s">
        <v>49</v>
      </c>
      <c r="B76" s="2" t="s">
        <v>54</v>
      </c>
      <c r="C76" s="149">
        <v>790.0</v>
      </c>
    </row>
    <row r="77">
      <c r="A77" s="2" t="s">
        <v>49</v>
      </c>
      <c r="B77" s="2" t="s">
        <v>34</v>
      </c>
      <c r="C77" s="149">
        <v>1546.0</v>
      </c>
    </row>
    <row r="78">
      <c r="A78" s="2" t="s">
        <v>49</v>
      </c>
      <c r="B78" s="2" t="s">
        <v>20</v>
      </c>
      <c r="C78" s="149">
        <v>704.0</v>
      </c>
    </row>
    <row r="79">
      <c r="A79" s="2" t="s">
        <v>49</v>
      </c>
      <c r="B79" s="2" t="s">
        <v>24</v>
      </c>
      <c r="C79" s="149">
        <v>2090.0</v>
      </c>
    </row>
    <row r="80">
      <c r="A80" s="2" t="s">
        <v>49</v>
      </c>
      <c r="B80" s="2" t="s">
        <v>63</v>
      </c>
      <c r="C80" s="149">
        <v>1692.0</v>
      </c>
    </row>
    <row r="81">
      <c r="A81" s="2" t="s">
        <v>49</v>
      </c>
      <c r="B81" s="2" t="s">
        <v>58</v>
      </c>
      <c r="C81" s="149">
        <v>2390.0</v>
      </c>
    </row>
    <row r="82">
      <c r="A82" s="2" t="s">
        <v>49</v>
      </c>
      <c r="B82" s="2" t="s">
        <v>42</v>
      </c>
      <c r="C82" s="149">
        <v>2226.0</v>
      </c>
    </row>
    <row r="83">
      <c r="A83" s="2" t="s">
        <v>49</v>
      </c>
      <c r="B83" s="2" t="s">
        <v>21</v>
      </c>
      <c r="C83" s="149">
        <v>698.0</v>
      </c>
    </row>
    <row r="84">
      <c r="A84" s="2" t="s">
        <v>49</v>
      </c>
      <c r="B84" s="2" t="s">
        <v>33</v>
      </c>
      <c r="C84" s="149">
        <v>1234.0</v>
      </c>
    </row>
    <row r="85">
      <c r="A85" s="2" t="s">
        <v>49</v>
      </c>
      <c r="B85" s="2" t="s">
        <v>66</v>
      </c>
      <c r="C85" s="149">
        <v>2488.0</v>
      </c>
    </row>
    <row r="86">
      <c r="A86" s="2" t="s">
        <v>49</v>
      </c>
      <c r="B86" s="2" t="s">
        <v>29</v>
      </c>
      <c r="C86" s="149">
        <v>1424.0</v>
      </c>
    </row>
    <row r="87">
      <c r="A87" s="2" t="s">
        <v>49</v>
      </c>
      <c r="B87" s="2" t="s">
        <v>60</v>
      </c>
      <c r="C87" s="149">
        <v>1318.0</v>
      </c>
    </row>
    <row r="88">
      <c r="A88" s="2" t="s">
        <v>49</v>
      </c>
      <c r="B88" s="2" t="s">
        <v>38</v>
      </c>
      <c r="C88" s="149">
        <v>1860.0</v>
      </c>
    </row>
    <row r="89">
      <c r="A89" s="2" t="s">
        <v>49</v>
      </c>
      <c r="B89" s="2" t="s">
        <v>61</v>
      </c>
      <c r="C89" s="149">
        <v>1676.0</v>
      </c>
    </row>
    <row r="90">
      <c r="A90" s="2" t="s">
        <v>49</v>
      </c>
      <c r="B90" s="2" t="s">
        <v>52</v>
      </c>
      <c r="C90" s="149">
        <v>2096.0</v>
      </c>
    </row>
    <row r="91">
      <c r="A91" s="2" t="s">
        <v>49</v>
      </c>
      <c r="B91" s="2" t="s">
        <v>25</v>
      </c>
      <c r="C91" s="149">
        <v>2224.0</v>
      </c>
    </row>
    <row r="92">
      <c r="A92" s="2" t="s">
        <v>49</v>
      </c>
      <c r="B92" s="2" t="s">
        <v>67</v>
      </c>
      <c r="C92" s="149">
        <v>2274.0</v>
      </c>
    </row>
    <row r="93">
      <c r="A93" s="2" t="s">
        <v>49</v>
      </c>
      <c r="B93" s="2" t="s">
        <v>45</v>
      </c>
      <c r="C93" s="149">
        <v>1934.0</v>
      </c>
    </row>
    <row r="94">
      <c r="A94" s="2" t="s">
        <v>49</v>
      </c>
      <c r="B94" s="2" t="s">
        <v>53</v>
      </c>
      <c r="C94" s="149">
        <v>2572.0</v>
      </c>
    </row>
    <row r="95">
      <c r="A95" s="2" t="s">
        <v>49</v>
      </c>
      <c r="B95" s="2" t="s">
        <v>26</v>
      </c>
      <c r="C95" s="149">
        <v>2352.0</v>
      </c>
    </row>
    <row r="96">
      <c r="A96" s="2" t="s">
        <v>49</v>
      </c>
      <c r="B96" s="2" t="s">
        <v>28</v>
      </c>
      <c r="C96" s="149">
        <v>1700.0</v>
      </c>
    </row>
    <row r="97">
      <c r="A97" s="2" t="s">
        <v>49</v>
      </c>
      <c r="B97" s="2" t="s">
        <v>55</v>
      </c>
      <c r="C97" s="149">
        <v>1158.0</v>
      </c>
    </row>
    <row r="98">
      <c r="A98" s="2" t="s">
        <v>49</v>
      </c>
      <c r="B98" s="2" t="s">
        <v>48</v>
      </c>
      <c r="C98" s="149">
        <v>1924.0</v>
      </c>
    </row>
    <row r="99">
      <c r="A99" s="2" t="s">
        <v>49</v>
      </c>
      <c r="B99" s="2" t="s">
        <v>2035</v>
      </c>
      <c r="C99" s="149">
        <v>1394.0</v>
      </c>
    </row>
    <row r="100">
      <c r="A100" s="2" t="s">
        <v>49</v>
      </c>
      <c r="B100" s="2" t="s">
        <v>59</v>
      </c>
      <c r="C100" s="149">
        <v>2294.0</v>
      </c>
    </row>
    <row r="101">
      <c r="A101" s="2" t="s">
        <v>49</v>
      </c>
      <c r="B101" s="2" t="s">
        <v>44</v>
      </c>
      <c r="C101" s="149">
        <v>1934.0</v>
      </c>
    </row>
    <row r="102">
      <c r="A102" s="2" t="s">
        <v>49</v>
      </c>
      <c r="B102" s="2" t="s">
        <v>2036</v>
      </c>
      <c r="C102" s="149">
        <v>1324.0</v>
      </c>
    </row>
    <row r="103">
      <c r="A103" s="2" t="s">
        <v>49</v>
      </c>
      <c r="B103" s="2" t="s">
        <v>2037</v>
      </c>
      <c r="C103" s="149">
        <v>82.0</v>
      </c>
    </row>
    <row r="104">
      <c r="A104" s="2" t="s">
        <v>22</v>
      </c>
      <c r="B104" s="2" t="s">
        <v>18</v>
      </c>
      <c r="C104" s="149">
        <v>1050.0</v>
      </c>
    </row>
    <row r="105">
      <c r="A105" s="2" t="s">
        <v>22</v>
      </c>
      <c r="B105" s="2" t="s">
        <v>49</v>
      </c>
      <c r="C105" s="149">
        <v>796.0</v>
      </c>
    </row>
    <row r="106">
      <c r="A106" s="2" t="s">
        <v>22</v>
      </c>
      <c r="B106" s="2" t="s">
        <v>22</v>
      </c>
      <c r="C106" s="149">
        <v>0.0</v>
      </c>
    </row>
    <row r="107">
      <c r="A107" s="2" t="s">
        <v>22</v>
      </c>
      <c r="B107" s="2" t="s">
        <v>27</v>
      </c>
      <c r="C107" s="149">
        <v>1170.0</v>
      </c>
    </row>
    <row r="108">
      <c r="A108" s="2" t="s">
        <v>22</v>
      </c>
      <c r="B108" s="2" t="s">
        <v>35</v>
      </c>
      <c r="C108" s="149">
        <v>1762.0</v>
      </c>
    </row>
    <row r="109">
      <c r="A109" s="2" t="s">
        <v>22</v>
      </c>
      <c r="B109" s="2" t="s">
        <v>41</v>
      </c>
      <c r="C109" s="149">
        <v>1638.0</v>
      </c>
    </row>
    <row r="110">
      <c r="A110" s="2" t="s">
        <v>22</v>
      </c>
      <c r="B110" s="2" t="s">
        <v>57</v>
      </c>
      <c r="C110" s="149">
        <v>1734.0</v>
      </c>
    </row>
    <row r="111">
      <c r="A111" s="2" t="s">
        <v>22</v>
      </c>
      <c r="B111" s="2" t="s">
        <v>37</v>
      </c>
      <c r="C111" s="149">
        <v>978.0</v>
      </c>
    </row>
    <row r="112">
      <c r="A112" s="2" t="s">
        <v>22</v>
      </c>
      <c r="B112" s="2" t="s">
        <v>39</v>
      </c>
      <c r="C112" s="149">
        <v>850.0</v>
      </c>
    </row>
    <row r="113">
      <c r="A113" s="2" t="s">
        <v>22</v>
      </c>
      <c r="B113" s="2" t="s">
        <v>64</v>
      </c>
      <c r="C113" s="149">
        <v>1402.0</v>
      </c>
    </row>
    <row r="114">
      <c r="A114" s="2" t="s">
        <v>22</v>
      </c>
      <c r="B114" s="2" t="s">
        <v>65</v>
      </c>
      <c r="C114" s="149">
        <v>1282.0</v>
      </c>
    </row>
    <row r="115">
      <c r="A115" s="2" t="s">
        <v>22</v>
      </c>
      <c r="B115" s="2" t="s">
        <v>36</v>
      </c>
      <c r="C115" s="149">
        <v>1752.0</v>
      </c>
    </row>
    <row r="116">
      <c r="A116" s="2" t="s">
        <v>22</v>
      </c>
      <c r="B116" s="2" t="s">
        <v>31</v>
      </c>
      <c r="C116" s="149">
        <v>1690.0</v>
      </c>
    </row>
    <row r="117">
      <c r="A117" s="2" t="s">
        <v>22</v>
      </c>
      <c r="B117" s="2" t="s">
        <v>43</v>
      </c>
      <c r="C117" s="149">
        <v>1464.0</v>
      </c>
    </row>
    <row r="118">
      <c r="A118" s="2" t="s">
        <v>22</v>
      </c>
      <c r="B118" s="2" t="s">
        <v>40</v>
      </c>
      <c r="C118" s="149">
        <v>796.0</v>
      </c>
    </row>
    <row r="119">
      <c r="A119" s="2" t="s">
        <v>22</v>
      </c>
      <c r="B119" s="2" t="s">
        <v>50</v>
      </c>
      <c r="C119" s="149">
        <v>790.0</v>
      </c>
    </row>
    <row r="120">
      <c r="A120" s="2" t="s">
        <v>22</v>
      </c>
      <c r="B120" s="2" t="s">
        <v>51</v>
      </c>
      <c r="C120" s="149">
        <v>1306.0</v>
      </c>
    </row>
    <row r="121">
      <c r="A121" s="2" t="s">
        <v>22</v>
      </c>
      <c r="B121" s="2" t="s">
        <v>23</v>
      </c>
      <c r="C121" s="149">
        <v>106.0</v>
      </c>
    </row>
    <row r="122">
      <c r="A122" s="2" t="s">
        <v>22</v>
      </c>
      <c r="B122" s="2" t="s">
        <v>47</v>
      </c>
      <c r="C122" s="149">
        <v>1138.0</v>
      </c>
    </row>
    <row r="123">
      <c r="A123" s="2" t="s">
        <v>22</v>
      </c>
      <c r="B123" s="2" t="s">
        <v>62</v>
      </c>
      <c r="C123" s="149">
        <v>1004.0</v>
      </c>
    </row>
    <row r="124">
      <c r="A124" s="2" t="s">
        <v>22</v>
      </c>
      <c r="B124" s="2" t="s">
        <v>30</v>
      </c>
      <c r="C124" s="149">
        <v>1368.0</v>
      </c>
    </row>
    <row r="125">
      <c r="A125" s="2" t="s">
        <v>22</v>
      </c>
      <c r="B125" s="2" t="s">
        <v>32</v>
      </c>
      <c r="C125" s="149">
        <v>1452.0</v>
      </c>
    </row>
    <row r="126">
      <c r="A126" s="2" t="s">
        <v>22</v>
      </c>
      <c r="B126" s="2" t="s">
        <v>46</v>
      </c>
      <c r="C126" s="149">
        <v>1182.0</v>
      </c>
    </row>
    <row r="127">
      <c r="A127" s="2" t="s">
        <v>22</v>
      </c>
      <c r="B127" s="2" t="s">
        <v>54</v>
      </c>
      <c r="C127" s="149">
        <v>312.0</v>
      </c>
    </row>
    <row r="128">
      <c r="A128" s="2" t="s">
        <v>22</v>
      </c>
      <c r="B128" s="2" t="s">
        <v>34</v>
      </c>
      <c r="C128" s="149">
        <v>794.0</v>
      </c>
    </row>
    <row r="129">
      <c r="A129" s="2" t="s">
        <v>22</v>
      </c>
      <c r="B129" s="2" t="s">
        <v>20</v>
      </c>
      <c r="C129" s="149">
        <v>120.0</v>
      </c>
    </row>
    <row r="130">
      <c r="A130" s="2" t="s">
        <v>22</v>
      </c>
      <c r="B130" s="2" t="s">
        <v>24</v>
      </c>
      <c r="C130" s="149">
        <v>1474.0</v>
      </c>
    </row>
    <row r="131">
      <c r="A131" s="2" t="s">
        <v>22</v>
      </c>
      <c r="B131" s="2" t="s">
        <v>63</v>
      </c>
      <c r="C131" s="149">
        <v>1076.0</v>
      </c>
    </row>
    <row r="132">
      <c r="A132" s="2" t="s">
        <v>22</v>
      </c>
      <c r="B132" s="2" t="s">
        <v>58</v>
      </c>
      <c r="C132" s="149">
        <v>1774.0</v>
      </c>
    </row>
    <row r="133">
      <c r="A133" s="2" t="s">
        <v>22</v>
      </c>
      <c r="B133" s="2" t="s">
        <v>42</v>
      </c>
      <c r="C133" s="149">
        <v>1474.0</v>
      </c>
    </row>
    <row r="134">
      <c r="A134" s="2" t="s">
        <v>22</v>
      </c>
      <c r="B134" s="2" t="s">
        <v>21</v>
      </c>
      <c r="C134" s="149">
        <v>100.0</v>
      </c>
    </row>
    <row r="135">
      <c r="A135" s="2" t="s">
        <v>22</v>
      </c>
      <c r="B135" s="2" t="s">
        <v>33</v>
      </c>
      <c r="C135" s="149">
        <v>618.0</v>
      </c>
    </row>
    <row r="136">
      <c r="A136" s="2" t="s">
        <v>22</v>
      </c>
      <c r="B136" s="2" t="s">
        <v>66</v>
      </c>
      <c r="C136" s="149">
        <v>1736.0</v>
      </c>
    </row>
    <row r="137">
      <c r="A137" s="2" t="s">
        <v>22</v>
      </c>
      <c r="B137" s="2" t="s">
        <v>29</v>
      </c>
      <c r="C137" s="149">
        <v>1160.0</v>
      </c>
    </row>
    <row r="138">
      <c r="A138" s="2" t="s">
        <v>22</v>
      </c>
      <c r="B138" s="2" t="s">
        <v>60</v>
      </c>
      <c r="C138" s="149">
        <v>566.0</v>
      </c>
    </row>
    <row r="139">
      <c r="A139" s="2" t="s">
        <v>22</v>
      </c>
      <c r="B139" s="2" t="s">
        <v>38</v>
      </c>
      <c r="C139" s="149">
        <v>1244.0</v>
      </c>
    </row>
    <row r="140">
      <c r="A140" s="2" t="s">
        <v>22</v>
      </c>
      <c r="B140" s="2" t="s">
        <v>61</v>
      </c>
      <c r="C140" s="149">
        <v>924.0</v>
      </c>
    </row>
    <row r="141">
      <c r="A141" s="2" t="s">
        <v>22</v>
      </c>
      <c r="B141" s="2" t="s">
        <v>52</v>
      </c>
      <c r="C141" s="149">
        <v>1478.0</v>
      </c>
    </row>
    <row r="142">
      <c r="A142" s="2" t="s">
        <v>22</v>
      </c>
      <c r="B142" s="2" t="s">
        <v>25</v>
      </c>
      <c r="C142" s="149">
        <v>1608.0</v>
      </c>
    </row>
    <row r="143">
      <c r="A143" s="2" t="s">
        <v>22</v>
      </c>
      <c r="B143" s="2" t="s">
        <v>67</v>
      </c>
      <c r="C143" s="149">
        <v>1658.0</v>
      </c>
    </row>
    <row r="144">
      <c r="A144" s="2" t="s">
        <v>22</v>
      </c>
      <c r="B144" s="2" t="s">
        <v>45</v>
      </c>
      <c r="C144" s="149">
        <v>1182.0</v>
      </c>
    </row>
    <row r="145">
      <c r="A145" s="2" t="s">
        <v>22</v>
      </c>
      <c r="B145" s="2" t="s">
        <v>53</v>
      </c>
      <c r="C145" s="149">
        <v>1956.0</v>
      </c>
    </row>
    <row r="146">
      <c r="A146" s="2" t="s">
        <v>22</v>
      </c>
      <c r="B146" s="2" t="s">
        <v>26</v>
      </c>
      <c r="C146" s="149">
        <v>1734.0</v>
      </c>
    </row>
    <row r="147">
      <c r="A147" s="2" t="s">
        <v>22</v>
      </c>
      <c r="B147" s="2" t="s">
        <v>28</v>
      </c>
      <c r="C147" s="149">
        <v>1084.0</v>
      </c>
    </row>
    <row r="148">
      <c r="A148" s="2" t="s">
        <v>22</v>
      </c>
      <c r="B148" s="2" t="s">
        <v>55</v>
      </c>
      <c r="C148" s="149">
        <v>726.0</v>
      </c>
    </row>
    <row r="149">
      <c r="A149" s="2" t="s">
        <v>22</v>
      </c>
      <c r="B149" s="2" t="s">
        <v>48</v>
      </c>
      <c r="C149" s="149">
        <v>1276.0</v>
      </c>
    </row>
    <row r="150">
      <c r="A150" s="2" t="s">
        <v>22</v>
      </c>
      <c r="B150" s="2" t="s">
        <v>2035</v>
      </c>
      <c r="C150" s="149">
        <v>956.0</v>
      </c>
    </row>
    <row r="151">
      <c r="A151" s="2" t="s">
        <v>22</v>
      </c>
      <c r="B151" s="2" t="s">
        <v>59</v>
      </c>
      <c r="C151" s="149">
        <v>1678.0</v>
      </c>
    </row>
    <row r="152">
      <c r="A152" s="2" t="s">
        <v>22</v>
      </c>
      <c r="B152" s="2" t="s">
        <v>44</v>
      </c>
      <c r="C152" s="149">
        <v>1182.0</v>
      </c>
    </row>
    <row r="153">
      <c r="A153" s="2" t="s">
        <v>22</v>
      </c>
      <c r="B153" s="2" t="s">
        <v>2036</v>
      </c>
      <c r="C153" s="149">
        <v>826.0</v>
      </c>
    </row>
    <row r="154">
      <c r="A154" s="2" t="s">
        <v>22</v>
      </c>
      <c r="B154" s="2" t="s">
        <v>2037</v>
      </c>
      <c r="C154" s="149">
        <v>962.0</v>
      </c>
    </row>
    <row r="155">
      <c r="A155" s="2" t="s">
        <v>27</v>
      </c>
      <c r="B155" s="2" t="s">
        <v>18</v>
      </c>
      <c r="C155" s="149">
        <v>790.0</v>
      </c>
    </row>
    <row r="156">
      <c r="A156" s="2" t="s">
        <v>27</v>
      </c>
      <c r="B156" s="2" t="s">
        <v>49</v>
      </c>
      <c r="C156" s="149">
        <v>1786.0</v>
      </c>
    </row>
    <row r="157">
      <c r="A157" s="2" t="s">
        <v>27</v>
      </c>
      <c r="B157" s="2" t="s">
        <v>22</v>
      </c>
      <c r="C157" s="149">
        <v>1170.0</v>
      </c>
    </row>
    <row r="158">
      <c r="A158" s="2" t="s">
        <v>27</v>
      </c>
      <c r="B158" s="2" t="s">
        <v>27</v>
      </c>
      <c r="C158" s="149">
        <v>0.0</v>
      </c>
    </row>
    <row r="159">
      <c r="A159" s="2" t="s">
        <v>27</v>
      </c>
      <c r="B159" s="2" t="s">
        <v>35</v>
      </c>
      <c r="C159" s="149">
        <v>1502.0</v>
      </c>
    </row>
    <row r="160">
      <c r="A160" s="2" t="s">
        <v>27</v>
      </c>
      <c r="B160" s="2" t="s">
        <v>41</v>
      </c>
      <c r="C160" s="149">
        <v>1378.0</v>
      </c>
    </row>
    <row r="161">
      <c r="A161" s="2" t="s">
        <v>27</v>
      </c>
      <c r="B161" s="2" t="s">
        <v>57</v>
      </c>
      <c r="C161" s="149">
        <v>592.0</v>
      </c>
    </row>
    <row r="162">
      <c r="A162" s="2" t="s">
        <v>27</v>
      </c>
      <c r="B162" s="2" t="s">
        <v>37</v>
      </c>
      <c r="C162" s="149">
        <v>258.0</v>
      </c>
    </row>
    <row r="163">
      <c r="A163" s="2" t="s">
        <v>27</v>
      </c>
      <c r="B163" s="2" t="s">
        <v>39</v>
      </c>
      <c r="C163" s="149">
        <v>324.0</v>
      </c>
    </row>
    <row r="164">
      <c r="A164" s="2" t="s">
        <v>27</v>
      </c>
      <c r="B164" s="2" t="s">
        <v>64</v>
      </c>
      <c r="C164" s="149">
        <v>1142.0</v>
      </c>
    </row>
    <row r="165">
      <c r="A165" s="2" t="s">
        <v>27</v>
      </c>
      <c r="B165" s="2" t="s">
        <v>65</v>
      </c>
      <c r="C165" s="149">
        <v>1022.0</v>
      </c>
    </row>
    <row r="166">
      <c r="A166" s="2" t="s">
        <v>27</v>
      </c>
      <c r="B166" s="2" t="s">
        <v>36</v>
      </c>
      <c r="C166" s="149">
        <v>1492.0</v>
      </c>
    </row>
    <row r="167">
      <c r="A167" s="2" t="s">
        <v>27</v>
      </c>
      <c r="B167" s="2" t="s">
        <v>31</v>
      </c>
      <c r="C167" s="149">
        <v>626.0</v>
      </c>
    </row>
    <row r="168">
      <c r="A168" s="2" t="s">
        <v>27</v>
      </c>
      <c r="B168" s="2" t="s">
        <v>43</v>
      </c>
      <c r="C168" s="149">
        <v>1204.0</v>
      </c>
    </row>
    <row r="169">
      <c r="A169" s="2" t="s">
        <v>27</v>
      </c>
      <c r="B169" s="2" t="s">
        <v>40</v>
      </c>
      <c r="C169" s="149">
        <v>500.0</v>
      </c>
    </row>
    <row r="170">
      <c r="A170" s="2" t="s">
        <v>27</v>
      </c>
      <c r="B170" s="2" t="s">
        <v>50</v>
      </c>
      <c r="C170" s="149">
        <v>2158.0</v>
      </c>
    </row>
    <row r="171">
      <c r="A171" s="2" t="s">
        <v>27</v>
      </c>
      <c r="B171" s="2" t="s">
        <v>51</v>
      </c>
      <c r="C171" s="149">
        <v>164.0</v>
      </c>
    </row>
    <row r="172">
      <c r="A172" s="2" t="s">
        <v>27</v>
      </c>
      <c r="B172" s="2" t="s">
        <v>23</v>
      </c>
      <c r="C172" s="149">
        <v>1474.0</v>
      </c>
    </row>
    <row r="173">
      <c r="A173" s="2" t="s">
        <v>27</v>
      </c>
      <c r="B173" s="2" t="s">
        <v>47</v>
      </c>
      <c r="C173" s="149">
        <v>754.0</v>
      </c>
    </row>
    <row r="174">
      <c r="A174" s="2" t="s">
        <v>27</v>
      </c>
      <c r="B174" s="2" t="s">
        <v>62</v>
      </c>
      <c r="C174" s="149">
        <v>744.0</v>
      </c>
    </row>
    <row r="175">
      <c r="A175" s="2" t="s">
        <v>27</v>
      </c>
      <c r="B175" s="2" t="s">
        <v>30</v>
      </c>
      <c r="C175" s="149">
        <v>658.0</v>
      </c>
    </row>
    <row r="176">
      <c r="A176" s="2" t="s">
        <v>27</v>
      </c>
      <c r="B176" s="2" t="s">
        <v>32</v>
      </c>
      <c r="C176" s="149">
        <v>532.0</v>
      </c>
    </row>
    <row r="177">
      <c r="A177" s="2" t="s">
        <v>27</v>
      </c>
      <c r="B177" s="2" t="s">
        <v>46</v>
      </c>
      <c r="C177" s="149">
        <v>922.0</v>
      </c>
    </row>
    <row r="178">
      <c r="A178" s="2" t="s">
        <v>27</v>
      </c>
      <c r="B178" s="2" t="s">
        <v>54</v>
      </c>
      <c r="C178" s="149">
        <v>1680.0</v>
      </c>
    </row>
    <row r="179">
      <c r="A179" s="2" t="s">
        <v>27</v>
      </c>
      <c r="B179" s="2" t="s">
        <v>34</v>
      </c>
      <c r="C179" s="149">
        <v>880.0</v>
      </c>
    </row>
    <row r="180">
      <c r="A180" s="2" t="s">
        <v>27</v>
      </c>
      <c r="B180" s="2" t="s">
        <v>20</v>
      </c>
      <c r="C180" s="149">
        <v>1312.0</v>
      </c>
    </row>
    <row r="181">
      <c r="A181" s="2" t="s">
        <v>27</v>
      </c>
      <c r="B181" s="2" t="s">
        <v>24</v>
      </c>
      <c r="C181" s="149">
        <v>332.0</v>
      </c>
    </row>
    <row r="182">
      <c r="A182" s="2" t="s">
        <v>27</v>
      </c>
      <c r="B182" s="2" t="s">
        <v>63</v>
      </c>
      <c r="C182" s="149">
        <v>444.0</v>
      </c>
    </row>
    <row r="183">
      <c r="A183" s="2" t="s">
        <v>27</v>
      </c>
      <c r="B183" s="2" t="s">
        <v>58</v>
      </c>
      <c r="C183" s="149">
        <v>630.0</v>
      </c>
    </row>
    <row r="184">
      <c r="A184" s="2" t="s">
        <v>27</v>
      </c>
      <c r="B184" s="2" t="s">
        <v>42</v>
      </c>
      <c r="C184" s="149">
        <v>1214.0</v>
      </c>
    </row>
    <row r="185">
      <c r="A185" s="2" t="s">
        <v>27</v>
      </c>
      <c r="B185" s="2" t="s">
        <v>21</v>
      </c>
      <c r="C185" s="149">
        <v>1436.0</v>
      </c>
    </row>
    <row r="186">
      <c r="A186" s="2" t="s">
        <v>27</v>
      </c>
      <c r="B186" s="2" t="s">
        <v>33</v>
      </c>
      <c r="C186" s="149">
        <v>772.0</v>
      </c>
    </row>
    <row r="187">
      <c r="A187" s="2" t="s">
        <v>27</v>
      </c>
      <c r="B187" s="2" t="s">
        <v>66</v>
      </c>
      <c r="C187" s="149">
        <v>1532.0</v>
      </c>
    </row>
    <row r="188">
      <c r="A188" s="2" t="s">
        <v>27</v>
      </c>
      <c r="B188" s="2" t="s">
        <v>29</v>
      </c>
      <c r="C188" s="149">
        <v>1036.0</v>
      </c>
    </row>
    <row r="189">
      <c r="A189" s="2" t="s">
        <v>27</v>
      </c>
      <c r="B189" s="2" t="s">
        <v>60</v>
      </c>
      <c r="C189" s="149">
        <v>942.0</v>
      </c>
    </row>
    <row r="190">
      <c r="A190" s="2" t="s">
        <v>27</v>
      </c>
      <c r="B190" s="2" t="s">
        <v>38</v>
      </c>
      <c r="C190" s="149">
        <v>476.0</v>
      </c>
    </row>
    <row r="191">
      <c r="A191" s="2" t="s">
        <v>27</v>
      </c>
      <c r="B191" s="2" t="s">
        <v>61</v>
      </c>
      <c r="C191" s="149">
        <v>686.0</v>
      </c>
    </row>
    <row r="192">
      <c r="A192" s="2" t="s">
        <v>27</v>
      </c>
      <c r="B192" s="2" t="s">
        <v>52</v>
      </c>
      <c r="C192" s="149">
        <v>336.0</v>
      </c>
    </row>
    <row r="193">
      <c r="A193" s="2" t="s">
        <v>27</v>
      </c>
      <c r="B193" s="2" t="s">
        <v>25</v>
      </c>
      <c r="C193" s="149">
        <v>466.0</v>
      </c>
    </row>
    <row r="194">
      <c r="A194" s="2" t="s">
        <v>27</v>
      </c>
      <c r="B194" s="2" t="s">
        <v>67</v>
      </c>
      <c r="C194" s="149">
        <v>566.0</v>
      </c>
    </row>
    <row r="195">
      <c r="A195" s="2" t="s">
        <v>27</v>
      </c>
      <c r="B195" s="2" t="s">
        <v>45</v>
      </c>
      <c r="C195" s="149">
        <v>922.0</v>
      </c>
    </row>
    <row r="196">
      <c r="A196" s="2" t="s">
        <v>27</v>
      </c>
      <c r="B196" s="2" t="s">
        <v>53</v>
      </c>
      <c r="C196" s="149">
        <v>814.0</v>
      </c>
    </row>
    <row r="197">
      <c r="A197" s="2" t="s">
        <v>27</v>
      </c>
      <c r="B197" s="2" t="s">
        <v>26</v>
      </c>
      <c r="C197" s="149">
        <v>592.0</v>
      </c>
    </row>
    <row r="198">
      <c r="A198" s="2" t="s">
        <v>27</v>
      </c>
      <c r="B198" s="2" t="s">
        <v>28</v>
      </c>
      <c r="C198" s="149">
        <v>106.0</v>
      </c>
    </row>
    <row r="199">
      <c r="A199" s="2" t="s">
        <v>27</v>
      </c>
      <c r="B199" s="2" t="s">
        <v>55</v>
      </c>
      <c r="C199" s="149">
        <v>2094.0</v>
      </c>
    </row>
    <row r="200">
      <c r="A200" s="2" t="s">
        <v>27</v>
      </c>
      <c r="B200" s="2" t="s">
        <v>48</v>
      </c>
      <c r="C200" s="149">
        <v>674.0</v>
      </c>
    </row>
    <row r="201">
      <c r="A201" s="2" t="s">
        <v>27</v>
      </c>
      <c r="B201" s="2" t="s">
        <v>2035</v>
      </c>
      <c r="C201" s="149">
        <v>2324.0</v>
      </c>
    </row>
    <row r="202">
      <c r="A202" s="2" t="s">
        <v>27</v>
      </c>
      <c r="B202" s="2" t="s">
        <v>59</v>
      </c>
      <c r="C202" s="149">
        <v>536.0</v>
      </c>
    </row>
    <row r="203">
      <c r="A203" s="2" t="s">
        <v>27</v>
      </c>
      <c r="B203" s="2" t="s">
        <v>44</v>
      </c>
      <c r="C203" s="149">
        <v>922.0</v>
      </c>
    </row>
    <row r="204">
      <c r="A204" s="2" t="s">
        <v>27</v>
      </c>
      <c r="B204" s="2" t="s">
        <v>2036</v>
      </c>
      <c r="C204" s="149">
        <v>2300.0</v>
      </c>
    </row>
    <row r="205">
      <c r="A205" s="2" t="s">
        <v>27</v>
      </c>
      <c r="B205" s="2" t="s">
        <v>2037</v>
      </c>
      <c r="C205" s="149">
        <v>2242.0</v>
      </c>
    </row>
    <row r="206">
      <c r="A206" s="2" t="s">
        <v>35</v>
      </c>
      <c r="B206" s="2" t="s">
        <v>18</v>
      </c>
      <c r="C206" s="149">
        <v>874.0</v>
      </c>
    </row>
    <row r="207">
      <c r="A207" s="2" t="s">
        <v>35</v>
      </c>
      <c r="B207" s="2" t="s">
        <v>49</v>
      </c>
      <c r="C207" s="149">
        <v>2514.0</v>
      </c>
    </row>
    <row r="208">
      <c r="A208" s="2" t="s">
        <v>35</v>
      </c>
      <c r="B208" s="2" t="s">
        <v>22</v>
      </c>
      <c r="C208" s="149">
        <v>1762.0</v>
      </c>
    </row>
    <row r="209">
      <c r="A209" s="2" t="s">
        <v>35</v>
      </c>
      <c r="B209" s="2" t="s">
        <v>27</v>
      </c>
      <c r="C209" s="149">
        <v>1502.0</v>
      </c>
    </row>
    <row r="210">
      <c r="A210" s="2" t="s">
        <v>35</v>
      </c>
      <c r="B210" s="2" t="s">
        <v>35</v>
      </c>
      <c r="C210" s="149">
        <v>0.0</v>
      </c>
    </row>
    <row r="211">
      <c r="A211" s="2" t="s">
        <v>35</v>
      </c>
      <c r="B211" s="2" t="s">
        <v>41</v>
      </c>
      <c r="C211" s="149">
        <v>208.0</v>
      </c>
    </row>
    <row r="212">
      <c r="A212" s="2" t="s">
        <v>35</v>
      </c>
      <c r="B212" s="2" t="s">
        <v>57</v>
      </c>
      <c r="C212" s="149">
        <v>1984.0</v>
      </c>
    </row>
    <row r="213">
      <c r="A213" s="2" t="s">
        <v>35</v>
      </c>
      <c r="B213" s="2" t="s">
        <v>37</v>
      </c>
      <c r="C213" s="149">
        <v>1428.0</v>
      </c>
    </row>
    <row r="214">
      <c r="A214" s="2" t="s">
        <v>35</v>
      </c>
      <c r="B214" s="2" t="s">
        <v>39</v>
      </c>
      <c r="C214" s="149">
        <v>1398.0</v>
      </c>
    </row>
    <row r="215">
      <c r="A215" s="2" t="s">
        <v>35</v>
      </c>
      <c r="B215" s="2" t="s">
        <v>64</v>
      </c>
      <c r="C215" s="149">
        <v>428.0</v>
      </c>
    </row>
    <row r="216">
      <c r="A216" s="2" t="s">
        <v>35</v>
      </c>
      <c r="B216" s="2" t="s">
        <v>65</v>
      </c>
      <c r="C216" s="149">
        <v>542.0</v>
      </c>
    </row>
    <row r="217">
      <c r="A217" s="2" t="s">
        <v>35</v>
      </c>
      <c r="B217" s="2" t="s">
        <v>36</v>
      </c>
      <c r="C217" s="149">
        <v>14.0</v>
      </c>
    </row>
    <row r="218">
      <c r="A218" s="2" t="s">
        <v>35</v>
      </c>
      <c r="B218" s="2" t="s">
        <v>31</v>
      </c>
      <c r="C218" s="149">
        <v>1820.0</v>
      </c>
    </row>
    <row r="219">
      <c r="A219" s="2" t="s">
        <v>35</v>
      </c>
      <c r="B219" s="2" t="s">
        <v>43</v>
      </c>
      <c r="C219" s="149">
        <v>514.0</v>
      </c>
    </row>
    <row r="220">
      <c r="A220" s="2" t="s">
        <v>35</v>
      </c>
      <c r="B220" s="2" t="s">
        <v>40</v>
      </c>
      <c r="C220" s="149">
        <v>1208.0</v>
      </c>
    </row>
    <row r="221">
      <c r="A221" s="2" t="s">
        <v>35</v>
      </c>
      <c r="B221" s="2" t="s">
        <v>50</v>
      </c>
      <c r="C221" s="149">
        <v>2582.0</v>
      </c>
    </row>
    <row r="222">
      <c r="A222" s="2" t="s">
        <v>35</v>
      </c>
      <c r="B222" s="2" t="s">
        <v>51</v>
      </c>
      <c r="C222" s="149">
        <v>1558.0</v>
      </c>
    </row>
    <row r="223">
      <c r="A223" s="2" t="s">
        <v>35</v>
      </c>
      <c r="B223" s="2" t="s">
        <v>23</v>
      </c>
      <c r="C223" s="149">
        <v>1898.0</v>
      </c>
    </row>
    <row r="224">
      <c r="A224" s="2" t="s">
        <v>35</v>
      </c>
      <c r="B224" s="2" t="s">
        <v>47</v>
      </c>
      <c r="C224" s="149">
        <v>824.0</v>
      </c>
    </row>
    <row r="225">
      <c r="A225" s="2" t="s">
        <v>35</v>
      </c>
      <c r="B225" s="2" t="s">
        <v>62</v>
      </c>
      <c r="C225" s="149">
        <v>838.0</v>
      </c>
    </row>
    <row r="226">
      <c r="A226" s="2" t="s">
        <v>35</v>
      </c>
      <c r="B226" s="2" t="s">
        <v>30</v>
      </c>
      <c r="C226" s="149">
        <v>1496.0</v>
      </c>
    </row>
    <row r="227">
      <c r="A227" s="2" t="s">
        <v>35</v>
      </c>
      <c r="B227" s="2" t="s">
        <v>32</v>
      </c>
      <c r="C227" s="149">
        <v>1580.0</v>
      </c>
    </row>
    <row r="228">
      <c r="A228" s="2" t="s">
        <v>35</v>
      </c>
      <c r="B228" s="2" t="s">
        <v>46</v>
      </c>
      <c r="C228" s="149">
        <v>602.0</v>
      </c>
    </row>
    <row r="229">
      <c r="A229" s="2" t="s">
        <v>35</v>
      </c>
      <c r="B229" s="2" t="s">
        <v>54</v>
      </c>
      <c r="C229" s="149">
        <v>2104.0</v>
      </c>
    </row>
    <row r="230">
      <c r="A230" s="2" t="s">
        <v>35</v>
      </c>
      <c r="B230" s="2" t="s">
        <v>34</v>
      </c>
      <c r="C230" s="149">
        <v>1100.0</v>
      </c>
    </row>
    <row r="231">
      <c r="A231" s="2" t="s">
        <v>35</v>
      </c>
      <c r="B231" s="2" t="s">
        <v>20</v>
      </c>
      <c r="C231" s="149">
        <v>1892.0</v>
      </c>
    </row>
    <row r="232">
      <c r="A232" s="2" t="s">
        <v>35</v>
      </c>
      <c r="B232" s="2" t="s">
        <v>24</v>
      </c>
      <c r="C232" s="149">
        <v>1724.0</v>
      </c>
    </row>
    <row r="233">
      <c r="A233" s="2" t="s">
        <v>35</v>
      </c>
      <c r="B233" s="2" t="s">
        <v>63</v>
      </c>
      <c r="C233" s="149">
        <v>1144.0</v>
      </c>
    </row>
    <row r="234">
      <c r="A234" s="2" t="s">
        <v>35</v>
      </c>
      <c r="B234" s="2" t="s">
        <v>58</v>
      </c>
      <c r="C234" s="149">
        <v>2024.0</v>
      </c>
    </row>
    <row r="235">
      <c r="A235" s="2" t="s">
        <v>35</v>
      </c>
      <c r="B235" s="2" t="s">
        <v>42</v>
      </c>
      <c r="C235" s="149">
        <v>358.0</v>
      </c>
    </row>
    <row r="236">
      <c r="A236" s="2" t="s">
        <v>35</v>
      </c>
      <c r="B236" s="2" t="s">
        <v>21</v>
      </c>
      <c r="C236" s="149">
        <v>1872.0</v>
      </c>
    </row>
    <row r="237">
      <c r="A237" s="2" t="s">
        <v>35</v>
      </c>
      <c r="B237" s="2" t="s">
        <v>33</v>
      </c>
      <c r="C237" s="149">
        <v>1604.0</v>
      </c>
    </row>
    <row r="238">
      <c r="A238" s="2" t="s">
        <v>35</v>
      </c>
      <c r="B238" s="2" t="s">
        <v>66</v>
      </c>
      <c r="C238" s="149">
        <v>562.0</v>
      </c>
    </row>
    <row r="239">
      <c r="A239" s="2" t="s">
        <v>35</v>
      </c>
      <c r="B239" s="2" t="s">
        <v>29</v>
      </c>
      <c r="C239" s="149">
        <v>2254.0</v>
      </c>
    </row>
    <row r="240">
      <c r="A240" s="2" t="s">
        <v>35</v>
      </c>
      <c r="B240" s="2" t="s">
        <v>60</v>
      </c>
      <c r="C240" s="149">
        <v>1242.0</v>
      </c>
    </row>
    <row r="241">
      <c r="A241" s="2" t="s">
        <v>35</v>
      </c>
      <c r="B241" s="2" t="s">
        <v>38</v>
      </c>
      <c r="C241" s="149">
        <v>1692.0</v>
      </c>
    </row>
    <row r="242">
      <c r="A242" s="2" t="s">
        <v>35</v>
      </c>
      <c r="B242" s="2" t="s">
        <v>61</v>
      </c>
      <c r="C242" s="149">
        <v>904.0</v>
      </c>
    </row>
    <row r="243">
      <c r="A243" s="2" t="s">
        <v>35</v>
      </c>
      <c r="B243" s="2" t="s">
        <v>52</v>
      </c>
      <c r="C243" s="149">
        <v>1730.0</v>
      </c>
    </row>
    <row r="244">
      <c r="A244" s="2" t="s">
        <v>35</v>
      </c>
      <c r="B244" s="2" t="s">
        <v>25</v>
      </c>
      <c r="C244" s="149">
        <v>1858.0</v>
      </c>
    </row>
    <row r="245">
      <c r="A245" s="2" t="s">
        <v>35</v>
      </c>
      <c r="B245" s="2" t="s">
        <v>67</v>
      </c>
      <c r="C245" s="149">
        <v>1952.0</v>
      </c>
    </row>
    <row r="246">
      <c r="A246" s="2" t="s">
        <v>35</v>
      </c>
      <c r="B246" s="2" t="s">
        <v>45</v>
      </c>
      <c r="C246" s="149">
        <v>602.0</v>
      </c>
    </row>
    <row r="247">
      <c r="A247" s="2" t="s">
        <v>35</v>
      </c>
      <c r="B247" s="2" t="s">
        <v>53</v>
      </c>
      <c r="C247" s="149">
        <v>2088.0</v>
      </c>
    </row>
    <row r="248">
      <c r="A248" s="2" t="s">
        <v>35</v>
      </c>
      <c r="B248" s="2" t="s">
        <v>26</v>
      </c>
      <c r="C248" s="149">
        <v>1986.0</v>
      </c>
    </row>
    <row r="249">
      <c r="A249" s="2" t="s">
        <v>35</v>
      </c>
      <c r="B249" s="2" t="s">
        <v>28</v>
      </c>
      <c r="C249" s="149">
        <v>1532.0</v>
      </c>
    </row>
    <row r="250">
      <c r="A250" s="2" t="s">
        <v>35</v>
      </c>
      <c r="B250" s="2" t="s">
        <v>55</v>
      </c>
      <c r="C250" s="149">
        <v>2516.0</v>
      </c>
    </row>
    <row r="251">
      <c r="A251" s="2" t="s">
        <v>35</v>
      </c>
      <c r="B251" s="2" t="s">
        <v>48</v>
      </c>
      <c r="C251" s="149">
        <v>902.0</v>
      </c>
    </row>
    <row r="252">
      <c r="A252" s="2" t="s">
        <v>35</v>
      </c>
      <c r="B252" s="2" t="s">
        <v>2035</v>
      </c>
      <c r="C252" s="149">
        <v>2748.0</v>
      </c>
    </row>
    <row r="253">
      <c r="A253" s="2" t="s">
        <v>35</v>
      </c>
      <c r="B253" s="2" t="s">
        <v>59</v>
      </c>
      <c r="C253" s="149">
        <v>1928.0</v>
      </c>
    </row>
    <row r="254">
      <c r="A254" s="2" t="s">
        <v>35</v>
      </c>
      <c r="B254" s="2" t="s">
        <v>44</v>
      </c>
      <c r="C254" s="149">
        <v>774.0</v>
      </c>
    </row>
    <row r="255">
      <c r="A255" s="2" t="s">
        <v>35</v>
      </c>
      <c r="B255" s="2" t="s">
        <v>2036</v>
      </c>
      <c r="C255" s="149">
        <v>2660.0</v>
      </c>
    </row>
    <row r="256">
      <c r="A256" s="2" t="s">
        <v>35</v>
      </c>
      <c r="B256" s="2" t="s">
        <v>2037</v>
      </c>
      <c r="C256" s="149">
        <v>2728.0</v>
      </c>
    </row>
    <row r="257">
      <c r="A257" s="2" t="s">
        <v>41</v>
      </c>
      <c r="B257" s="2" t="s">
        <v>18</v>
      </c>
      <c r="C257" s="149">
        <v>734.0</v>
      </c>
    </row>
    <row r="258">
      <c r="A258" s="2" t="s">
        <v>41</v>
      </c>
      <c r="B258" s="2" t="s">
        <v>49</v>
      </c>
      <c r="C258" s="149">
        <v>2390.0</v>
      </c>
    </row>
    <row r="259">
      <c r="A259" s="2" t="s">
        <v>41</v>
      </c>
      <c r="B259" s="2" t="s">
        <v>22</v>
      </c>
      <c r="C259" s="149">
        <v>1638.0</v>
      </c>
    </row>
    <row r="260">
      <c r="A260" s="2" t="s">
        <v>41</v>
      </c>
      <c r="B260" s="2" t="s">
        <v>27</v>
      </c>
      <c r="C260" s="149">
        <v>1378.0</v>
      </c>
    </row>
    <row r="261">
      <c r="A261" s="2" t="s">
        <v>41</v>
      </c>
      <c r="B261" s="2" t="s">
        <v>35</v>
      </c>
      <c r="C261" s="149">
        <v>208.0</v>
      </c>
    </row>
    <row r="262">
      <c r="A262" s="2" t="s">
        <v>41</v>
      </c>
      <c r="B262" s="2" t="s">
        <v>41</v>
      </c>
      <c r="C262" s="149">
        <v>0.0</v>
      </c>
    </row>
    <row r="263">
      <c r="A263" s="2" t="s">
        <v>41</v>
      </c>
      <c r="B263" s="2" t="s">
        <v>57</v>
      </c>
      <c r="C263" s="149">
        <v>1852.0</v>
      </c>
    </row>
    <row r="264">
      <c r="A264" s="2" t="s">
        <v>41</v>
      </c>
      <c r="B264" s="2" t="s">
        <v>37</v>
      </c>
      <c r="C264" s="149">
        <v>1294.0</v>
      </c>
    </row>
    <row r="265">
      <c r="A265" s="2" t="s">
        <v>41</v>
      </c>
      <c r="B265" s="2" t="s">
        <v>39</v>
      </c>
      <c r="C265" s="149">
        <v>1266.0</v>
      </c>
    </row>
    <row r="266">
      <c r="A266" s="2" t="s">
        <v>41</v>
      </c>
      <c r="B266" s="2" t="s">
        <v>64</v>
      </c>
      <c r="C266" s="149">
        <v>276.0</v>
      </c>
    </row>
    <row r="267">
      <c r="A267" s="2" t="s">
        <v>41</v>
      </c>
      <c r="B267" s="2" t="s">
        <v>65</v>
      </c>
      <c r="C267" s="149">
        <v>408.0</v>
      </c>
    </row>
    <row r="268">
      <c r="A268" s="2" t="s">
        <v>41</v>
      </c>
      <c r="B268" s="2" t="s">
        <v>36</v>
      </c>
      <c r="C268" s="149">
        <v>196.0</v>
      </c>
    </row>
    <row r="269">
      <c r="A269" s="2" t="s">
        <v>41</v>
      </c>
      <c r="B269" s="2" t="s">
        <v>31</v>
      </c>
      <c r="C269" s="149">
        <v>1686.0</v>
      </c>
    </row>
    <row r="270">
      <c r="A270" s="2" t="s">
        <v>41</v>
      </c>
      <c r="B270" s="2" t="s">
        <v>43</v>
      </c>
      <c r="C270" s="149">
        <v>320.0</v>
      </c>
    </row>
    <row r="271">
      <c r="A271" s="2" t="s">
        <v>41</v>
      </c>
      <c r="B271" s="2" t="s">
        <v>40</v>
      </c>
      <c r="C271" s="149">
        <v>1076.0</v>
      </c>
    </row>
    <row r="272">
      <c r="A272" s="2" t="s">
        <v>41</v>
      </c>
      <c r="B272" s="2" t="s">
        <v>50</v>
      </c>
      <c r="C272" s="149">
        <v>2448.0</v>
      </c>
    </row>
    <row r="273">
      <c r="A273" s="2" t="s">
        <v>41</v>
      </c>
      <c r="B273" s="2" t="s">
        <v>51</v>
      </c>
      <c r="C273" s="149">
        <v>1424.0</v>
      </c>
    </row>
    <row r="274">
      <c r="A274" s="2" t="s">
        <v>41</v>
      </c>
      <c r="B274" s="2" t="s">
        <v>23</v>
      </c>
      <c r="C274" s="149">
        <v>1764.0</v>
      </c>
    </row>
    <row r="275">
      <c r="A275" s="2" t="s">
        <v>41</v>
      </c>
      <c r="B275" s="2" t="s">
        <v>47</v>
      </c>
      <c r="C275" s="149">
        <v>690.0</v>
      </c>
    </row>
    <row r="276">
      <c r="A276" s="2" t="s">
        <v>41</v>
      </c>
      <c r="B276" s="2" t="s">
        <v>62</v>
      </c>
      <c r="C276" s="149">
        <v>706.0</v>
      </c>
    </row>
    <row r="277">
      <c r="A277" s="2" t="s">
        <v>41</v>
      </c>
      <c r="B277" s="2" t="s">
        <v>30</v>
      </c>
      <c r="C277" s="149">
        <v>1364.0</v>
      </c>
    </row>
    <row r="278">
      <c r="A278" s="2" t="s">
        <v>41</v>
      </c>
      <c r="B278" s="2" t="s">
        <v>32</v>
      </c>
      <c r="C278" s="149">
        <v>1448.0</v>
      </c>
    </row>
    <row r="279">
      <c r="A279" s="2" t="s">
        <v>41</v>
      </c>
      <c r="B279" s="2" t="s">
        <v>46</v>
      </c>
      <c r="C279" s="149">
        <v>468.0</v>
      </c>
    </row>
    <row r="280">
      <c r="A280" s="2" t="s">
        <v>41</v>
      </c>
      <c r="B280" s="2" t="s">
        <v>54</v>
      </c>
      <c r="C280" s="149">
        <v>1970.0</v>
      </c>
    </row>
    <row r="281">
      <c r="A281" s="2" t="s">
        <v>41</v>
      </c>
      <c r="B281" s="2" t="s">
        <v>34</v>
      </c>
      <c r="C281" s="149">
        <v>966.0</v>
      </c>
    </row>
    <row r="282">
      <c r="A282" s="2" t="s">
        <v>41</v>
      </c>
      <c r="B282" s="2" t="s">
        <v>20</v>
      </c>
      <c r="C282" s="149">
        <v>1758.0</v>
      </c>
    </row>
    <row r="283">
      <c r="A283" s="2" t="s">
        <v>41</v>
      </c>
      <c r="B283" s="2" t="s">
        <v>24</v>
      </c>
      <c r="C283" s="149">
        <v>1592.0</v>
      </c>
    </row>
    <row r="284">
      <c r="A284" s="2" t="s">
        <v>41</v>
      </c>
      <c r="B284" s="2" t="s">
        <v>63</v>
      </c>
      <c r="C284" s="149">
        <v>1012.0</v>
      </c>
    </row>
    <row r="285">
      <c r="A285" s="2" t="s">
        <v>41</v>
      </c>
      <c r="B285" s="2" t="s">
        <v>58</v>
      </c>
      <c r="C285" s="149">
        <v>1890.0</v>
      </c>
    </row>
    <row r="286">
      <c r="A286" s="2" t="s">
        <v>41</v>
      </c>
      <c r="B286" s="2" t="s">
        <v>42</v>
      </c>
      <c r="C286" s="149">
        <v>200.0</v>
      </c>
    </row>
    <row r="287">
      <c r="A287" s="2" t="s">
        <v>41</v>
      </c>
      <c r="B287" s="2" t="s">
        <v>21</v>
      </c>
      <c r="C287" s="149">
        <v>1738.0</v>
      </c>
    </row>
    <row r="288">
      <c r="A288" s="2" t="s">
        <v>41</v>
      </c>
      <c r="B288" s="2" t="s">
        <v>33</v>
      </c>
      <c r="C288" s="149">
        <v>1472.0</v>
      </c>
    </row>
    <row r="289">
      <c r="A289" s="2" t="s">
        <v>41</v>
      </c>
      <c r="B289" s="2" t="s">
        <v>66</v>
      </c>
      <c r="C289" s="149">
        <v>356.0</v>
      </c>
    </row>
    <row r="290">
      <c r="A290" s="2" t="s">
        <v>41</v>
      </c>
      <c r="B290" s="2" t="s">
        <v>29</v>
      </c>
      <c r="C290" s="149">
        <v>2120.0</v>
      </c>
    </row>
    <row r="291">
      <c r="A291" s="2" t="s">
        <v>41</v>
      </c>
      <c r="B291" s="2" t="s">
        <v>60</v>
      </c>
      <c r="C291" s="149">
        <v>1108.0</v>
      </c>
    </row>
    <row r="292">
      <c r="A292" s="2" t="s">
        <v>41</v>
      </c>
      <c r="B292" s="2" t="s">
        <v>38</v>
      </c>
      <c r="C292" s="149">
        <v>1560.0</v>
      </c>
    </row>
    <row r="293">
      <c r="A293" s="2" t="s">
        <v>41</v>
      </c>
      <c r="B293" s="2" t="s">
        <v>61</v>
      </c>
      <c r="C293" s="149">
        <v>770.0</v>
      </c>
    </row>
    <row r="294">
      <c r="A294" s="2" t="s">
        <v>41</v>
      </c>
      <c r="B294" s="2" t="s">
        <v>52</v>
      </c>
      <c r="C294" s="149">
        <v>1596.0</v>
      </c>
    </row>
    <row r="295">
      <c r="A295" s="2" t="s">
        <v>41</v>
      </c>
      <c r="B295" s="2" t="s">
        <v>25</v>
      </c>
      <c r="C295" s="149">
        <v>1726.0</v>
      </c>
    </row>
    <row r="296">
      <c r="A296" s="2" t="s">
        <v>41</v>
      </c>
      <c r="B296" s="2" t="s">
        <v>67</v>
      </c>
      <c r="C296" s="149">
        <v>1820.0</v>
      </c>
    </row>
    <row r="297">
      <c r="A297" s="2" t="s">
        <v>41</v>
      </c>
      <c r="B297" s="2" t="s">
        <v>45</v>
      </c>
      <c r="C297" s="149">
        <v>468.0</v>
      </c>
    </row>
    <row r="298">
      <c r="A298" s="2" t="s">
        <v>41</v>
      </c>
      <c r="B298" s="2" t="s">
        <v>53</v>
      </c>
      <c r="C298" s="149">
        <v>1954.0</v>
      </c>
    </row>
    <row r="299">
      <c r="A299" s="2" t="s">
        <v>41</v>
      </c>
      <c r="B299" s="2" t="s">
        <v>26</v>
      </c>
      <c r="C299" s="149">
        <v>1852.0</v>
      </c>
    </row>
    <row r="300">
      <c r="A300" s="2" t="s">
        <v>41</v>
      </c>
      <c r="B300" s="2" t="s">
        <v>28</v>
      </c>
      <c r="C300" s="149">
        <v>1400.0</v>
      </c>
    </row>
    <row r="301">
      <c r="A301" s="2" t="s">
        <v>41</v>
      </c>
      <c r="B301" s="2" t="s">
        <v>55</v>
      </c>
      <c r="C301" s="149">
        <v>2384.0</v>
      </c>
    </row>
    <row r="302">
      <c r="A302" s="2" t="s">
        <v>41</v>
      </c>
      <c r="B302" s="2" t="s">
        <v>48</v>
      </c>
      <c r="C302" s="149">
        <v>770.0</v>
      </c>
    </row>
    <row r="303">
      <c r="A303" s="2" t="s">
        <v>41</v>
      </c>
      <c r="B303" s="2" t="s">
        <v>2035</v>
      </c>
      <c r="C303" s="149">
        <v>2614.0</v>
      </c>
    </row>
    <row r="304">
      <c r="A304" s="2" t="s">
        <v>41</v>
      </c>
      <c r="B304" s="2" t="s">
        <v>59</v>
      </c>
      <c r="C304" s="149">
        <v>1794.0</v>
      </c>
    </row>
    <row r="305">
      <c r="A305" s="2" t="s">
        <v>41</v>
      </c>
      <c r="B305" s="2" t="s">
        <v>44</v>
      </c>
      <c r="C305" s="149">
        <v>590.0</v>
      </c>
    </row>
    <row r="306">
      <c r="A306" s="2" t="s">
        <v>41</v>
      </c>
      <c r="B306" s="2" t="s">
        <v>2036</v>
      </c>
      <c r="C306" s="149">
        <v>2522.0</v>
      </c>
    </row>
    <row r="307">
      <c r="A307" s="2" t="s">
        <v>41</v>
      </c>
      <c r="B307" s="2" t="s">
        <v>2037</v>
      </c>
      <c r="C307" s="149">
        <v>2590.0</v>
      </c>
    </row>
    <row r="308">
      <c r="A308" s="2" t="s">
        <v>57</v>
      </c>
      <c r="B308" s="2" t="s">
        <v>18</v>
      </c>
      <c r="C308" s="149">
        <v>1234.0</v>
      </c>
    </row>
    <row r="309">
      <c r="A309" s="2" t="s">
        <v>57</v>
      </c>
      <c r="B309" s="2" t="s">
        <v>49</v>
      </c>
      <c r="C309" s="149">
        <v>2350.0</v>
      </c>
    </row>
    <row r="310">
      <c r="A310" s="2" t="s">
        <v>57</v>
      </c>
      <c r="B310" s="2" t="s">
        <v>22</v>
      </c>
      <c r="C310" s="149">
        <v>1734.0</v>
      </c>
    </row>
    <row r="311">
      <c r="A311" s="2" t="s">
        <v>57</v>
      </c>
      <c r="B311" s="2" t="s">
        <v>27</v>
      </c>
      <c r="C311" s="149">
        <v>592.0</v>
      </c>
    </row>
    <row r="312">
      <c r="A312" s="2" t="s">
        <v>57</v>
      </c>
      <c r="B312" s="2" t="s">
        <v>35</v>
      </c>
      <c r="C312" s="149">
        <v>1984.0</v>
      </c>
    </row>
    <row r="313">
      <c r="A313" s="2" t="s">
        <v>57</v>
      </c>
      <c r="B313" s="2" t="s">
        <v>41</v>
      </c>
      <c r="C313" s="149">
        <v>1852.0</v>
      </c>
    </row>
    <row r="314">
      <c r="A314" s="2" t="s">
        <v>57</v>
      </c>
      <c r="B314" s="2" t="s">
        <v>57</v>
      </c>
      <c r="C314" s="149">
        <v>0.0</v>
      </c>
    </row>
    <row r="315">
      <c r="A315" s="2" t="s">
        <v>57</v>
      </c>
      <c r="B315" s="2" t="s">
        <v>37</v>
      </c>
      <c r="C315" s="149">
        <v>816.0</v>
      </c>
    </row>
    <row r="316">
      <c r="A316" s="2" t="s">
        <v>57</v>
      </c>
      <c r="B316" s="2" t="s">
        <v>39</v>
      </c>
      <c r="C316" s="149">
        <v>884.0</v>
      </c>
    </row>
    <row r="317">
      <c r="A317" s="2" t="s">
        <v>57</v>
      </c>
      <c r="B317" s="2" t="s">
        <v>64</v>
      </c>
      <c r="C317" s="149">
        <v>1586.0</v>
      </c>
    </row>
    <row r="318">
      <c r="A318" s="2" t="s">
        <v>57</v>
      </c>
      <c r="B318" s="2" t="s">
        <v>65</v>
      </c>
      <c r="C318" s="149">
        <v>1466.0</v>
      </c>
    </row>
    <row r="319">
      <c r="A319" s="2" t="s">
        <v>57</v>
      </c>
      <c r="B319" s="2" t="s">
        <v>36</v>
      </c>
      <c r="C319" s="149">
        <v>1934.0</v>
      </c>
    </row>
    <row r="320">
      <c r="A320" s="2" t="s">
        <v>57</v>
      </c>
      <c r="B320" s="2" t="s">
        <v>31</v>
      </c>
      <c r="C320" s="149">
        <v>280.0</v>
      </c>
    </row>
    <row r="321">
      <c r="A321" s="2" t="s">
        <v>57</v>
      </c>
      <c r="B321" s="2" t="s">
        <v>43</v>
      </c>
      <c r="C321" s="149">
        <v>1648.0</v>
      </c>
    </row>
    <row r="322">
      <c r="A322" s="2" t="s">
        <v>57</v>
      </c>
      <c r="B322" s="2" t="s">
        <v>40</v>
      </c>
      <c r="C322" s="149">
        <v>1010.0</v>
      </c>
    </row>
    <row r="323">
      <c r="A323" s="2" t="s">
        <v>57</v>
      </c>
      <c r="B323" s="2" t="s">
        <v>50</v>
      </c>
      <c r="C323" s="149">
        <v>2718.0</v>
      </c>
    </row>
    <row r="324">
      <c r="A324" s="2" t="s">
        <v>57</v>
      </c>
      <c r="B324" s="2" t="s">
        <v>51</v>
      </c>
      <c r="C324" s="149">
        <v>428.0</v>
      </c>
    </row>
    <row r="325">
      <c r="A325" s="2" t="s">
        <v>57</v>
      </c>
      <c r="B325" s="2" t="s">
        <v>23</v>
      </c>
      <c r="C325" s="149">
        <v>2034.0</v>
      </c>
    </row>
    <row r="326">
      <c r="A326" s="2" t="s">
        <v>57</v>
      </c>
      <c r="B326" s="2" t="s">
        <v>47</v>
      </c>
      <c r="C326" s="149">
        <v>1184.0</v>
      </c>
    </row>
    <row r="327">
      <c r="A327" s="2" t="s">
        <v>57</v>
      </c>
      <c r="B327" s="2" t="s">
        <v>62</v>
      </c>
      <c r="C327" s="149">
        <v>1188.0</v>
      </c>
    </row>
    <row r="328">
      <c r="A328" s="2" t="s">
        <v>57</v>
      </c>
      <c r="B328" s="2" t="s">
        <v>30</v>
      </c>
      <c r="C328" s="149">
        <v>570.0</v>
      </c>
    </row>
    <row r="329">
      <c r="A329" s="2" t="s">
        <v>57</v>
      </c>
      <c r="B329" s="2" t="s">
        <v>32</v>
      </c>
      <c r="C329" s="149">
        <v>430.0</v>
      </c>
    </row>
    <row r="330">
      <c r="A330" s="2" t="s">
        <v>57</v>
      </c>
      <c r="B330" s="2" t="s">
        <v>46</v>
      </c>
      <c r="C330" s="149">
        <v>1366.0</v>
      </c>
    </row>
    <row r="331">
      <c r="A331" s="2" t="s">
        <v>57</v>
      </c>
      <c r="B331" s="2" t="s">
        <v>54</v>
      </c>
      <c r="C331" s="149">
        <v>2238.0</v>
      </c>
    </row>
    <row r="332">
      <c r="A332" s="2" t="s">
        <v>57</v>
      </c>
      <c r="B332" s="2" t="s">
        <v>34</v>
      </c>
      <c r="C332" s="149">
        <v>1324.0</v>
      </c>
    </row>
    <row r="333">
      <c r="A333" s="2" t="s">
        <v>57</v>
      </c>
      <c r="B333" s="2" t="s">
        <v>20</v>
      </c>
      <c r="C333" s="149">
        <v>1870.0</v>
      </c>
    </row>
    <row r="334">
      <c r="A334" s="2" t="s">
        <v>57</v>
      </c>
      <c r="B334" s="2" t="s">
        <v>24</v>
      </c>
      <c r="C334" s="149">
        <v>260.0</v>
      </c>
    </row>
    <row r="335">
      <c r="A335" s="2" t="s">
        <v>57</v>
      </c>
      <c r="B335" s="2" t="s">
        <v>63</v>
      </c>
      <c r="C335" s="149">
        <v>860.0</v>
      </c>
    </row>
    <row r="336">
      <c r="A336" s="2" t="s">
        <v>57</v>
      </c>
      <c r="B336" s="2" t="s">
        <v>58</v>
      </c>
      <c r="C336" s="149">
        <v>60.0</v>
      </c>
    </row>
    <row r="337">
      <c r="A337" s="2" t="s">
        <v>57</v>
      </c>
      <c r="B337" s="2" t="s">
        <v>42</v>
      </c>
      <c r="C337" s="149">
        <v>1658.0</v>
      </c>
    </row>
    <row r="338">
      <c r="A338" s="2" t="s">
        <v>57</v>
      </c>
      <c r="B338" s="2" t="s">
        <v>21</v>
      </c>
      <c r="C338" s="149">
        <v>1996.0</v>
      </c>
    </row>
    <row r="339">
      <c r="A339" s="2" t="s">
        <v>57</v>
      </c>
      <c r="B339" s="2" t="s">
        <v>33</v>
      </c>
      <c r="C339" s="149">
        <v>1330.0</v>
      </c>
    </row>
    <row r="340">
      <c r="A340" s="2" t="s">
        <v>57</v>
      </c>
      <c r="B340" s="2" t="s">
        <v>66</v>
      </c>
      <c r="C340" s="149">
        <v>1976.0</v>
      </c>
    </row>
    <row r="341">
      <c r="A341" s="2" t="s">
        <v>57</v>
      </c>
      <c r="B341" s="2" t="s">
        <v>29</v>
      </c>
      <c r="C341" s="149">
        <v>1596.0</v>
      </c>
    </row>
    <row r="342">
      <c r="A342" s="2" t="s">
        <v>57</v>
      </c>
      <c r="B342" s="2" t="s">
        <v>60</v>
      </c>
      <c r="C342" s="149">
        <v>1452.0</v>
      </c>
    </row>
    <row r="343">
      <c r="A343" s="2" t="s">
        <v>57</v>
      </c>
      <c r="B343" s="2" t="s">
        <v>38</v>
      </c>
      <c r="C343" s="149">
        <v>1034.0</v>
      </c>
    </row>
    <row r="344">
      <c r="A344" s="2" t="s">
        <v>57</v>
      </c>
      <c r="B344" s="2" t="s">
        <v>61</v>
      </c>
      <c r="C344" s="149">
        <v>1130.0</v>
      </c>
    </row>
    <row r="345">
      <c r="A345" s="2" t="s">
        <v>57</v>
      </c>
      <c r="B345" s="2" t="s">
        <v>52</v>
      </c>
      <c r="C345" s="149">
        <v>386.0</v>
      </c>
    </row>
    <row r="346">
      <c r="A346" s="2" t="s">
        <v>57</v>
      </c>
      <c r="B346" s="2" t="s">
        <v>25</v>
      </c>
      <c r="C346" s="149">
        <v>158.0</v>
      </c>
    </row>
    <row r="347">
      <c r="A347" s="2" t="s">
        <v>57</v>
      </c>
      <c r="B347" s="2" t="s">
        <v>67</v>
      </c>
      <c r="C347" s="149">
        <v>662.0</v>
      </c>
    </row>
    <row r="348">
      <c r="A348" s="2" t="s">
        <v>57</v>
      </c>
      <c r="B348" s="2" t="s">
        <v>45</v>
      </c>
      <c r="C348" s="149">
        <v>1366.0</v>
      </c>
    </row>
    <row r="349">
      <c r="A349" s="2" t="s">
        <v>57</v>
      </c>
      <c r="B349" s="2" t="s">
        <v>53</v>
      </c>
      <c r="C349" s="149">
        <v>434.0</v>
      </c>
    </row>
    <row r="350">
      <c r="A350" s="2" t="s">
        <v>57</v>
      </c>
      <c r="B350" s="2" t="s">
        <v>26</v>
      </c>
      <c r="C350" s="149">
        <v>154.0</v>
      </c>
    </row>
    <row r="351">
      <c r="A351" s="2" t="s">
        <v>57</v>
      </c>
      <c r="B351" s="2" t="s">
        <v>28</v>
      </c>
      <c r="C351" s="149">
        <v>674.0</v>
      </c>
    </row>
    <row r="352">
      <c r="A352" s="2" t="s">
        <v>57</v>
      </c>
      <c r="B352" s="2" t="s">
        <v>55</v>
      </c>
      <c r="C352" s="149">
        <v>2652.0</v>
      </c>
    </row>
    <row r="353">
      <c r="A353" s="2" t="s">
        <v>57</v>
      </c>
      <c r="B353" s="2" t="s">
        <v>48</v>
      </c>
      <c r="C353" s="149">
        <v>1104.0</v>
      </c>
    </row>
    <row r="354">
      <c r="A354" s="2" t="s">
        <v>57</v>
      </c>
      <c r="B354" s="2" t="s">
        <v>2035</v>
      </c>
      <c r="C354" s="149">
        <v>0.0</v>
      </c>
    </row>
    <row r="355">
      <c r="A355" s="2" t="s">
        <v>57</v>
      </c>
      <c r="B355" s="2" t="s">
        <v>59</v>
      </c>
      <c r="C355" s="149">
        <v>98.0</v>
      </c>
    </row>
    <row r="356">
      <c r="A356" s="2" t="s">
        <v>57</v>
      </c>
      <c r="B356" s="2" t="s">
        <v>44</v>
      </c>
      <c r="C356" s="149">
        <v>1382.0</v>
      </c>
    </row>
    <row r="357">
      <c r="A357" s="2" t="s">
        <v>57</v>
      </c>
      <c r="B357" s="2" t="s">
        <v>2036</v>
      </c>
      <c r="C357" s="149">
        <v>2814.0</v>
      </c>
    </row>
    <row r="358">
      <c r="A358" s="2" t="s">
        <v>57</v>
      </c>
      <c r="B358" s="2" t="s">
        <v>2037</v>
      </c>
      <c r="C358" s="149">
        <v>2778.0</v>
      </c>
    </row>
    <row r="359">
      <c r="A359" s="2" t="s">
        <v>37</v>
      </c>
      <c r="B359" s="2" t="s">
        <v>18</v>
      </c>
      <c r="C359" s="149">
        <v>676.0</v>
      </c>
    </row>
    <row r="360">
      <c r="A360" s="2" t="s">
        <v>37</v>
      </c>
      <c r="B360" s="2" t="s">
        <v>49</v>
      </c>
      <c r="C360" s="149">
        <v>1594.0</v>
      </c>
    </row>
    <row r="361">
      <c r="A361" s="2" t="s">
        <v>37</v>
      </c>
      <c r="B361" s="2" t="s">
        <v>22</v>
      </c>
      <c r="C361" s="149">
        <v>978.0</v>
      </c>
    </row>
    <row r="362">
      <c r="A362" s="2" t="s">
        <v>37</v>
      </c>
      <c r="B362" s="2" t="s">
        <v>27</v>
      </c>
      <c r="C362" s="149">
        <v>258.0</v>
      </c>
    </row>
    <row r="363">
      <c r="A363" s="2" t="s">
        <v>37</v>
      </c>
      <c r="B363" s="2" t="s">
        <v>35</v>
      </c>
      <c r="C363" s="149">
        <v>1428.0</v>
      </c>
    </row>
    <row r="364">
      <c r="A364" s="2" t="s">
        <v>37</v>
      </c>
      <c r="B364" s="2" t="s">
        <v>41</v>
      </c>
      <c r="C364" s="149">
        <v>1294.0</v>
      </c>
    </row>
    <row r="365">
      <c r="A365" s="2" t="s">
        <v>37</v>
      </c>
      <c r="B365" s="2" t="s">
        <v>57</v>
      </c>
      <c r="C365" s="149">
        <v>816.0</v>
      </c>
    </row>
    <row r="366">
      <c r="A366" s="2" t="s">
        <v>37</v>
      </c>
      <c r="B366" s="2" t="s">
        <v>37</v>
      </c>
      <c r="C366" s="149">
        <v>0.0</v>
      </c>
    </row>
    <row r="367">
      <c r="A367" s="2" t="s">
        <v>37</v>
      </c>
      <c r="B367" s="2" t="s">
        <v>39</v>
      </c>
      <c r="C367" s="149">
        <v>126.0</v>
      </c>
    </row>
    <row r="368">
      <c r="A368" s="2" t="s">
        <v>37</v>
      </c>
      <c r="B368" s="2" t="s">
        <v>64</v>
      </c>
      <c r="C368" s="149">
        <v>1028.0</v>
      </c>
    </row>
    <row r="369">
      <c r="A369" s="2" t="s">
        <v>37</v>
      </c>
      <c r="B369" s="2" t="s">
        <v>65</v>
      </c>
      <c r="C369" s="149">
        <v>910.0</v>
      </c>
    </row>
    <row r="370">
      <c r="A370" s="2" t="s">
        <v>37</v>
      </c>
      <c r="B370" s="2" t="s">
        <v>36</v>
      </c>
      <c r="C370" s="149">
        <v>1378.0</v>
      </c>
    </row>
    <row r="371">
      <c r="A371" s="2" t="s">
        <v>37</v>
      </c>
      <c r="B371" s="2" t="s">
        <v>31</v>
      </c>
      <c r="C371" s="149">
        <v>854.0</v>
      </c>
    </row>
    <row r="372">
      <c r="A372" s="2" t="s">
        <v>37</v>
      </c>
      <c r="B372" s="2" t="s">
        <v>43</v>
      </c>
      <c r="C372" s="149">
        <v>1090.0</v>
      </c>
    </row>
    <row r="373">
      <c r="A373" s="2" t="s">
        <v>37</v>
      </c>
      <c r="B373" s="2" t="s">
        <v>40</v>
      </c>
      <c r="C373" s="149">
        <v>302.0</v>
      </c>
    </row>
    <row r="374">
      <c r="A374" s="2" t="s">
        <v>37</v>
      </c>
      <c r="B374" s="2" t="s">
        <v>50</v>
      </c>
      <c r="C374" s="149">
        <v>1960.0</v>
      </c>
    </row>
    <row r="375">
      <c r="A375" s="2" t="s">
        <v>37</v>
      </c>
      <c r="B375" s="2" t="s">
        <v>51</v>
      </c>
      <c r="C375" s="149">
        <v>392.0</v>
      </c>
    </row>
    <row r="376">
      <c r="A376" s="2" t="s">
        <v>37</v>
      </c>
      <c r="B376" s="2" t="s">
        <v>23</v>
      </c>
      <c r="C376" s="149">
        <v>1276.0</v>
      </c>
    </row>
    <row r="377">
      <c r="A377" s="2" t="s">
        <v>37</v>
      </c>
      <c r="B377" s="2" t="s">
        <v>47</v>
      </c>
      <c r="C377" s="149">
        <v>766.0</v>
      </c>
    </row>
    <row r="378">
      <c r="A378" s="2" t="s">
        <v>37</v>
      </c>
      <c r="B378" s="2" t="s">
        <v>62</v>
      </c>
      <c r="C378" s="149">
        <v>632.0</v>
      </c>
    </row>
    <row r="379">
      <c r="A379" s="2" t="s">
        <v>37</v>
      </c>
      <c r="B379" s="2" t="s">
        <v>30</v>
      </c>
      <c r="C379" s="149">
        <v>786.0</v>
      </c>
    </row>
    <row r="380">
      <c r="A380" s="2" t="s">
        <v>37</v>
      </c>
      <c r="B380" s="2" t="s">
        <v>32</v>
      </c>
      <c r="C380" s="149">
        <v>760.0</v>
      </c>
    </row>
    <row r="381">
      <c r="A381" s="2" t="s">
        <v>37</v>
      </c>
      <c r="B381" s="2" t="s">
        <v>46</v>
      </c>
      <c r="C381" s="149">
        <v>808.0</v>
      </c>
    </row>
    <row r="382">
      <c r="A382" s="2" t="s">
        <v>37</v>
      </c>
      <c r="B382" s="2" t="s">
        <v>54</v>
      </c>
      <c r="C382" s="149">
        <v>1482.0</v>
      </c>
    </row>
    <row r="383">
      <c r="A383" s="2" t="s">
        <v>37</v>
      </c>
      <c r="B383" s="2" t="s">
        <v>34</v>
      </c>
      <c r="C383" s="149">
        <v>768.0</v>
      </c>
    </row>
    <row r="384">
      <c r="A384" s="2" t="s">
        <v>37</v>
      </c>
      <c r="B384" s="2" t="s">
        <v>20</v>
      </c>
      <c r="C384" s="149">
        <v>1112.0</v>
      </c>
    </row>
    <row r="385">
      <c r="A385" s="2" t="s">
        <v>37</v>
      </c>
      <c r="B385" s="2" t="s">
        <v>24</v>
      </c>
      <c r="C385" s="149">
        <v>560.0</v>
      </c>
    </row>
    <row r="386">
      <c r="A386" s="2" t="s">
        <v>37</v>
      </c>
      <c r="B386" s="2" t="s">
        <v>63</v>
      </c>
      <c r="C386" s="149">
        <v>496.0</v>
      </c>
    </row>
    <row r="387">
      <c r="A387" s="2" t="s">
        <v>37</v>
      </c>
      <c r="B387" s="2" t="s">
        <v>58</v>
      </c>
      <c r="C387" s="149">
        <v>858.0</v>
      </c>
    </row>
    <row r="388">
      <c r="A388" s="2" t="s">
        <v>37</v>
      </c>
      <c r="B388" s="2" t="s">
        <v>42</v>
      </c>
      <c r="C388" s="149">
        <v>1100.0</v>
      </c>
    </row>
    <row r="389">
      <c r="A389" s="2" t="s">
        <v>37</v>
      </c>
      <c r="B389" s="2" t="s">
        <v>21</v>
      </c>
      <c r="C389" s="149">
        <v>1238.0</v>
      </c>
    </row>
    <row r="390">
      <c r="A390" s="2" t="s">
        <v>37</v>
      </c>
      <c r="B390" s="2" t="s">
        <v>33</v>
      </c>
      <c r="C390" s="149">
        <v>574.0</v>
      </c>
    </row>
    <row r="391">
      <c r="A391" s="2" t="s">
        <v>37</v>
      </c>
      <c r="B391" s="2" t="s">
        <v>66</v>
      </c>
      <c r="C391" s="149">
        <v>1418.0</v>
      </c>
    </row>
    <row r="392">
      <c r="A392" s="2" t="s">
        <v>37</v>
      </c>
      <c r="B392" s="2" t="s">
        <v>29</v>
      </c>
      <c r="C392" s="149">
        <v>830.0</v>
      </c>
    </row>
    <row r="393">
      <c r="A393" s="2" t="s">
        <v>37</v>
      </c>
      <c r="B393" s="2" t="s">
        <v>60</v>
      </c>
      <c r="C393" s="149">
        <v>744.0</v>
      </c>
    </row>
    <row r="394">
      <c r="A394" s="2" t="s">
        <v>37</v>
      </c>
      <c r="B394" s="2" t="s">
        <v>38</v>
      </c>
      <c r="C394" s="149">
        <v>270.0</v>
      </c>
    </row>
    <row r="395">
      <c r="A395" s="2" t="s">
        <v>37</v>
      </c>
      <c r="B395" s="2" t="s">
        <v>61</v>
      </c>
      <c r="C395" s="149">
        <v>572.0</v>
      </c>
    </row>
    <row r="396">
      <c r="A396" s="2" t="s">
        <v>37</v>
      </c>
      <c r="B396" s="2" t="s">
        <v>52</v>
      </c>
      <c r="C396" s="149">
        <v>564.0</v>
      </c>
    </row>
    <row r="397">
      <c r="A397" s="2" t="s">
        <v>37</v>
      </c>
      <c r="B397" s="2" t="s">
        <v>25</v>
      </c>
      <c r="C397" s="149">
        <v>694.0</v>
      </c>
    </row>
    <row r="398">
      <c r="A398" s="2" t="s">
        <v>37</v>
      </c>
      <c r="B398" s="2" t="s">
        <v>67</v>
      </c>
      <c r="C398" s="149">
        <v>684.0</v>
      </c>
    </row>
    <row r="399">
      <c r="A399" s="2" t="s">
        <v>37</v>
      </c>
      <c r="B399" s="2" t="s">
        <v>45</v>
      </c>
      <c r="C399" s="149">
        <v>808.0</v>
      </c>
    </row>
    <row r="400">
      <c r="A400" s="2" t="s">
        <v>37</v>
      </c>
      <c r="B400" s="2" t="s">
        <v>53</v>
      </c>
      <c r="C400" s="149">
        <v>1042.0</v>
      </c>
    </row>
    <row r="401">
      <c r="A401" s="2" t="s">
        <v>37</v>
      </c>
      <c r="B401" s="2" t="s">
        <v>26</v>
      </c>
      <c r="C401" s="149">
        <v>820.0</v>
      </c>
    </row>
    <row r="402">
      <c r="A402" s="2" t="s">
        <v>37</v>
      </c>
      <c r="B402" s="2" t="s">
        <v>28</v>
      </c>
      <c r="C402" s="149">
        <v>170.0</v>
      </c>
    </row>
    <row r="403">
      <c r="A403" s="2" t="s">
        <v>37</v>
      </c>
      <c r="B403" s="2" t="s">
        <v>55</v>
      </c>
      <c r="C403" s="149">
        <v>1894.0</v>
      </c>
    </row>
    <row r="404">
      <c r="A404" s="2" t="s">
        <v>37</v>
      </c>
      <c r="B404" s="2" t="s">
        <v>48</v>
      </c>
      <c r="C404" s="149">
        <v>726.0</v>
      </c>
    </row>
    <row r="405">
      <c r="A405" s="2" t="s">
        <v>37</v>
      </c>
      <c r="B405" s="2" t="s">
        <v>2035</v>
      </c>
      <c r="C405" s="149">
        <v>2126.0</v>
      </c>
    </row>
    <row r="406">
      <c r="A406" s="2" t="s">
        <v>37</v>
      </c>
      <c r="B406" s="2" t="s">
        <v>59</v>
      </c>
      <c r="C406" s="149">
        <v>756.0</v>
      </c>
    </row>
    <row r="407">
      <c r="A407" s="2" t="s">
        <v>37</v>
      </c>
      <c r="B407" s="2" t="s">
        <v>44</v>
      </c>
      <c r="C407" s="149">
        <v>824.0</v>
      </c>
    </row>
    <row r="408">
      <c r="A408" s="2" t="s">
        <v>37</v>
      </c>
      <c r="B408" s="2" t="s">
        <v>2036</v>
      </c>
      <c r="C408" s="149">
        <v>2100.0</v>
      </c>
    </row>
    <row r="409">
      <c r="A409" s="2" t="s">
        <v>37</v>
      </c>
      <c r="B409" s="2" t="s">
        <v>2037</v>
      </c>
      <c r="C409" s="149">
        <v>2042.0</v>
      </c>
    </row>
    <row r="410">
      <c r="A410" s="2" t="s">
        <v>39</v>
      </c>
      <c r="B410" s="2" t="s">
        <v>18</v>
      </c>
      <c r="C410" s="149">
        <v>654.0</v>
      </c>
    </row>
    <row r="411">
      <c r="A411" s="2" t="s">
        <v>39</v>
      </c>
      <c r="B411" s="2" t="s">
        <v>49</v>
      </c>
      <c r="C411" s="149">
        <v>1466.0</v>
      </c>
    </row>
    <row r="412">
      <c r="A412" s="2" t="s">
        <v>39</v>
      </c>
      <c r="B412" s="2" t="s">
        <v>22</v>
      </c>
      <c r="C412" s="149">
        <v>850.0</v>
      </c>
    </row>
    <row r="413">
      <c r="A413" s="2" t="s">
        <v>39</v>
      </c>
      <c r="B413" s="2" t="s">
        <v>27</v>
      </c>
      <c r="C413" s="149">
        <v>324.0</v>
      </c>
    </row>
    <row r="414">
      <c r="A414" s="2" t="s">
        <v>39</v>
      </c>
      <c r="B414" s="2" t="s">
        <v>35</v>
      </c>
      <c r="C414" s="149">
        <v>1398.0</v>
      </c>
    </row>
    <row r="415">
      <c r="A415" s="2" t="s">
        <v>39</v>
      </c>
      <c r="B415" s="2" t="s">
        <v>41</v>
      </c>
      <c r="C415" s="149">
        <v>1266.0</v>
      </c>
    </row>
    <row r="416">
      <c r="A416" s="2" t="s">
        <v>39</v>
      </c>
      <c r="B416" s="2" t="s">
        <v>57</v>
      </c>
      <c r="C416" s="149">
        <v>884.0</v>
      </c>
    </row>
    <row r="417">
      <c r="A417" s="2" t="s">
        <v>39</v>
      </c>
      <c r="B417" s="2" t="s">
        <v>37</v>
      </c>
      <c r="C417" s="149">
        <v>126.0</v>
      </c>
    </row>
    <row r="418">
      <c r="A418" s="2" t="s">
        <v>39</v>
      </c>
      <c r="B418" s="2" t="s">
        <v>39</v>
      </c>
      <c r="C418" s="149">
        <v>0.0</v>
      </c>
    </row>
    <row r="419">
      <c r="A419" s="2" t="s">
        <v>39</v>
      </c>
      <c r="B419" s="2" t="s">
        <v>64</v>
      </c>
      <c r="C419" s="149">
        <v>1006.0</v>
      </c>
    </row>
    <row r="420">
      <c r="A420" s="2" t="s">
        <v>39</v>
      </c>
      <c r="B420" s="2" t="s">
        <v>65</v>
      </c>
      <c r="C420" s="149">
        <v>886.0</v>
      </c>
    </row>
    <row r="421">
      <c r="A421" s="2" t="s">
        <v>39</v>
      </c>
      <c r="B421" s="2" t="s">
        <v>36</v>
      </c>
      <c r="C421" s="149">
        <v>1356.0</v>
      </c>
    </row>
    <row r="422">
      <c r="A422" s="2" t="s">
        <v>39</v>
      </c>
      <c r="B422" s="2" t="s">
        <v>31</v>
      </c>
      <c r="C422" s="149">
        <v>922.0</v>
      </c>
    </row>
    <row r="423">
      <c r="A423" s="2" t="s">
        <v>39</v>
      </c>
      <c r="B423" s="2" t="s">
        <v>43</v>
      </c>
      <c r="C423" s="149">
        <v>1068.0</v>
      </c>
    </row>
    <row r="424">
      <c r="A424" s="2" t="s">
        <v>39</v>
      </c>
      <c r="B424" s="2" t="s">
        <v>40</v>
      </c>
      <c r="C424" s="149">
        <v>210.0</v>
      </c>
    </row>
    <row r="425">
      <c r="A425" s="2" t="s">
        <v>39</v>
      </c>
      <c r="B425" s="2" t="s">
        <v>50</v>
      </c>
      <c r="C425" s="149">
        <v>1836.0</v>
      </c>
    </row>
    <row r="426">
      <c r="A426" s="2" t="s">
        <v>39</v>
      </c>
      <c r="B426" s="2" t="s">
        <v>51</v>
      </c>
      <c r="C426" s="149">
        <v>460.0</v>
      </c>
    </row>
    <row r="427">
      <c r="A427" s="2" t="s">
        <v>39</v>
      </c>
      <c r="B427" s="2" t="s">
        <v>23</v>
      </c>
      <c r="C427" s="149">
        <v>1152.0</v>
      </c>
    </row>
    <row r="428">
      <c r="A428" s="2" t="s">
        <v>39</v>
      </c>
      <c r="B428" s="2" t="s">
        <v>47</v>
      </c>
      <c r="C428" s="149">
        <v>742.0</v>
      </c>
    </row>
    <row r="429">
      <c r="A429" s="2" t="s">
        <v>39</v>
      </c>
      <c r="B429" s="2" t="s">
        <v>62</v>
      </c>
      <c r="C429" s="149">
        <v>608.0</v>
      </c>
    </row>
    <row r="430">
      <c r="A430" s="2" t="s">
        <v>39</v>
      </c>
      <c r="B430" s="2" t="s">
        <v>30</v>
      </c>
      <c r="C430" s="149">
        <v>764.0</v>
      </c>
    </row>
    <row r="431">
      <c r="A431" s="2" t="s">
        <v>39</v>
      </c>
      <c r="B431" s="2" t="s">
        <v>32</v>
      </c>
      <c r="C431" s="149">
        <v>828.0</v>
      </c>
    </row>
    <row r="432">
      <c r="A432" s="2" t="s">
        <v>39</v>
      </c>
      <c r="B432" s="2" t="s">
        <v>46</v>
      </c>
      <c r="C432" s="149">
        <v>786.0</v>
      </c>
    </row>
    <row r="433">
      <c r="A433" s="2" t="s">
        <v>39</v>
      </c>
      <c r="B433" s="2" t="s">
        <v>54</v>
      </c>
      <c r="C433" s="149">
        <v>1356.0</v>
      </c>
    </row>
    <row r="434">
      <c r="A434" s="2" t="s">
        <v>39</v>
      </c>
      <c r="B434" s="2" t="s">
        <v>34</v>
      </c>
      <c r="C434" s="149">
        <v>744.0</v>
      </c>
    </row>
    <row r="435">
      <c r="A435" s="2" t="s">
        <v>39</v>
      </c>
      <c r="B435" s="2" t="s">
        <v>20</v>
      </c>
      <c r="C435" s="149">
        <v>988.0</v>
      </c>
    </row>
    <row r="436">
      <c r="A436" s="2" t="s">
        <v>39</v>
      </c>
      <c r="B436" s="2" t="s">
        <v>24</v>
      </c>
      <c r="C436" s="149">
        <v>628.0</v>
      </c>
    </row>
    <row r="437">
      <c r="A437" s="2" t="s">
        <v>39</v>
      </c>
      <c r="B437" s="2" t="s">
        <v>63</v>
      </c>
      <c r="C437" s="149">
        <v>472.0</v>
      </c>
    </row>
    <row r="438">
      <c r="A438" s="2" t="s">
        <v>39</v>
      </c>
      <c r="B438" s="2" t="s">
        <v>58</v>
      </c>
      <c r="C438" s="149">
        <v>926.0</v>
      </c>
    </row>
    <row r="439">
      <c r="A439" s="2" t="s">
        <v>39</v>
      </c>
      <c r="B439" s="2" t="s">
        <v>42</v>
      </c>
      <c r="C439" s="149">
        <v>1078.0</v>
      </c>
    </row>
    <row r="440">
      <c r="A440" s="2" t="s">
        <v>39</v>
      </c>
      <c r="B440" s="2" t="s">
        <v>21</v>
      </c>
      <c r="C440" s="149">
        <v>1114.0</v>
      </c>
    </row>
    <row r="441">
      <c r="A441" s="2" t="s">
        <v>39</v>
      </c>
      <c r="B441" s="2" t="s">
        <v>33</v>
      </c>
      <c r="C441" s="149">
        <v>448.0</v>
      </c>
    </row>
    <row r="442">
      <c r="A442" s="2" t="s">
        <v>39</v>
      </c>
      <c r="B442" s="2" t="s">
        <v>66</v>
      </c>
      <c r="C442" s="149">
        <v>1396.0</v>
      </c>
    </row>
    <row r="443">
      <c r="A443" s="2" t="s">
        <v>39</v>
      </c>
      <c r="B443" s="2" t="s">
        <v>29</v>
      </c>
      <c r="C443" s="149">
        <v>958.0</v>
      </c>
    </row>
    <row r="444">
      <c r="A444" s="2" t="s">
        <v>39</v>
      </c>
      <c r="B444" s="2" t="s">
        <v>60</v>
      </c>
      <c r="C444" s="149">
        <v>624.0</v>
      </c>
    </row>
    <row r="445">
      <c r="A445" s="2" t="s">
        <v>39</v>
      </c>
      <c r="B445" s="2" t="s">
        <v>38</v>
      </c>
      <c r="C445" s="149">
        <v>396.0</v>
      </c>
    </row>
    <row r="446">
      <c r="A446" s="2" t="s">
        <v>39</v>
      </c>
      <c r="B446" s="2" t="s">
        <v>61</v>
      </c>
      <c r="C446" s="149">
        <v>550.0</v>
      </c>
    </row>
    <row r="447">
      <c r="A447" s="2" t="s">
        <v>39</v>
      </c>
      <c r="B447" s="2" t="s">
        <v>52</v>
      </c>
      <c r="C447" s="149">
        <v>632.0</v>
      </c>
    </row>
    <row r="448">
      <c r="A448" s="2" t="s">
        <v>39</v>
      </c>
      <c r="B448" s="2" t="s">
        <v>25</v>
      </c>
      <c r="C448" s="149">
        <v>762.0</v>
      </c>
    </row>
    <row r="449">
      <c r="A449" s="2" t="s">
        <v>39</v>
      </c>
      <c r="B449" s="2" t="s">
        <v>67</v>
      </c>
      <c r="C449" s="149">
        <v>810.0</v>
      </c>
    </row>
    <row r="450">
      <c r="A450" s="2" t="s">
        <v>39</v>
      </c>
      <c r="B450" s="2" t="s">
        <v>45</v>
      </c>
      <c r="C450" s="149">
        <v>786.0</v>
      </c>
    </row>
    <row r="451">
      <c r="A451" s="2" t="s">
        <v>39</v>
      </c>
      <c r="B451" s="2" t="s">
        <v>53</v>
      </c>
      <c r="C451" s="149">
        <v>1108.0</v>
      </c>
    </row>
    <row r="452">
      <c r="A452" s="2" t="s">
        <v>39</v>
      </c>
      <c r="B452" s="2" t="s">
        <v>26</v>
      </c>
      <c r="C452" s="149">
        <v>888.0</v>
      </c>
    </row>
    <row r="453">
      <c r="A453" s="2" t="s">
        <v>39</v>
      </c>
      <c r="B453" s="2" t="s">
        <v>28</v>
      </c>
      <c r="C453" s="149">
        <v>236.0</v>
      </c>
    </row>
    <row r="454">
      <c r="A454" s="2" t="s">
        <v>39</v>
      </c>
      <c r="B454" s="2" t="s">
        <v>55</v>
      </c>
      <c r="C454" s="149">
        <v>1770.0</v>
      </c>
    </row>
    <row r="455">
      <c r="A455" s="2" t="s">
        <v>39</v>
      </c>
      <c r="B455" s="2" t="s">
        <v>48</v>
      </c>
      <c r="C455" s="149">
        <v>702.0</v>
      </c>
    </row>
    <row r="456">
      <c r="A456" s="2" t="s">
        <v>39</v>
      </c>
      <c r="B456" s="2" t="s">
        <v>2035</v>
      </c>
      <c r="C456" s="149">
        <v>2002.0</v>
      </c>
    </row>
    <row r="457">
      <c r="A457" s="2" t="s">
        <v>39</v>
      </c>
      <c r="B457" s="2" t="s">
        <v>59</v>
      </c>
      <c r="C457" s="149">
        <v>824.0</v>
      </c>
    </row>
    <row r="458">
      <c r="A458" s="2" t="s">
        <v>39</v>
      </c>
      <c r="B458" s="2" t="s">
        <v>44</v>
      </c>
      <c r="C458" s="149">
        <v>796.0</v>
      </c>
    </row>
    <row r="459">
      <c r="A459" s="2" t="s">
        <v>39</v>
      </c>
      <c r="B459" s="2" t="s">
        <v>2036</v>
      </c>
      <c r="C459" s="149">
        <v>1966.0</v>
      </c>
    </row>
    <row r="460">
      <c r="A460" s="2" t="s">
        <v>39</v>
      </c>
      <c r="B460" s="2" t="s">
        <v>2037</v>
      </c>
      <c r="C460" s="149">
        <v>1910.0</v>
      </c>
    </row>
    <row r="461">
      <c r="A461" s="2" t="s">
        <v>64</v>
      </c>
      <c r="B461" s="2" t="s">
        <v>18</v>
      </c>
      <c r="C461" s="149">
        <v>506.0</v>
      </c>
    </row>
    <row r="462">
      <c r="A462" s="2" t="s">
        <v>64</v>
      </c>
      <c r="B462" s="2" t="s">
        <v>49</v>
      </c>
      <c r="C462" s="149">
        <v>2154.0</v>
      </c>
    </row>
    <row r="463">
      <c r="A463" s="2" t="s">
        <v>64</v>
      </c>
      <c r="B463" s="2" t="s">
        <v>22</v>
      </c>
      <c r="C463" s="149">
        <v>1402.0</v>
      </c>
    </row>
    <row r="464">
      <c r="A464" s="2" t="s">
        <v>64</v>
      </c>
      <c r="B464" s="2" t="s">
        <v>27</v>
      </c>
      <c r="C464" s="149">
        <v>1142.0</v>
      </c>
    </row>
    <row r="465">
      <c r="A465" s="2" t="s">
        <v>64</v>
      </c>
      <c r="B465" s="2" t="s">
        <v>35</v>
      </c>
      <c r="C465" s="149">
        <v>428.0</v>
      </c>
    </row>
    <row r="466">
      <c r="A466" s="2" t="s">
        <v>64</v>
      </c>
      <c r="B466" s="2" t="s">
        <v>41</v>
      </c>
      <c r="C466" s="149">
        <v>276.0</v>
      </c>
    </row>
    <row r="467">
      <c r="A467" s="2" t="s">
        <v>64</v>
      </c>
      <c r="B467" s="2" t="s">
        <v>57</v>
      </c>
      <c r="C467" s="149">
        <v>1586.0</v>
      </c>
    </row>
    <row r="468">
      <c r="A468" s="2" t="s">
        <v>64</v>
      </c>
      <c r="B468" s="2" t="s">
        <v>37</v>
      </c>
      <c r="C468" s="149">
        <v>1028.0</v>
      </c>
    </row>
    <row r="469">
      <c r="A469" s="2" t="s">
        <v>64</v>
      </c>
      <c r="B469" s="2" t="s">
        <v>39</v>
      </c>
      <c r="C469" s="149">
        <v>1006.0</v>
      </c>
    </row>
    <row r="470">
      <c r="A470" s="2" t="s">
        <v>64</v>
      </c>
      <c r="B470" s="2" t="s">
        <v>64</v>
      </c>
      <c r="C470" s="149">
        <v>0.0</v>
      </c>
    </row>
    <row r="471">
      <c r="A471" s="2" t="s">
        <v>64</v>
      </c>
      <c r="B471" s="2" t="s">
        <v>65</v>
      </c>
      <c r="C471" s="149">
        <v>174.0</v>
      </c>
    </row>
    <row r="472">
      <c r="A472" s="2" t="s">
        <v>64</v>
      </c>
      <c r="B472" s="2" t="s">
        <v>36</v>
      </c>
      <c r="C472" s="149">
        <v>406.0</v>
      </c>
    </row>
    <row r="473">
      <c r="A473" s="2" t="s">
        <v>64</v>
      </c>
      <c r="B473" s="2" t="s">
        <v>31</v>
      </c>
      <c r="C473" s="149">
        <v>1452.0</v>
      </c>
    </row>
    <row r="474">
      <c r="A474" s="2" t="s">
        <v>64</v>
      </c>
      <c r="B474" s="2" t="s">
        <v>43</v>
      </c>
      <c r="C474" s="149">
        <v>106.0</v>
      </c>
    </row>
    <row r="475">
      <c r="A475" s="2" t="s">
        <v>64</v>
      </c>
      <c r="B475" s="2" t="s">
        <v>40</v>
      </c>
      <c r="C475" s="149">
        <v>840.0</v>
      </c>
    </row>
    <row r="476">
      <c r="A476" s="2" t="s">
        <v>64</v>
      </c>
      <c r="B476" s="2" t="s">
        <v>50</v>
      </c>
      <c r="C476" s="149">
        <v>2214.0</v>
      </c>
    </row>
    <row r="477">
      <c r="A477" s="2" t="s">
        <v>64</v>
      </c>
      <c r="B477" s="2" t="s">
        <v>51</v>
      </c>
      <c r="C477" s="149">
        <v>1190.0</v>
      </c>
    </row>
    <row r="478">
      <c r="A478" s="2" t="s">
        <v>64</v>
      </c>
      <c r="B478" s="2" t="s">
        <v>23</v>
      </c>
      <c r="C478" s="149">
        <v>1530.0</v>
      </c>
    </row>
    <row r="479">
      <c r="A479" s="2" t="s">
        <v>64</v>
      </c>
      <c r="B479" s="2" t="s">
        <v>47</v>
      </c>
      <c r="C479" s="149">
        <v>456.0</v>
      </c>
    </row>
    <row r="480">
      <c r="A480" s="2" t="s">
        <v>64</v>
      </c>
      <c r="B480" s="2" t="s">
        <v>62</v>
      </c>
      <c r="C480" s="149">
        <v>470.0</v>
      </c>
    </row>
    <row r="481">
      <c r="A481" s="2" t="s">
        <v>64</v>
      </c>
      <c r="B481" s="2" t="s">
        <v>30</v>
      </c>
      <c r="C481" s="149">
        <v>1130.0</v>
      </c>
    </row>
    <row r="482">
      <c r="A482" s="2" t="s">
        <v>64</v>
      </c>
      <c r="B482" s="2" t="s">
        <v>32</v>
      </c>
      <c r="C482" s="149">
        <v>1212.0</v>
      </c>
    </row>
    <row r="483">
      <c r="A483" s="2" t="s">
        <v>64</v>
      </c>
      <c r="B483" s="2" t="s">
        <v>46</v>
      </c>
      <c r="C483" s="149">
        <v>234.0</v>
      </c>
    </row>
    <row r="484">
      <c r="A484" s="2" t="s">
        <v>64</v>
      </c>
      <c r="B484" s="2" t="s">
        <v>54</v>
      </c>
      <c r="C484" s="149">
        <v>1736.0</v>
      </c>
    </row>
    <row r="485">
      <c r="A485" s="2" t="s">
        <v>64</v>
      </c>
      <c r="B485" s="2" t="s">
        <v>34</v>
      </c>
      <c r="C485" s="149">
        <v>732.0</v>
      </c>
    </row>
    <row r="486">
      <c r="A486" s="2" t="s">
        <v>64</v>
      </c>
      <c r="B486" s="2" t="s">
        <v>20</v>
      </c>
      <c r="C486" s="149">
        <v>1524.0</v>
      </c>
    </row>
    <row r="487">
      <c r="A487" s="2" t="s">
        <v>64</v>
      </c>
      <c r="B487" s="2" t="s">
        <v>24</v>
      </c>
      <c r="C487" s="149">
        <v>1356.0</v>
      </c>
    </row>
    <row r="488">
      <c r="A488" s="2" t="s">
        <v>64</v>
      </c>
      <c r="B488" s="2" t="s">
        <v>63</v>
      </c>
      <c r="C488" s="149">
        <v>778.0</v>
      </c>
    </row>
    <row r="489">
      <c r="A489" s="2" t="s">
        <v>64</v>
      </c>
      <c r="B489" s="2" t="s">
        <v>58</v>
      </c>
      <c r="C489" s="149">
        <v>1656.0</v>
      </c>
    </row>
    <row r="490">
      <c r="A490" s="2" t="s">
        <v>64</v>
      </c>
      <c r="B490" s="2" t="s">
        <v>42</v>
      </c>
      <c r="C490" s="149">
        <v>128.0</v>
      </c>
    </row>
    <row r="491">
      <c r="A491" s="2" t="s">
        <v>64</v>
      </c>
      <c r="B491" s="2" t="s">
        <v>21</v>
      </c>
      <c r="C491" s="149">
        <v>1504.0</v>
      </c>
    </row>
    <row r="492">
      <c r="A492" s="2" t="s">
        <v>64</v>
      </c>
      <c r="B492" s="2" t="s">
        <v>33</v>
      </c>
      <c r="C492" s="149">
        <v>1238.0</v>
      </c>
    </row>
    <row r="493">
      <c r="A493" s="2" t="s">
        <v>64</v>
      </c>
      <c r="B493" s="2" t="s">
        <v>66</v>
      </c>
      <c r="C493" s="149">
        <v>478.0</v>
      </c>
    </row>
    <row r="494">
      <c r="A494" s="2" t="s">
        <v>64</v>
      </c>
      <c r="B494" s="2" t="s">
        <v>29</v>
      </c>
      <c r="C494" s="149">
        <v>1886.0</v>
      </c>
    </row>
    <row r="495">
      <c r="A495" s="2" t="s">
        <v>64</v>
      </c>
      <c r="B495" s="2" t="s">
        <v>60</v>
      </c>
      <c r="C495" s="149">
        <v>874.0</v>
      </c>
    </row>
    <row r="496">
      <c r="A496" s="2" t="s">
        <v>64</v>
      </c>
      <c r="B496" s="2" t="s">
        <v>38</v>
      </c>
      <c r="C496" s="149">
        <v>1324.0</v>
      </c>
    </row>
    <row r="497">
      <c r="A497" s="2" t="s">
        <v>64</v>
      </c>
      <c r="B497" s="2" t="s">
        <v>61</v>
      </c>
      <c r="C497" s="149">
        <v>536.0</v>
      </c>
    </row>
    <row r="498">
      <c r="A498" s="2" t="s">
        <v>64</v>
      </c>
      <c r="B498" s="2" t="s">
        <v>52</v>
      </c>
      <c r="C498" s="149">
        <v>1362.0</v>
      </c>
    </row>
    <row r="499">
      <c r="A499" s="2" t="s">
        <v>64</v>
      </c>
      <c r="B499" s="2" t="s">
        <v>25</v>
      </c>
      <c r="C499" s="149">
        <v>1492.0</v>
      </c>
    </row>
    <row r="500">
      <c r="A500" s="2" t="s">
        <v>64</v>
      </c>
      <c r="B500" s="2" t="s">
        <v>67</v>
      </c>
      <c r="C500" s="149">
        <v>1584.0</v>
      </c>
    </row>
    <row r="501">
      <c r="A501" s="2" t="s">
        <v>64</v>
      </c>
      <c r="B501" s="2" t="s">
        <v>45</v>
      </c>
      <c r="C501" s="149">
        <v>234.0</v>
      </c>
    </row>
    <row r="502">
      <c r="A502" s="2" t="s">
        <v>64</v>
      </c>
      <c r="B502" s="2" t="s">
        <v>53</v>
      </c>
      <c r="C502" s="149">
        <v>1720.0</v>
      </c>
    </row>
    <row r="503">
      <c r="A503" s="2" t="s">
        <v>64</v>
      </c>
      <c r="B503" s="2" t="s">
        <v>26</v>
      </c>
      <c r="C503" s="149">
        <v>1618.0</v>
      </c>
    </row>
    <row r="504">
      <c r="A504" s="2" t="s">
        <v>64</v>
      </c>
      <c r="B504" s="2" t="s">
        <v>28</v>
      </c>
      <c r="C504" s="149">
        <v>1166.0</v>
      </c>
    </row>
    <row r="505">
      <c r="A505" s="2" t="s">
        <v>64</v>
      </c>
      <c r="B505" s="2" t="s">
        <v>55</v>
      </c>
      <c r="C505" s="149">
        <v>2150.0</v>
      </c>
    </row>
    <row r="506">
      <c r="A506" s="2" t="s">
        <v>64</v>
      </c>
      <c r="B506" s="2" t="s">
        <v>48</v>
      </c>
      <c r="C506" s="149">
        <v>534.0</v>
      </c>
    </row>
    <row r="507">
      <c r="A507" s="2" t="s">
        <v>64</v>
      </c>
      <c r="B507" s="2" t="s">
        <v>2035</v>
      </c>
      <c r="C507" s="149">
        <v>2380.0</v>
      </c>
    </row>
    <row r="508">
      <c r="A508" s="2" t="s">
        <v>64</v>
      </c>
      <c r="B508" s="2" t="s">
        <v>59</v>
      </c>
      <c r="C508" s="149">
        <v>1524.0</v>
      </c>
    </row>
    <row r="509">
      <c r="A509" s="2" t="s">
        <v>64</v>
      </c>
      <c r="B509" s="2" t="s">
        <v>44</v>
      </c>
      <c r="C509" s="149">
        <v>376.0</v>
      </c>
    </row>
    <row r="510">
      <c r="A510" s="2" t="s">
        <v>64</v>
      </c>
      <c r="B510" s="2" t="s">
        <v>2036</v>
      </c>
      <c r="C510" s="149">
        <v>2286.0</v>
      </c>
    </row>
    <row r="511">
      <c r="A511" s="2" t="s">
        <v>64</v>
      </c>
      <c r="B511" s="2" t="s">
        <v>2037</v>
      </c>
      <c r="C511" s="149">
        <v>2356.0</v>
      </c>
    </row>
    <row r="512">
      <c r="A512" s="2" t="s">
        <v>65</v>
      </c>
      <c r="B512" s="2" t="s">
        <v>18</v>
      </c>
      <c r="C512" s="149">
        <v>366.0</v>
      </c>
    </row>
    <row r="513">
      <c r="A513" s="2" t="s">
        <v>65</v>
      </c>
      <c r="B513" s="2" t="s">
        <v>49</v>
      </c>
      <c r="C513" s="149">
        <v>2034.0</v>
      </c>
    </row>
    <row r="514">
      <c r="A514" s="2" t="s">
        <v>65</v>
      </c>
      <c r="B514" s="2" t="s">
        <v>22</v>
      </c>
      <c r="C514" s="149">
        <v>1282.0</v>
      </c>
    </row>
    <row r="515">
      <c r="A515" s="2" t="s">
        <v>65</v>
      </c>
      <c r="B515" s="2" t="s">
        <v>27</v>
      </c>
      <c r="C515" s="149">
        <v>1022.0</v>
      </c>
    </row>
    <row r="516">
      <c r="A516" s="2" t="s">
        <v>65</v>
      </c>
      <c r="B516" s="2" t="s">
        <v>35</v>
      </c>
      <c r="C516" s="149">
        <v>542.0</v>
      </c>
    </row>
    <row r="517">
      <c r="A517" s="2" t="s">
        <v>65</v>
      </c>
      <c r="B517" s="2" t="s">
        <v>41</v>
      </c>
      <c r="C517" s="149">
        <v>408.0</v>
      </c>
    </row>
    <row r="518">
      <c r="A518" s="2" t="s">
        <v>65</v>
      </c>
      <c r="B518" s="2" t="s">
        <v>57</v>
      </c>
      <c r="C518" s="149">
        <v>1466.0</v>
      </c>
    </row>
    <row r="519">
      <c r="A519" s="2" t="s">
        <v>65</v>
      </c>
      <c r="B519" s="2" t="s">
        <v>37</v>
      </c>
      <c r="C519" s="149">
        <v>910.0</v>
      </c>
    </row>
    <row r="520">
      <c r="A520" s="2" t="s">
        <v>65</v>
      </c>
      <c r="B520" s="2" t="s">
        <v>39</v>
      </c>
      <c r="C520" s="149">
        <v>886.0</v>
      </c>
    </row>
    <row r="521">
      <c r="A521" s="2" t="s">
        <v>65</v>
      </c>
      <c r="B521" s="2" t="s">
        <v>64</v>
      </c>
      <c r="C521" s="149">
        <v>174.0</v>
      </c>
    </row>
    <row r="522">
      <c r="A522" s="2" t="s">
        <v>65</v>
      </c>
      <c r="B522" s="2" t="s">
        <v>65</v>
      </c>
      <c r="C522" s="149">
        <v>0.0</v>
      </c>
    </row>
    <row r="523">
      <c r="A523" s="2" t="s">
        <v>65</v>
      </c>
      <c r="B523" s="2" t="s">
        <v>36</v>
      </c>
      <c r="C523" s="149">
        <v>520.0</v>
      </c>
    </row>
    <row r="524">
      <c r="A524" s="2" t="s">
        <v>65</v>
      </c>
      <c r="B524" s="2" t="s">
        <v>31</v>
      </c>
      <c r="C524" s="149">
        <v>1326.0</v>
      </c>
    </row>
    <row r="525">
      <c r="A525" s="2" t="s">
        <v>65</v>
      </c>
      <c r="B525" s="2" t="s">
        <v>43</v>
      </c>
      <c r="C525" s="149">
        <v>216.0</v>
      </c>
    </row>
    <row r="526">
      <c r="A526" s="2" t="s">
        <v>65</v>
      </c>
      <c r="B526" s="2" t="s">
        <v>40</v>
      </c>
      <c r="C526" s="149">
        <v>700.0</v>
      </c>
    </row>
    <row r="527">
      <c r="A527" s="2" t="s">
        <v>65</v>
      </c>
      <c r="B527" s="2" t="s">
        <v>50</v>
      </c>
      <c r="C527" s="149">
        <v>2074.0</v>
      </c>
    </row>
    <row r="528">
      <c r="A528" s="2" t="s">
        <v>65</v>
      </c>
      <c r="B528" s="2" t="s">
        <v>51</v>
      </c>
      <c r="C528" s="149">
        <v>1048.0</v>
      </c>
    </row>
    <row r="529">
      <c r="A529" s="2" t="s">
        <v>65</v>
      </c>
      <c r="B529" s="2" t="s">
        <v>23</v>
      </c>
      <c r="C529" s="149">
        <v>1390.0</v>
      </c>
    </row>
    <row r="530">
      <c r="A530" s="2" t="s">
        <v>65</v>
      </c>
      <c r="B530" s="2" t="s">
        <v>47</v>
      </c>
      <c r="C530" s="149">
        <v>330.0</v>
      </c>
    </row>
    <row r="531">
      <c r="A531" s="2" t="s">
        <v>65</v>
      </c>
      <c r="B531" s="2" t="s">
        <v>62</v>
      </c>
      <c r="C531" s="149">
        <v>330.0</v>
      </c>
    </row>
    <row r="532">
      <c r="A532" s="2" t="s">
        <v>65</v>
      </c>
      <c r="B532" s="2" t="s">
        <v>30</v>
      </c>
      <c r="C532" s="149">
        <v>1004.0</v>
      </c>
    </row>
    <row r="533">
      <c r="A533" s="2" t="s">
        <v>65</v>
      </c>
      <c r="B533" s="2" t="s">
        <v>32</v>
      </c>
      <c r="C533" s="149">
        <v>1088.0</v>
      </c>
    </row>
    <row r="534">
      <c r="A534" s="2" t="s">
        <v>65</v>
      </c>
      <c r="B534" s="2" t="s">
        <v>46</v>
      </c>
      <c r="C534" s="149">
        <v>108.0</v>
      </c>
    </row>
    <row r="535">
      <c r="A535" s="2" t="s">
        <v>65</v>
      </c>
      <c r="B535" s="2" t="s">
        <v>54</v>
      </c>
      <c r="C535" s="149">
        <v>1594.0</v>
      </c>
    </row>
    <row r="536">
      <c r="A536" s="2" t="s">
        <v>65</v>
      </c>
      <c r="B536" s="2" t="s">
        <v>34</v>
      </c>
      <c r="C536" s="149">
        <v>592.0</v>
      </c>
    </row>
    <row r="537">
      <c r="A537" s="2" t="s">
        <v>65</v>
      </c>
      <c r="B537" s="2" t="s">
        <v>20</v>
      </c>
      <c r="C537" s="149">
        <v>1384.0</v>
      </c>
    </row>
    <row r="538">
      <c r="A538" s="2" t="s">
        <v>65</v>
      </c>
      <c r="B538" s="2" t="s">
        <v>24</v>
      </c>
      <c r="C538" s="149">
        <v>1216.0</v>
      </c>
    </row>
    <row r="539">
      <c r="A539" s="2" t="s">
        <v>65</v>
      </c>
      <c r="B539" s="2" t="s">
        <v>63</v>
      </c>
      <c r="C539" s="149">
        <v>652.0</v>
      </c>
    </row>
    <row r="540">
      <c r="A540" s="2" t="s">
        <v>65</v>
      </c>
      <c r="B540" s="2" t="s">
        <v>58</v>
      </c>
      <c r="C540" s="149">
        <v>1516.0</v>
      </c>
    </row>
    <row r="541">
      <c r="A541" s="2" t="s">
        <v>65</v>
      </c>
      <c r="B541" s="2" t="s">
        <v>42</v>
      </c>
      <c r="C541" s="149">
        <v>242.0</v>
      </c>
    </row>
    <row r="542">
      <c r="A542" s="2" t="s">
        <v>65</v>
      </c>
      <c r="B542" s="2" t="s">
        <v>21</v>
      </c>
      <c r="C542" s="149">
        <v>1364.0</v>
      </c>
    </row>
    <row r="543">
      <c r="A543" s="2" t="s">
        <v>65</v>
      </c>
      <c r="B543" s="2" t="s">
        <v>33</v>
      </c>
      <c r="C543" s="149">
        <v>1096.0</v>
      </c>
    </row>
    <row r="544">
      <c r="A544" s="2" t="s">
        <v>65</v>
      </c>
      <c r="B544" s="2" t="s">
        <v>66</v>
      </c>
      <c r="C544" s="149">
        <v>586.0</v>
      </c>
    </row>
    <row r="545">
      <c r="A545" s="2" t="s">
        <v>65</v>
      </c>
      <c r="B545" s="2" t="s">
        <v>29</v>
      </c>
      <c r="C545" s="149">
        <v>1746.0</v>
      </c>
    </row>
    <row r="546">
      <c r="A546" s="2" t="s">
        <v>65</v>
      </c>
      <c r="B546" s="2" t="s">
        <v>60</v>
      </c>
      <c r="C546" s="149">
        <v>734.0</v>
      </c>
    </row>
    <row r="547">
      <c r="A547" s="2" t="s">
        <v>65</v>
      </c>
      <c r="B547" s="2" t="s">
        <v>38</v>
      </c>
      <c r="C547" s="149">
        <v>1184.0</v>
      </c>
    </row>
    <row r="548">
      <c r="A548" s="2" t="s">
        <v>65</v>
      </c>
      <c r="B548" s="2" t="s">
        <v>61</v>
      </c>
      <c r="C548" s="149">
        <v>396.0</v>
      </c>
    </row>
    <row r="549">
      <c r="A549" s="2" t="s">
        <v>65</v>
      </c>
      <c r="B549" s="2" t="s">
        <v>52</v>
      </c>
      <c r="C549" s="149">
        <v>1222.0</v>
      </c>
    </row>
    <row r="550">
      <c r="A550" s="2" t="s">
        <v>65</v>
      </c>
      <c r="B550" s="2" t="s">
        <v>25</v>
      </c>
      <c r="C550" s="149">
        <v>1350.0</v>
      </c>
    </row>
    <row r="551">
      <c r="A551" s="2" t="s">
        <v>65</v>
      </c>
      <c r="B551" s="2" t="s">
        <v>67</v>
      </c>
      <c r="C551" s="149">
        <v>1444.0</v>
      </c>
    </row>
    <row r="552">
      <c r="A552" s="2" t="s">
        <v>65</v>
      </c>
      <c r="B552" s="2" t="s">
        <v>45</v>
      </c>
      <c r="C552" s="149">
        <v>108.0</v>
      </c>
    </row>
    <row r="553">
      <c r="A553" s="2" t="s">
        <v>65</v>
      </c>
      <c r="B553" s="2" t="s">
        <v>53</v>
      </c>
      <c r="C553" s="149">
        <v>1594.0</v>
      </c>
    </row>
    <row r="554">
      <c r="A554" s="2" t="s">
        <v>65</v>
      </c>
      <c r="B554" s="2" t="s">
        <v>26</v>
      </c>
      <c r="C554" s="149">
        <v>1478.0</v>
      </c>
    </row>
    <row r="555">
      <c r="A555" s="2" t="s">
        <v>65</v>
      </c>
      <c r="B555" s="2" t="s">
        <v>28</v>
      </c>
      <c r="C555" s="149">
        <v>1024.0</v>
      </c>
    </row>
    <row r="556">
      <c r="A556" s="2" t="s">
        <v>65</v>
      </c>
      <c r="B556" s="2" t="s">
        <v>55</v>
      </c>
      <c r="C556" s="149">
        <v>2008.0</v>
      </c>
    </row>
    <row r="557">
      <c r="A557" s="2" t="s">
        <v>65</v>
      </c>
      <c r="B557" s="2" t="s">
        <v>48</v>
      </c>
      <c r="C557" s="149">
        <v>408.0</v>
      </c>
    </row>
    <row r="558">
      <c r="A558" s="2" t="s">
        <v>65</v>
      </c>
      <c r="B558" s="2" t="s">
        <v>2035</v>
      </c>
      <c r="C558" s="149">
        <v>2240.0</v>
      </c>
    </row>
    <row r="559">
      <c r="A559" s="2" t="s">
        <v>65</v>
      </c>
      <c r="B559" s="2" t="s">
        <v>59</v>
      </c>
      <c r="C559" s="149">
        <v>1406.0</v>
      </c>
    </row>
    <row r="560">
      <c r="A560" s="2" t="s">
        <v>65</v>
      </c>
      <c r="B560" s="2" t="s">
        <v>44</v>
      </c>
      <c r="C560" s="149">
        <v>490.0</v>
      </c>
    </row>
    <row r="561">
      <c r="A561" s="2" t="s">
        <v>65</v>
      </c>
      <c r="B561" s="2" t="s">
        <v>2036</v>
      </c>
      <c r="C561" s="149">
        <v>2160.0</v>
      </c>
    </row>
    <row r="562">
      <c r="A562" s="2" t="s">
        <v>65</v>
      </c>
      <c r="B562" s="2" t="s">
        <v>2037</v>
      </c>
      <c r="C562" s="149">
        <v>2228.0</v>
      </c>
    </row>
    <row r="563">
      <c r="A563" s="2" t="s">
        <v>36</v>
      </c>
      <c r="B563" s="2" t="s">
        <v>18</v>
      </c>
      <c r="C563" s="149">
        <v>866.0</v>
      </c>
    </row>
    <row r="564">
      <c r="A564" s="2" t="s">
        <v>36</v>
      </c>
      <c r="B564" s="2" t="s">
        <v>49</v>
      </c>
      <c r="C564" s="149">
        <v>2502.0</v>
      </c>
    </row>
    <row r="565">
      <c r="A565" s="2" t="s">
        <v>36</v>
      </c>
      <c r="B565" s="2" t="s">
        <v>22</v>
      </c>
      <c r="C565" s="149">
        <v>1752.0</v>
      </c>
    </row>
    <row r="566">
      <c r="A566" s="2" t="s">
        <v>36</v>
      </c>
      <c r="B566" s="2" t="s">
        <v>27</v>
      </c>
      <c r="C566" s="149">
        <v>1492.0</v>
      </c>
    </row>
    <row r="567">
      <c r="A567" s="2" t="s">
        <v>36</v>
      </c>
      <c r="B567" s="2" t="s">
        <v>35</v>
      </c>
      <c r="C567" s="149">
        <v>14.0</v>
      </c>
    </row>
    <row r="568">
      <c r="A568" s="2" t="s">
        <v>36</v>
      </c>
      <c r="B568" s="2" t="s">
        <v>41</v>
      </c>
      <c r="C568" s="149">
        <v>196.0</v>
      </c>
    </row>
    <row r="569">
      <c r="A569" s="2" t="s">
        <v>36</v>
      </c>
      <c r="B569" s="2" t="s">
        <v>57</v>
      </c>
      <c r="C569" s="149">
        <v>1934.0</v>
      </c>
    </row>
    <row r="570">
      <c r="A570" s="2" t="s">
        <v>36</v>
      </c>
      <c r="B570" s="2" t="s">
        <v>37</v>
      </c>
      <c r="C570" s="149">
        <v>1378.0</v>
      </c>
    </row>
    <row r="571">
      <c r="A571" s="2" t="s">
        <v>36</v>
      </c>
      <c r="B571" s="2" t="s">
        <v>39</v>
      </c>
      <c r="C571" s="149">
        <v>1356.0</v>
      </c>
    </row>
    <row r="572">
      <c r="A572" s="2" t="s">
        <v>36</v>
      </c>
      <c r="B572" s="2" t="s">
        <v>64</v>
      </c>
      <c r="C572" s="149">
        <v>406.0</v>
      </c>
    </row>
    <row r="573">
      <c r="A573" s="2" t="s">
        <v>36</v>
      </c>
      <c r="B573" s="2" t="s">
        <v>65</v>
      </c>
      <c r="C573" s="149">
        <v>520.0</v>
      </c>
    </row>
    <row r="574">
      <c r="A574" s="2" t="s">
        <v>36</v>
      </c>
      <c r="B574" s="2" t="s">
        <v>36</v>
      </c>
      <c r="C574" s="149">
        <v>0.0</v>
      </c>
    </row>
    <row r="575">
      <c r="A575" s="2" t="s">
        <v>36</v>
      </c>
      <c r="B575" s="2" t="s">
        <v>31</v>
      </c>
      <c r="C575" s="149">
        <v>1810.0</v>
      </c>
    </row>
    <row r="576">
      <c r="A576" s="2" t="s">
        <v>36</v>
      </c>
      <c r="B576" s="2" t="s">
        <v>43</v>
      </c>
      <c r="C576" s="149">
        <v>504.0</v>
      </c>
    </row>
    <row r="577">
      <c r="A577" s="2" t="s">
        <v>36</v>
      </c>
      <c r="B577" s="2" t="s">
        <v>40</v>
      </c>
      <c r="C577" s="149">
        <v>1200.0</v>
      </c>
    </row>
    <row r="578">
      <c r="A578" s="2" t="s">
        <v>36</v>
      </c>
      <c r="B578" s="2" t="s">
        <v>50</v>
      </c>
      <c r="C578" s="149">
        <v>2574.0</v>
      </c>
    </row>
    <row r="579">
      <c r="A579" s="2" t="s">
        <v>36</v>
      </c>
      <c r="B579" s="2" t="s">
        <v>51</v>
      </c>
      <c r="C579" s="149">
        <v>1548.0</v>
      </c>
    </row>
    <row r="580">
      <c r="A580" s="2" t="s">
        <v>36</v>
      </c>
      <c r="B580" s="2" t="s">
        <v>23</v>
      </c>
      <c r="C580" s="149">
        <v>1890.0</v>
      </c>
    </row>
    <row r="581">
      <c r="A581" s="2" t="s">
        <v>36</v>
      </c>
      <c r="B581" s="2" t="s">
        <v>47</v>
      </c>
      <c r="C581" s="149">
        <v>816.0</v>
      </c>
    </row>
    <row r="582">
      <c r="A582" s="2" t="s">
        <v>36</v>
      </c>
      <c r="B582" s="2" t="s">
        <v>62</v>
      </c>
      <c r="C582" s="149">
        <v>830.0</v>
      </c>
    </row>
    <row r="583">
      <c r="A583" s="2" t="s">
        <v>36</v>
      </c>
      <c r="B583" s="2" t="s">
        <v>30</v>
      </c>
      <c r="C583" s="149">
        <v>1488.0</v>
      </c>
    </row>
    <row r="584">
      <c r="A584" s="2" t="s">
        <v>36</v>
      </c>
      <c r="B584" s="2" t="s">
        <v>32</v>
      </c>
      <c r="C584" s="149">
        <v>1572.0</v>
      </c>
    </row>
    <row r="585">
      <c r="A585" s="2" t="s">
        <v>36</v>
      </c>
      <c r="B585" s="2" t="s">
        <v>46</v>
      </c>
      <c r="C585" s="149">
        <v>594.0</v>
      </c>
    </row>
    <row r="586">
      <c r="A586" s="2" t="s">
        <v>36</v>
      </c>
      <c r="B586" s="2" t="s">
        <v>54</v>
      </c>
      <c r="C586" s="149">
        <v>2094.0</v>
      </c>
    </row>
    <row r="587">
      <c r="A587" s="2" t="s">
        <v>36</v>
      </c>
      <c r="B587" s="2" t="s">
        <v>34</v>
      </c>
      <c r="C587" s="149">
        <v>1090.0</v>
      </c>
    </row>
    <row r="588">
      <c r="A588" s="2" t="s">
        <v>36</v>
      </c>
      <c r="B588" s="2" t="s">
        <v>20</v>
      </c>
      <c r="C588" s="149">
        <v>1884.0</v>
      </c>
    </row>
    <row r="589">
      <c r="A589" s="2" t="s">
        <v>36</v>
      </c>
      <c r="B589" s="2" t="s">
        <v>24</v>
      </c>
      <c r="C589" s="149">
        <v>1716.0</v>
      </c>
    </row>
    <row r="590">
      <c r="A590" s="2" t="s">
        <v>36</v>
      </c>
      <c r="B590" s="2" t="s">
        <v>63</v>
      </c>
      <c r="C590" s="149">
        <v>1136.0</v>
      </c>
    </row>
    <row r="591">
      <c r="A591" s="2" t="s">
        <v>36</v>
      </c>
      <c r="B591" s="2" t="s">
        <v>58</v>
      </c>
      <c r="C591" s="149">
        <v>2016.0</v>
      </c>
    </row>
    <row r="592">
      <c r="A592" s="2" t="s">
        <v>36</v>
      </c>
      <c r="B592" s="2" t="s">
        <v>42</v>
      </c>
      <c r="C592" s="149">
        <v>350.0</v>
      </c>
    </row>
    <row r="593">
      <c r="A593" s="2" t="s">
        <v>36</v>
      </c>
      <c r="B593" s="2" t="s">
        <v>21</v>
      </c>
      <c r="C593" s="149">
        <v>1862.0</v>
      </c>
    </row>
    <row r="594">
      <c r="A594" s="2" t="s">
        <v>36</v>
      </c>
      <c r="B594" s="2" t="s">
        <v>33</v>
      </c>
      <c r="C594" s="149">
        <v>1596.0</v>
      </c>
    </row>
    <row r="595">
      <c r="A595" s="2" t="s">
        <v>36</v>
      </c>
      <c r="B595" s="2" t="s">
        <v>66</v>
      </c>
      <c r="C595" s="149">
        <v>554.0</v>
      </c>
    </row>
    <row r="596">
      <c r="A596" s="2" t="s">
        <v>36</v>
      </c>
      <c r="B596" s="2" t="s">
        <v>29</v>
      </c>
      <c r="C596" s="149">
        <v>2246.0</v>
      </c>
    </row>
    <row r="597">
      <c r="A597" s="2" t="s">
        <v>36</v>
      </c>
      <c r="B597" s="2" t="s">
        <v>60</v>
      </c>
      <c r="C597" s="149">
        <v>1232.0</v>
      </c>
    </row>
    <row r="598">
      <c r="A598" s="2" t="s">
        <v>36</v>
      </c>
      <c r="B598" s="2" t="s">
        <v>38</v>
      </c>
      <c r="C598" s="149">
        <v>1684.0</v>
      </c>
    </row>
    <row r="599">
      <c r="A599" s="2" t="s">
        <v>36</v>
      </c>
      <c r="B599" s="2" t="s">
        <v>61</v>
      </c>
      <c r="C599" s="149">
        <v>896.0</v>
      </c>
    </row>
    <row r="600">
      <c r="A600" s="2" t="s">
        <v>36</v>
      </c>
      <c r="B600" s="2" t="s">
        <v>52</v>
      </c>
      <c r="C600" s="149">
        <v>1720.0</v>
      </c>
    </row>
    <row r="601">
      <c r="A601" s="2" t="s">
        <v>36</v>
      </c>
      <c r="B601" s="2" t="s">
        <v>25</v>
      </c>
      <c r="C601" s="149">
        <v>1850.0</v>
      </c>
    </row>
    <row r="602">
      <c r="A602" s="2" t="s">
        <v>36</v>
      </c>
      <c r="B602" s="2" t="s">
        <v>67</v>
      </c>
      <c r="C602" s="149">
        <v>1944.0</v>
      </c>
    </row>
    <row r="603">
      <c r="A603" s="2" t="s">
        <v>36</v>
      </c>
      <c r="B603" s="2" t="s">
        <v>45</v>
      </c>
      <c r="C603" s="149">
        <v>594.0</v>
      </c>
    </row>
    <row r="604">
      <c r="A604" s="2" t="s">
        <v>36</v>
      </c>
      <c r="B604" s="2" t="s">
        <v>53</v>
      </c>
      <c r="C604" s="149">
        <v>2078.0</v>
      </c>
    </row>
    <row r="605">
      <c r="A605" s="2" t="s">
        <v>36</v>
      </c>
      <c r="B605" s="2" t="s">
        <v>26</v>
      </c>
      <c r="C605" s="149">
        <v>1978.0</v>
      </c>
    </row>
    <row r="606">
      <c r="A606" s="2" t="s">
        <v>36</v>
      </c>
      <c r="B606" s="2" t="s">
        <v>28</v>
      </c>
      <c r="C606" s="149">
        <v>1524.0</v>
      </c>
    </row>
    <row r="607">
      <c r="A607" s="2" t="s">
        <v>36</v>
      </c>
      <c r="B607" s="2" t="s">
        <v>55</v>
      </c>
      <c r="C607" s="149">
        <v>2508.0</v>
      </c>
    </row>
    <row r="608">
      <c r="A608" s="2" t="s">
        <v>36</v>
      </c>
      <c r="B608" s="2" t="s">
        <v>48</v>
      </c>
      <c r="C608" s="149">
        <v>894.0</v>
      </c>
    </row>
    <row r="609">
      <c r="A609" s="2" t="s">
        <v>36</v>
      </c>
      <c r="B609" s="2" t="s">
        <v>2035</v>
      </c>
      <c r="C609" s="149">
        <v>2740.0</v>
      </c>
    </row>
    <row r="610">
      <c r="A610" s="2" t="s">
        <v>36</v>
      </c>
      <c r="B610" s="2" t="s">
        <v>59</v>
      </c>
      <c r="C610" s="149">
        <v>1874.0</v>
      </c>
    </row>
    <row r="611">
      <c r="A611" s="2" t="s">
        <v>36</v>
      </c>
      <c r="B611" s="2" t="s">
        <v>44</v>
      </c>
      <c r="C611" s="149">
        <v>764.0</v>
      </c>
    </row>
    <row r="612">
      <c r="A612" s="2" t="s">
        <v>36</v>
      </c>
      <c r="B612" s="2" t="s">
        <v>2036</v>
      </c>
      <c r="C612" s="149">
        <v>2650.0</v>
      </c>
    </row>
    <row r="613">
      <c r="A613" s="2" t="s">
        <v>36</v>
      </c>
      <c r="B613" s="2" t="s">
        <v>2037</v>
      </c>
      <c r="C613" s="149">
        <v>2720.0</v>
      </c>
    </row>
    <row r="614">
      <c r="A614" s="2" t="s">
        <v>31</v>
      </c>
      <c r="B614" s="2" t="s">
        <v>18</v>
      </c>
      <c r="C614" s="149">
        <v>1110.0</v>
      </c>
    </row>
    <row r="615">
      <c r="A615" s="2" t="s">
        <v>31</v>
      </c>
      <c r="B615" s="2" t="s">
        <v>49</v>
      </c>
      <c r="C615" s="149">
        <v>2306.0</v>
      </c>
    </row>
    <row r="616">
      <c r="A616" s="2" t="s">
        <v>31</v>
      </c>
      <c r="B616" s="2" t="s">
        <v>22</v>
      </c>
      <c r="C616" s="149">
        <v>1690.0</v>
      </c>
    </row>
    <row r="617">
      <c r="A617" s="2" t="s">
        <v>31</v>
      </c>
      <c r="B617" s="2" t="s">
        <v>27</v>
      </c>
      <c r="C617" s="149">
        <v>626.0</v>
      </c>
    </row>
    <row r="618">
      <c r="A618" s="2" t="s">
        <v>31</v>
      </c>
      <c r="B618" s="2" t="s">
        <v>35</v>
      </c>
      <c r="C618" s="149">
        <v>1820.0</v>
      </c>
    </row>
    <row r="619">
      <c r="A619" s="2" t="s">
        <v>31</v>
      </c>
      <c r="B619" s="2" t="s">
        <v>41</v>
      </c>
      <c r="C619" s="149">
        <v>1686.0</v>
      </c>
    </row>
    <row r="620">
      <c r="A620" s="2" t="s">
        <v>31</v>
      </c>
      <c r="B620" s="2" t="s">
        <v>57</v>
      </c>
      <c r="C620" s="149">
        <v>280.0</v>
      </c>
    </row>
    <row r="621">
      <c r="A621" s="2" t="s">
        <v>31</v>
      </c>
      <c r="B621" s="2" t="s">
        <v>37</v>
      </c>
      <c r="C621" s="149">
        <v>854.0</v>
      </c>
    </row>
    <row r="622">
      <c r="A622" s="2" t="s">
        <v>31</v>
      </c>
      <c r="B622" s="2" t="s">
        <v>39</v>
      </c>
      <c r="C622" s="149">
        <v>922.0</v>
      </c>
    </row>
    <row r="623">
      <c r="A623" s="2" t="s">
        <v>31</v>
      </c>
      <c r="B623" s="2" t="s">
        <v>64</v>
      </c>
      <c r="C623" s="149">
        <v>1452.0</v>
      </c>
    </row>
    <row r="624">
      <c r="A624" s="2" t="s">
        <v>31</v>
      </c>
      <c r="B624" s="2" t="s">
        <v>65</v>
      </c>
      <c r="C624" s="149">
        <v>1326.0</v>
      </c>
    </row>
    <row r="625">
      <c r="A625" s="2" t="s">
        <v>31</v>
      </c>
      <c r="B625" s="2" t="s">
        <v>36</v>
      </c>
      <c r="C625" s="149">
        <v>1810.0</v>
      </c>
    </row>
    <row r="626">
      <c r="A626" s="2" t="s">
        <v>31</v>
      </c>
      <c r="B626" s="2" t="s">
        <v>31</v>
      </c>
      <c r="C626" s="149">
        <v>0.0</v>
      </c>
    </row>
    <row r="627">
      <c r="A627" s="2" t="s">
        <v>31</v>
      </c>
      <c r="B627" s="2" t="s">
        <v>43</v>
      </c>
      <c r="C627" s="149">
        <v>1478.0</v>
      </c>
    </row>
    <row r="628">
      <c r="A628" s="2" t="s">
        <v>31</v>
      </c>
      <c r="B628" s="2" t="s">
        <v>40</v>
      </c>
      <c r="C628" s="149">
        <v>886.0</v>
      </c>
    </row>
    <row r="629">
      <c r="A629" s="2" t="s">
        <v>31</v>
      </c>
      <c r="B629" s="2" t="s">
        <v>50</v>
      </c>
      <c r="C629" s="149">
        <v>2624.0</v>
      </c>
    </row>
    <row r="630">
      <c r="A630" s="2" t="s">
        <v>31</v>
      </c>
      <c r="B630" s="2" t="s">
        <v>51</v>
      </c>
      <c r="C630" s="149">
        <v>478.0</v>
      </c>
    </row>
    <row r="631">
      <c r="A631" s="2" t="s">
        <v>31</v>
      </c>
      <c r="B631" s="2" t="s">
        <v>23</v>
      </c>
      <c r="C631" s="149">
        <v>1940.0</v>
      </c>
    </row>
    <row r="632">
      <c r="A632" s="2" t="s">
        <v>31</v>
      </c>
      <c r="B632" s="2" t="s">
        <v>47</v>
      </c>
      <c r="C632" s="149">
        <v>1000.0</v>
      </c>
    </row>
    <row r="633">
      <c r="A633" s="2" t="s">
        <v>31</v>
      </c>
      <c r="B633" s="2" t="s">
        <v>62</v>
      </c>
      <c r="C633" s="149">
        <v>1064.0</v>
      </c>
    </row>
    <row r="634">
      <c r="A634" s="2" t="s">
        <v>31</v>
      </c>
      <c r="B634" s="2" t="s">
        <v>30</v>
      </c>
      <c r="C634" s="149">
        <v>386.0</v>
      </c>
    </row>
    <row r="635">
      <c r="A635" s="2" t="s">
        <v>31</v>
      </c>
      <c r="B635" s="2" t="s">
        <v>32</v>
      </c>
      <c r="C635" s="149">
        <v>248.0</v>
      </c>
    </row>
    <row r="636">
      <c r="A636" s="2" t="s">
        <v>31</v>
      </c>
      <c r="B636" s="2" t="s">
        <v>46</v>
      </c>
      <c r="C636" s="149">
        <v>1202.0</v>
      </c>
    </row>
    <row r="637">
      <c r="A637" s="2" t="s">
        <v>31</v>
      </c>
      <c r="B637" s="2" t="s">
        <v>54</v>
      </c>
      <c r="C637" s="149">
        <v>2144.0</v>
      </c>
    </row>
    <row r="638">
      <c r="A638" s="2" t="s">
        <v>31</v>
      </c>
      <c r="B638" s="2" t="s">
        <v>34</v>
      </c>
      <c r="C638" s="149">
        <v>1200.0</v>
      </c>
    </row>
    <row r="639">
      <c r="A639" s="2" t="s">
        <v>31</v>
      </c>
      <c r="B639" s="2" t="s">
        <v>20</v>
      </c>
      <c r="C639" s="149">
        <v>1822.0</v>
      </c>
    </row>
    <row r="640">
      <c r="A640" s="2" t="s">
        <v>31</v>
      </c>
      <c r="B640" s="2" t="s">
        <v>24</v>
      </c>
      <c r="C640" s="149">
        <v>332.0</v>
      </c>
    </row>
    <row r="641">
      <c r="A641" s="2" t="s">
        <v>31</v>
      </c>
      <c r="B641" s="2" t="s">
        <v>63</v>
      </c>
      <c r="C641" s="149">
        <v>676.0</v>
      </c>
    </row>
    <row r="642">
      <c r="A642" s="2" t="s">
        <v>31</v>
      </c>
      <c r="B642" s="2" t="s">
        <v>58</v>
      </c>
      <c r="C642" s="149">
        <v>322.0</v>
      </c>
    </row>
    <row r="643">
      <c r="A643" s="2" t="s">
        <v>31</v>
      </c>
      <c r="B643" s="2" t="s">
        <v>42</v>
      </c>
      <c r="C643" s="149">
        <v>1494.0</v>
      </c>
    </row>
    <row r="644">
      <c r="A644" s="2" t="s">
        <v>31</v>
      </c>
      <c r="B644" s="2" t="s">
        <v>21</v>
      </c>
      <c r="C644" s="149">
        <v>1912.0</v>
      </c>
    </row>
    <row r="645">
      <c r="A645" s="2" t="s">
        <v>31</v>
      </c>
      <c r="B645" s="2" t="s">
        <v>33</v>
      </c>
      <c r="C645" s="149">
        <v>1282.0</v>
      </c>
    </row>
    <row r="646">
      <c r="A646" s="2" t="s">
        <v>31</v>
      </c>
      <c r="B646" s="2" t="s">
        <v>66</v>
      </c>
      <c r="C646" s="149">
        <v>1850.0</v>
      </c>
    </row>
    <row r="647">
      <c r="A647" s="2" t="s">
        <v>31</v>
      </c>
      <c r="B647" s="2" t="s">
        <v>29</v>
      </c>
      <c r="C647" s="149">
        <v>1642.0</v>
      </c>
    </row>
    <row r="648">
      <c r="A648" s="2" t="s">
        <v>31</v>
      </c>
      <c r="B648" s="2" t="s">
        <v>60</v>
      </c>
      <c r="C648" s="149">
        <v>1328.0</v>
      </c>
    </row>
    <row r="649">
      <c r="A649" s="2" t="s">
        <v>31</v>
      </c>
      <c r="B649" s="2" t="s">
        <v>38</v>
      </c>
      <c r="C649" s="149">
        <v>1080.0</v>
      </c>
    </row>
    <row r="650">
      <c r="A650" s="2" t="s">
        <v>31</v>
      </c>
      <c r="B650" s="2" t="s">
        <v>61</v>
      </c>
      <c r="C650" s="149">
        <v>1004.0</v>
      </c>
    </row>
    <row r="651">
      <c r="A651" s="2" t="s">
        <v>31</v>
      </c>
      <c r="B651" s="2" t="s">
        <v>52</v>
      </c>
      <c r="C651" s="149">
        <v>300.0</v>
      </c>
    </row>
    <row r="652">
      <c r="A652" s="2" t="s">
        <v>31</v>
      </c>
      <c r="B652" s="2" t="s">
        <v>25</v>
      </c>
      <c r="C652" s="149">
        <v>230.0</v>
      </c>
    </row>
    <row r="653">
      <c r="A653" s="2" t="s">
        <v>31</v>
      </c>
      <c r="B653" s="2" t="s">
        <v>67</v>
      </c>
      <c r="C653" s="149">
        <v>734.0</v>
      </c>
    </row>
    <row r="654">
      <c r="A654" s="2" t="s">
        <v>31</v>
      </c>
      <c r="B654" s="2" t="s">
        <v>45</v>
      </c>
      <c r="C654" s="149">
        <v>1202.0</v>
      </c>
    </row>
    <row r="655">
      <c r="A655" s="2" t="s">
        <v>31</v>
      </c>
      <c r="B655" s="2" t="s">
        <v>53</v>
      </c>
      <c r="C655" s="149">
        <v>362.0</v>
      </c>
    </row>
    <row r="656">
      <c r="A656" s="2" t="s">
        <v>31</v>
      </c>
      <c r="B656" s="2" t="s">
        <v>26</v>
      </c>
      <c r="C656" s="149">
        <v>328.0</v>
      </c>
    </row>
    <row r="657">
      <c r="A657" s="2" t="s">
        <v>31</v>
      </c>
      <c r="B657" s="2" t="s">
        <v>28</v>
      </c>
      <c r="C657" s="149">
        <v>720.0</v>
      </c>
    </row>
    <row r="658">
      <c r="A658" s="2" t="s">
        <v>31</v>
      </c>
      <c r="B658" s="2" t="s">
        <v>55</v>
      </c>
      <c r="C658" s="149">
        <v>2558.0</v>
      </c>
    </row>
    <row r="659">
      <c r="A659" s="2" t="s">
        <v>31</v>
      </c>
      <c r="B659" s="2" t="s">
        <v>48</v>
      </c>
      <c r="C659" s="149">
        <v>920.0</v>
      </c>
    </row>
    <row r="660">
      <c r="A660" s="2" t="s">
        <v>31</v>
      </c>
      <c r="B660" s="2" t="s">
        <v>2035</v>
      </c>
      <c r="C660" s="149">
        <v>2790.0</v>
      </c>
    </row>
    <row r="661">
      <c r="A661" s="2" t="s">
        <v>31</v>
      </c>
      <c r="B661" s="2" t="s">
        <v>59</v>
      </c>
      <c r="C661" s="149">
        <v>220.0</v>
      </c>
    </row>
    <row r="662">
      <c r="A662" s="2" t="s">
        <v>31</v>
      </c>
      <c r="B662" s="2" t="s">
        <v>44</v>
      </c>
      <c r="C662" s="149">
        <v>1258.0</v>
      </c>
    </row>
    <row r="663">
      <c r="A663" s="2" t="s">
        <v>31</v>
      </c>
      <c r="B663" s="2" t="s">
        <v>2036</v>
      </c>
      <c r="C663" s="149">
        <v>2716.0</v>
      </c>
    </row>
    <row r="664">
      <c r="A664" s="2" t="s">
        <v>31</v>
      </c>
      <c r="B664" s="2" t="s">
        <v>2037</v>
      </c>
      <c r="C664" s="149">
        <v>2750.0</v>
      </c>
    </row>
    <row r="665">
      <c r="A665" s="2" t="s">
        <v>43</v>
      </c>
      <c r="B665" s="2" t="s">
        <v>18</v>
      </c>
      <c r="C665" s="149">
        <v>422.0</v>
      </c>
    </row>
    <row r="666">
      <c r="A666" s="2" t="s">
        <v>43</v>
      </c>
      <c r="B666" s="2" t="s">
        <v>49</v>
      </c>
      <c r="C666" s="149">
        <v>2216.0</v>
      </c>
    </row>
    <row r="667">
      <c r="A667" s="2" t="s">
        <v>43</v>
      </c>
      <c r="B667" s="2" t="s">
        <v>22</v>
      </c>
      <c r="C667" s="149">
        <v>1464.0</v>
      </c>
    </row>
    <row r="668">
      <c r="A668" s="2" t="s">
        <v>43</v>
      </c>
      <c r="B668" s="2" t="s">
        <v>27</v>
      </c>
      <c r="C668" s="149">
        <v>1204.0</v>
      </c>
    </row>
    <row r="669">
      <c r="A669" s="2" t="s">
        <v>43</v>
      </c>
      <c r="B669" s="2" t="s">
        <v>35</v>
      </c>
      <c r="C669" s="149">
        <v>514.0</v>
      </c>
    </row>
    <row r="670">
      <c r="A670" s="2" t="s">
        <v>43</v>
      </c>
      <c r="B670" s="2" t="s">
        <v>41</v>
      </c>
      <c r="C670" s="149">
        <v>320.0</v>
      </c>
    </row>
    <row r="671">
      <c r="A671" s="2" t="s">
        <v>43</v>
      </c>
      <c r="B671" s="2" t="s">
        <v>57</v>
      </c>
      <c r="C671" s="149">
        <v>1648.0</v>
      </c>
    </row>
    <row r="672">
      <c r="A672" s="2" t="s">
        <v>43</v>
      </c>
      <c r="B672" s="2" t="s">
        <v>37</v>
      </c>
      <c r="C672" s="149">
        <v>1090.0</v>
      </c>
    </row>
    <row r="673">
      <c r="A673" s="2" t="s">
        <v>43</v>
      </c>
      <c r="B673" s="2" t="s">
        <v>39</v>
      </c>
      <c r="C673" s="149">
        <v>1068.0</v>
      </c>
    </row>
    <row r="674">
      <c r="A674" s="2" t="s">
        <v>43</v>
      </c>
      <c r="B674" s="2" t="s">
        <v>64</v>
      </c>
      <c r="C674" s="149">
        <v>106.0</v>
      </c>
    </row>
    <row r="675">
      <c r="A675" s="2" t="s">
        <v>43</v>
      </c>
      <c r="B675" s="2" t="s">
        <v>65</v>
      </c>
      <c r="C675" s="149">
        <v>216.0</v>
      </c>
    </row>
    <row r="676">
      <c r="A676" s="2" t="s">
        <v>43</v>
      </c>
      <c r="B676" s="2" t="s">
        <v>36</v>
      </c>
      <c r="C676" s="149">
        <v>504.0</v>
      </c>
    </row>
    <row r="677">
      <c r="A677" s="2" t="s">
        <v>43</v>
      </c>
      <c r="B677" s="2" t="s">
        <v>31</v>
      </c>
      <c r="C677" s="149">
        <v>1478.0</v>
      </c>
    </row>
    <row r="678">
      <c r="A678" s="2" t="s">
        <v>43</v>
      </c>
      <c r="B678" s="2" t="s">
        <v>43</v>
      </c>
      <c r="C678" s="149">
        <v>0.0</v>
      </c>
    </row>
    <row r="679">
      <c r="A679" s="2" t="s">
        <v>43</v>
      </c>
      <c r="B679" s="2" t="s">
        <v>40</v>
      </c>
      <c r="C679" s="149">
        <v>886.0</v>
      </c>
    </row>
    <row r="680">
      <c r="A680" s="2" t="s">
        <v>43</v>
      </c>
      <c r="B680" s="2" t="s">
        <v>50</v>
      </c>
      <c r="C680" s="149">
        <v>2260.0</v>
      </c>
    </row>
    <row r="681">
      <c r="A681" s="2" t="s">
        <v>43</v>
      </c>
      <c r="B681" s="2" t="s">
        <v>51</v>
      </c>
      <c r="C681" s="149">
        <v>1234.0</v>
      </c>
    </row>
    <row r="682">
      <c r="A682" s="2" t="s">
        <v>43</v>
      </c>
      <c r="B682" s="2" t="s">
        <v>23</v>
      </c>
      <c r="C682" s="149">
        <v>1576.0</v>
      </c>
    </row>
    <row r="683">
      <c r="A683" s="2" t="s">
        <v>43</v>
      </c>
      <c r="B683" s="2" t="s">
        <v>47</v>
      </c>
      <c r="C683" s="149">
        <v>508.0</v>
      </c>
    </row>
    <row r="684">
      <c r="A684" s="2" t="s">
        <v>43</v>
      </c>
      <c r="B684" s="2" t="s">
        <v>62</v>
      </c>
      <c r="C684" s="149">
        <v>510.0</v>
      </c>
    </row>
    <row r="685">
      <c r="A685" s="2" t="s">
        <v>43</v>
      </c>
      <c r="B685" s="2" t="s">
        <v>30</v>
      </c>
      <c r="C685" s="149">
        <v>1182.0</v>
      </c>
    </row>
    <row r="686">
      <c r="A686" s="2" t="s">
        <v>43</v>
      </c>
      <c r="B686" s="2" t="s">
        <v>32</v>
      </c>
      <c r="C686" s="149">
        <v>1266.0</v>
      </c>
    </row>
    <row r="687">
      <c r="A687" s="2" t="s">
        <v>43</v>
      </c>
      <c r="B687" s="2" t="s">
        <v>46</v>
      </c>
      <c r="C687" s="149">
        <v>286.0</v>
      </c>
    </row>
    <row r="688">
      <c r="A688" s="2" t="s">
        <v>43</v>
      </c>
      <c r="B688" s="2" t="s">
        <v>54</v>
      </c>
      <c r="C688" s="149">
        <v>1780.0</v>
      </c>
    </row>
    <row r="689">
      <c r="A689" s="2" t="s">
        <v>43</v>
      </c>
      <c r="B689" s="2" t="s">
        <v>34</v>
      </c>
      <c r="C689" s="149">
        <v>778.0</v>
      </c>
    </row>
    <row r="690">
      <c r="A690" s="2" t="s">
        <v>43</v>
      </c>
      <c r="B690" s="2" t="s">
        <v>20</v>
      </c>
      <c r="C690" s="149">
        <v>1570.0</v>
      </c>
    </row>
    <row r="691">
      <c r="A691" s="2" t="s">
        <v>43</v>
      </c>
      <c r="B691" s="2" t="s">
        <v>24</v>
      </c>
      <c r="C691" s="149">
        <v>1402.0</v>
      </c>
    </row>
    <row r="692">
      <c r="A692" s="2" t="s">
        <v>43</v>
      </c>
      <c r="B692" s="2" t="s">
        <v>63</v>
      </c>
      <c r="C692" s="149">
        <v>830.0</v>
      </c>
    </row>
    <row r="693">
      <c r="A693" s="2" t="s">
        <v>43</v>
      </c>
      <c r="B693" s="2" t="s">
        <v>58</v>
      </c>
      <c r="C693" s="149">
        <v>1702.0</v>
      </c>
    </row>
    <row r="694">
      <c r="A694" s="2" t="s">
        <v>43</v>
      </c>
      <c r="B694" s="2" t="s">
        <v>42</v>
      </c>
      <c r="C694" s="149">
        <v>208.0</v>
      </c>
    </row>
    <row r="695">
      <c r="A695" s="2" t="s">
        <v>43</v>
      </c>
      <c r="B695" s="2" t="s">
        <v>21</v>
      </c>
      <c r="C695" s="149">
        <v>1550.0</v>
      </c>
    </row>
    <row r="696">
      <c r="A696" s="2" t="s">
        <v>43</v>
      </c>
      <c r="B696" s="2" t="s">
        <v>33</v>
      </c>
      <c r="C696" s="149">
        <v>1282.0</v>
      </c>
    </row>
    <row r="697">
      <c r="A697" s="2" t="s">
        <v>43</v>
      </c>
      <c r="B697" s="2" t="s">
        <v>66</v>
      </c>
      <c r="C697" s="149">
        <v>380.0</v>
      </c>
    </row>
    <row r="698">
      <c r="A698" s="2" t="s">
        <v>43</v>
      </c>
      <c r="B698" s="2" t="s">
        <v>29</v>
      </c>
      <c r="C698" s="149">
        <v>1932.0</v>
      </c>
    </row>
    <row r="699">
      <c r="A699" s="2" t="s">
        <v>43</v>
      </c>
      <c r="B699" s="2" t="s">
        <v>60</v>
      </c>
      <c r="C699" s="149">
        <v>920.0</v>
      </c>
    </row>
    <row r="700">
      <c r="A700" s="2" t="s">
        <v>43</v>
      </c>
      <c r="B700" s="2" t="s">
        <v>38</v>
      </c>
      <c r="C700" s="149">
        <v>1370.0</v>
      </c>
    </row>
    <row r="701">
      <c r="A701" s="2" t="s">
        <v>43</v>
      </c>
      <c r="B701" s="2" t="s">
        <v>61</v>
      </c>
      <c r="C701" s="149">
        <v>582.0</v>
      </c>
    </row>
    <row r="702">
      <c r="A702" s="2" t="s">
        <v>43</v>
      </c>
      <c r="B702" s="2" t="s">
        <v>52</v>
      </c>
      <c r="C702" s="149">
        <v>1408.0</v>
      </c>
    </row>
    <row r="703">
      <c r="A703" s="2" t="s">
        <v>43</v>
      </c>
      <c r="B703" s="2" t="s">
        <v>25</v>
      </c>
      <c r="C703" s="149">
        <v>1536.0</v>
      </c>
    </row>
    <row r="704">
      <c r="A704" s="2" t="s">
        <v>43</v>
      </c>
      <c r="B704" s="2" t="s">
        <v>67</v>
      </c>
      <c r="C704" s="149">
        <v>1630.0</v>
      </c>
    </row>
    <row r="705">
      <c r="A705" s="2" t="s">
        <v>43</v>
      </c>
      <c r="B705" s="2" t="s">
        <v>45</v>
      </c>
      <c r="C705" s="149">
        <v>286.0</v>
      </c>
    </row>
    <row r="706">
      <c r="A706" s="2" t="s">
        <v>43</v>
      </c>
      <c r="B706" s="2" t="s">
        <v>53</v>
      </c>
      <c r="C706" s="149">
        <v>1772.0</v>
      </c>
    </row>
    <row r="707">
      <c r="A707" s="2" t="s">
        <v>43</v>
      </c>
      <c r="B707" s="2" t="s">
        <v>26</v>
      </c>
      <c r="C707" s="149">
        <v>1664.0</v>
      </c>
    </row>
    <row r="708">
      <c r="A708" s="2" t="s">
        <v>43</v>
      </c>
      <c r="B708" s="2" t="s">
        <v>28</v>
      </c>
      <c r="C708" s="149">
        <v>1210.0</v>
      </c>
    </row>
    <row r="709">
      <c r="A709" s="2" t="s">
        <v>43</v>
      </c>
      <c r="B709" s="2" t="s">
        <v>55</v>
      </c>
      <c r="C709" s="149">
        <v>2194.0</v>
      </c>
    </row>
    <row r="710">
      <c r="A710" s="2" t="s">
        <v>43</v>
      </c>
      <c r="B710" s="2" t="s">
        <v>48</v>
      </c>
      <c r="C710" s="149">
        <v>586.0</v>
      </c>
    </row>
    <row r="711">
      <c r="A711" s="2" t="s">
        <v>43</v>
      </c>
      <c r="B711" s="2" t="s">
        <v>2035</v>
      </c>
      <c r="C711" s="149">
        <v>2426.0</v>
      </c>
    </row>
    <row r="712">
      <c r="A712" s="2" t="s">
        <v>43</v>
      </c>
      <c r="B712" s="2" t="s">
        <v>59</v>
      </c>
      <c r="C712" s="149">
        <v>1586.0</v>
      </c>
    </row>
    <row r="713">
      <c r="A713" s="2" t="s">
        <v>43</v>
      </c>
      <c r="B713" s="2" t="s">
        <v>44</v>
      </c>
      <c r="C713" s="149">
        <v>282.0</v>
      </c>
    </row>
    <row r="714">
      <c r="A714" s="2" t="s">
        <v>43</v>
      </c>
      <c r="B714" s="2" t="s">
        <v>2036</v>
      </c>
      <c r="C714" s="149">
        <v>2336.0</v>
      </c>
    </row>
    <row r="715">
      <c r="A715" s="2" t="s">
        <v>43</v>
      </c>
      <c r="B715" s="2" t="s">
        <v>2037</v>
      </c>
      <c r="C715" s="149">
        <v>2406.0</v>
      </c>
    </row>
    <row r="716">
      <c r="A716" s="2" t="s">
        <v>40</v>
      </c>
      <c r="B716" s="2" t="s">
        <v>18</v>
      </c>
      <c r="C716" s="149">
        <v>468.0</v>
      </c>
    </row>
    <row r="717">
      <c r="A717" s="2" t="s">
        <v>40</v>
      </c>
      <c r="B717" s="2" t="s">
        <v>49</v>
      </c>
      <c r="C717" s="149">
        <v>1412.0</v>
      </c>
    </row>
    <row r="718">
      <c r="A718" s="2" t="s">
        <v>40</v>
      </c>
      <c r="B718" s="2" t="s">
        <v>22</v>
      </c>
      <c r="C718" s="149">
        <v>796.0</v>
      </c>
    </row>
    <row r="719">
      <c r="A719" s="2" t="s">
        <v>40</v>
      </c>
      <c r="B719" s="2" t="s">
        <v>27</v>
      </c>
      <c r="C719" s="149">
        <v>500.0</v>
      </c>
    </row>
    <row r="720">
      <c r="A720" s="2" t="s">
        <v>40</v>
      </c>
      <c r="B720" s="2" t="s">
        <v>35</v>
      </c>
      <c r="C720" s="149">
        <v>1208.0</v>
      </c>
    </row>
    <row r="721">
      <c r="A721" s="2" t="s">
        <v>40</v>
      </c>
      <c r="B721" s="2" t="s">
        <v>41</v>
      </c>
      <c r="C721" s="149">
        <v>1076.0</v>
      </c>
    </row>
    <row r="722">
      <c r="A722" s="2" t="s">
        <v>40</v>
      </c>
      <c r="B722" s="2" t="s">
        <v>57</v>
      </c>
      <c r="C722" s="149">
        <v>1010.0</v>
      </c>
    </row>
    <row r="723">
      <c r="A723" s="2" t="s">
        <v>40</v>
      </c>
      <c r="B723" s="2" t="s">
        <v>37</v>
      </c>
      <c r="C723" s="149">
        <v>302.0</v>
      </c>
    </row>
    <row r="724">
      <c r="A724" s="2" t="s">
        <v>40</v>
      </c>
      <c r="B724" s="2" t="s">
        <v>39</v>
      </c>
      <c r="C724" s="149">
        <v>210.0</v>
      </c>
    </row>
    <row r="725">
      <c r="A725" s="2" t="s">
        <v>40</v>
      </c>
      <c r="B725" s="2" t="s">
        <v>64</v>
      </c>
      <c r="C725" s="149">
        <v>840.0</v>
      </c>
    </row>
    <row r="726">
      <c r="A726" s="2" t="s">
        <v>40</v>
      </c>
      <c r="B726" s="2" t="s">
        <v>65</v>
      </c>
      <c r="C726" s="149">
        <v>700.0</v>
      </c>
    </row>
    <row r="727">
      <c r="A727" s="2" t="s">
        <v>40</v>
      </c>
      <c r="B727" s="2" t="s">
        <v>36</v>
      </c>
      <c r="C727" s="149">
        <v>1200.0</v>
      </c>
    </row>
    <row r="728">
      <c r="A728" s="2" t="s">
        <v>40</v>
      </c>
      <c r="B728" s="2" t="s">
        <v>31</v>
      </c>
      <c r="C728" s="149">
        <v>886.0</v>
      </c>
    </row>
    <row r="729">
      <c r="A729" s="2" t="s">
        <v>40</v>
      </c>
      <c r="B729" s="2" t="s">
        <v>43</v>
      </c>
      <c r="C729" s="149">
        <v>886.0</v>
      </c>
    </row>
    <row r="730">
      <c r="A730" s="2" t="s">
        <v>40</v>
      </c>
      <c r="B730" s="2" t="s">
        <v>40</v>
      </c>
      <c r="C730" s="149">
        <v>0.0</v>
      </c>
    </row>
    <row r="731">
      <c r="A731" s="2" t="s">
        <v>40</v>
      </c>
      <c r="B731" s="2" t="s">
        <v>50</v>
      </c>
      <c r="C731" s="149">
        <v>1736.0</v>
      </c>
    </row>
    <row r="732">
      <c r="A732" s="2" t="s">
        <v>40</v>
      </c>
      <c r="B732" s="2" t="s">
        <v>51</v>
      </c>
      <c r="C732" s="149">
        <v>596.0</v>
      </c>
    </row>
    <row r="733">
      <c r="A733" s="2" t="s">
        <v>40</v>
      </c>
      <c r="B733" s="2" t="s">
        <v>23</v>
      </c>
      <c r="C733" s="149">
        <v>1052.0</v>
      </c>
    </row>
    <row r="734">
      <c r="A734" s="2" t="s">
        <v>40</v>
      </c>
      <c r="B734" s="2" t="s">
        <v>47</v>
      </c>
      <c r="C734" s="149">
        <v>556.0</v>
      </c>
    </row>
    <row r="735">
      <c r="A735" s="2" t="s">
        <v>40</v>
      </c>
      <c r="B735" s="2" t="s">
        <v>62</v>
      </c>
      <c r="C735" s="149">
        <v>422.0</v>
      </c>
    </row>
    <row r="736">
      <c r="A736" s="2" t="s">
        <v>40</v>
      </c>
      <c r="B736" s="2" t="s">
        <v>30</v>
      </c>
      <c r="C736" s="149">
        <v>578.0</v>
      </c>
    </row>
    <row r="737">
      <c r="A737" s="2" t="s">
        <v>40</v>
      </c>
      <c r="B737" s="2" t="s">
        <v>32</v>
      </c>
      <c r="C737" s="149">
        <v>662.0</v>
      </c>
    </row>
    <row r="738">
      <c r="A738" s="2" t="s">
        <v>40</v>
      </c>
      <c r="B738" s="2" t="s">
        <v>46</v>
      </c>
      <c r="C738" s="149">
        <v>600.0</v>
      </c>
    </row>
    <row r="739">
      <c r="A739" s="2" t="s">
        <v>40</v>
      </c>
      <c r="B739" s="2" t="s">
        <v>54</v>
      </c>
      <c r="C739" s="149">
        <v>1258.0</v>
      </c>
    </row>
    <row r="740">
      <c r="A740" s="2" t="s">
        <v>40</v>
      </c>
      <c r="B740" s="2" t="s">
        <v>34</v>
      </c>
      <c r="C740" s="149">
        <v>560.0</v>
      </c>
    </row>
    <row r="741">
      <c r="A741" s="2" t="s">
        <v>40</v>
      </c>
      <c r="B741" s="2" t="s">
        <v>20</v>
      </c>
      <c r="C741" s="149">
        <v>936.0</v>
      </c>
    </row>
    <row r="742">
      <c r="A742" s="2" t="s">
        <v>40</v>
      </c>
      <c r="B742" s="2" t="s">
        <v>24</v>
      </c>
      <c r="C742" s="149">
        <v>762.0</v>
      </c>
    </row>
    <row r="743">
      <c r="A743" s="2" t="s">
        <v>40</v>
      </c>
      <c r="B743" s="2" t="s">
        <v>63</v>
      </c>
      <c r="C743" s="149">
        <v>286.0</v>
      </c>
    </row>
    <row r="744">
      <c r="A744" s="2" t="s">
        <v>40</v>
      </c>
      <c r="B744" s="2" t="s">
        <v>58</v>
      </c>
      <c r="C744" s="149">
        <v>1062.0</v>
      </c>
    </row>
    <row r="745">
      <c r="A745" s="2" t="s">
        <v>40</v>
      </c>
      <c r="B745" s="2" t="s">
        <v>42</v>
      </c>
      <c r="C745" s="149">
        <v>892.0</v>
      </c>
    </row>
    <row r="746">
      <c r="A746" s="2" t="s">
        <v>40</v>
      </c>
      <c r="B746" s="2" t="s">
        <v>21</v>
      </c>
      <c r="C746" s="149">
        <v>1026.0</v>
      </c>
    </row>
    <row r="747">
      <c r="A747" s="2" t="s">
        <v>40</v>
      </c>
      <c r="B747" s="2" t="s">
        <v>33</v>
      </c>
      <c r="C747" s="149">
        <v>396.0</v>
      </c>
    </row>
    <row r="748">
      <c r="A748" s="2" t="s">
        <v>40</v>
      </c>
      <c r="B748" s="2" t="s">
        <v>66</v>
      </c>
      <c r="C748" s="149">
        <v>1210.0</v>
      </c>
    </row>
    <row r="749">
      <c r="A749" s="2" t="s">
        <v>40</v>
      </c>
      <c r="B749" s="2" t="s">
        <v>29</v>
      </c>
      <c r="C749" s="149">
        <v>1138.0</v>
      </c>
    </row>
    <row r="750">
      <c r="A750" s="2" t="s">
        <v>40</v>
      </c>
      <c r="B750" s="2" t="s">
        <v>60</v>
      </c>
      <c r="C750" s="149">
        <v>442.0</v>
      </c>
    </row>
    <row r="751">
      <c r="A751" s="2" t="s">
        <v>40</v>
      </c>
      <c r="B751" s="2" t="s">
        <v>38</v>
      </c>
      <c r="C751" s="149">
        <v>578.0</v>
      </c>
    </row>
    <row r="752">
      <c r="A752" s="2" t="s">
        <v>40</v>
      </c>
      <c r="B752" s="2" t="s">
        <v>61</v>
      </c>
      <c r="C752" s="149">
        <v>364.0</v>
      </c>
    </row>
    <row r="753">
      <c r="A753" s="2" t="s">
        <v>40</v>
      </c>
      <c r="B753" s="2" t="s">
        <v>52</v>
      </c>
      <c r="C753" s="149">
        <v>768.0</v>
      </c>
    </row>
    <row r="754">
      <c r="A754" s="2" t="s">
        <v>40</v>
      </c>
      <c r="B754" s="2" t="s">
        <v>25</v>
      </c>
      <c r="C754" s="149">
        <v>896.0</v>
      </c>
    </row>
    <row r="755">
      <c r="A755" s="2" t="s">
        <v>40</v>
      </c>
      <c r="B755" s="2" t="s">
        <v>67</v>
      </c>
      <c r="C755" s="149">
        <v>992.0</v>
      </c>
    </row>
    <row r="756">
      <c r="A756" s="2" t="s">
        <v>40</v>
      </c>
      <c r="B756" s="2" t="s">
        <v>45</v>
      </c>
      <c r="C756" s="149">
        <v>600.0</v>
      </c>
    </row>
    <row r="757">
      <c r="A757" s="2" t="s">
        <v>40</v>
      </c>
      <c r="B757" s="2" t="s">
        <v>53</v>
      </c>
      <c r="C757" s="149">
        <v>1168.0</v>
      </c>
    </row>
    <row r="758">
      <c r="A758" s="2" t="s">
        <v>40</v>
      </c>
      <c r="B758" s="2" t="s">
        <v>26</v>
      </c>
      <c r="C758" s="149">
        <v>1024.0</v>
      </c>
    </row>
    <row r="759">
      <c r="A759" s="2" t="s">
        <v>40</v>
      </c>
      <c r="B759" s="2" t="s">
        <v>28</v>
      </c>
      <c r="C759" s="149">
        <v>418.0</v>
      </c>
    </row>
    <row r="760">
      <c r="A760" s="2" t="s">
        <v>40</v>
      </c>
      <c r="B760" s="2" t="s">
        <v>55</v>
      </c>
      <c r="C760" s="149">
        <v>1672.0</v>
      </c>
    </row>
    <row r="761">
      <c r="A761" s="2" t="s">
        <v>40</v>
      </c>
      <c r="B761" s="2" t="s">
        <v>48</v>
      </c>
      <c r="C761" s="149">
        <v>518.0</v>
      </c>
    </row>
    <row r="762">
      <c r="A762" s="2" t="s">
        <v>40</v>
      </c>
      <c r="B762" s="2" t="s">
        <v>2035</v>
      </c>
      <c r="C762" s="149">
        <v>1904.0</v>
      </c>
    </row>
    <row r="763">
      <c r="A763" s="2" t="s">
        <v>40</v>
      </c>
      <c r="B763" s="2" t="s">
        <v>59</v>
      </c>
      <c r="C763" s="149">
        <v>950.0</v>
      </c>
    </row>
    <row r="764">
      <c r="A764" s="2" t="s">
        <v>40</v>
      </c>
      <c r="B764" s="2" t="s">
        <v>44</v>
      </c>
      <c r="C764" s="149">
        <v>606.0</v>
      </c>
    </row>
    <row r="765">
      <c r="A765" s="2" t="s">
        <v>40</v>
      </c>
      <c r="B765" s="2" t="s">
        <v>2036</v>
      </c>
      <c r="C765" s="149">
        <v>1814.0</v>
      </c>
    </row>
    <row r="766">
      <c r="A766" s="2" t="s">
        <v>40</v>
      </c>
      <c r="B766" s="2" t="s">
        <v>2037</v>
      </c>
      <c r="C766" s="149">
        <v>1762.0</v>
      </c>
    </row>
    <row r="767">
      <c r="A767" s="2" t="s">
        <v>50</v>
      </c>
      <c r="B767" s="2" t="s">
        <v>18</v>
      </c>
      <c r="C767" s="149">
        <v>1796.0</v>
      </c>
    </row>
    <row r="768">
      <c r="A768" s="2" t="s">
        <v>50</v>
      </c>
      <c r="B768" s="2" t="s">
        <v>49</v>
      </c>
      <c r="C768" s="149">
        <v>1228.0</v>
      </c>
    </row>
    <row r="769">
      <c r="A769" s="2" t="s">
        <v>50</v>
      </c>
      <c r="B769" s="2" t="s">
        <v>22</v>
      </c>
      <c r="C769" s="149">
        <v>790.0</v>
      </c>
    </row>
    <row r="770">
      <c r="A770" s="2" t="s">
        <v>50</v>
      </c>
      <c r="B770" s="2" t="s">
        <v>27</v>
      </c>
      <c r="C770" s="149">
        <v>2158.0</v>
      </c>
    </row>
    <row r="771">
      <c r="A771" s="2" t="s">
        <v>50</v>
      </c>
      <c r="B771" s="2" t="s">
        <v>35</v>
      </c>
      <c r="C771" s="149">
        <v>2582.0</v>
      </c>
    </row>
    <row r="772">
      <c r="A772" s="2" t="s">
        <v>50</v>
      </c>
      <c r="B772" s="2" t="s">
        <v>41</v>
      </c>
      <c r="C772" s="149">
        <v>2448.0</v>
      </c>
    </row>
    <row r="773">
      <c r="A773" s="2" t="s">
        <v>50</v>
      </c>
      <c r="B773" s="2" t="s">
        <v>57</v>
      </c>
      <c r="C773" s="149">
        <v>2718.0</v>
      </c>
    </row>
    <row r="774">
      <c r="A774" s="2" t="s">
        <v>50</v>
      </c>
      <c r="B774" s="2" t="s">
        <v>37</v>
      </c>
      <c r="C774" s="149">
        <v>1960.0</v>
      </c>
    </row>
    <row r="775">
      <c r="A775" s="2" t="s">
        <v>50</v>
      </c>
      <c r="B775" s="2" t="s">
        <v>39</v>
      </c>
      <c r="C775" s="149">
        <v>1836.0</v>
      </c>
    </row>
    <row r="776">
      <c r="A776" s="2" t="s">
        <v>50</v>
      </c>
      <c r="B776" s="2" t="s">
        <v>64</v>
      </c>
      <c r="C776" s="149">
        <v>2214.0</v>
      </c>
    </row>
    <row r="777">
      <c r="A777" s="2" t="s">
        <v>50</v>
      </c>
      <c r="B777" s="2" t="s">
        <v>65</v>
      </c>
      <c r="C777" s="149">
        <v>2074.0</v>
      </c>
    </row>
    <row r="778">
      <c r="A778" s="2" t="s">
        <v>50</v>
      </c>
      <c r="B778" s="2" t="s">
        <v>36</v>
      </c>
      <c r="C778" s="149">
        <v>2574.0</v>
      </c>
    </row>
    <row r="779">
      <c r="A779" s="2" t="s">
        <v>50</v>
      </c>
      <c r="B779" s="2" t="s">
        <v>31</v>
      </c>
      <c r="C779" s="149">
        <v>2624.0</v>
      </c>
    </row>
    <row r="780">
      <c r="A780" s="2" t="s">
        <v>50</v>
      </c>
      <c r="B780" s="2" t="s">
        <v>43</v>
      </c>
      <c r="C780" s="149">
        <v>2260.0</v>
      </c>
    </row>
    <row r="781">
      <c r="A781" s="2" t="s">
        <v>50</v>
      </c>
      <c r="B781" s="2" t="s">
        <v>40</v>
      </c>
      <c r="C781" s="149">
        <v>1736.0</v>
      </c>
    </row>
    <row r="782">
      <c r="A782" s="2" t="s">
        <v>50</v>
      </c>
      <c r="B782" s="2" t="s">
        <v>50</v>
      </c>
      <c r="C782" s="149">
        <v>0.0</v>
      </c>
    </row>
    <row r="783">
      <c r="A783" s="2" t="s">
        <v>50</v>
      </c>
      <c r="B783" s="2" t="s">
        <v>51</v>
      </c>
      <c r="C783" s="149">
        <v>2054.0</v>
      </c>
    </row>
    <row r="784">
      <c r="A784" s="2" t="s">
        <v>50</v>
      </c>
      <c r="B784" s="2" t="s">
        <v>23</v>
      </c>
      <c r="C784" s="149">
        <v>716.0</v>
      </c>
    </row>
    <row r="785">
      <c r="A785" s="2" t="s">
        <v>50</v>
      </c>
      <c r="B785" s="2" t="s">
        <v>47</v>
      </c>
      <c r="C785" s="149">
        <v>1886.0</v>
      </c>
    </row>
    <row r="786">
      <c r="A786" s="2" t="s">
        <v>50</v>
      </c>
      <c r="B786" s="2" t="s">
        <v>62</v>
      </c>
      <c r="C786" s="149">
        <v>1752.0</v>
      </c>
    </row>
    <row r="787">
      <c r="A787" s="2" t="s">
        <v>50</v>
      </c>
      <c r="B787" s="2" t="s">
        <v>30</v>
      </c>
      <c r="C787" s="149">
        <v>2114.0</v>
      </c>
    </row>
    <row r="788">
      <c r="A788" s="2" t="s">
        <v>50</v>
      </c>
      <c r="B788" s="2" t="s">
        <v>32</v>
      </c>
      <c r="C788" s="149">
        <v>2198.0</v>
      </c>
    </row>
    <row r="789">
      <c r="A789" s="2" t="s">
        <v>50</v>
      </c>
      <c r="B789" s="2" t="s">
        <v>46</v>
      </c>
      <c r="C789" s="149">
        <v>1928.0</v>
      </c>
    </row>
    <row r="790">
      <c r="A790" s="2" t="s">
        <v>50</v>
      </c>
      <c r="B790" s="2" t="s">
        <v>54</v>
      </c>
      <c r="C790" s="149">
        <v>478.0</v>
      </c>
    </row>
    <row r="791">
      <c r="A791" s="2" t="s">
        <v>50</v>
      </c>
      <c r="B791" s="2" t="s">
        <v>34</v>
      </c>
      <c r="C791" s="149">
        <v>1542.0</v>
      </c>
    </row>
    <row r="792">
      <c r="A792" s="2" t="s">
        <v>50</v>
      </c>
      <c r="B792" s="2" t="s">
        <v>20</v>
      </c>
      <c r="C792" s="149">
        <v>866.0</v>
      </c>
    </row>
    <row r="793">
      <c r="A793" s="2" t="s">
        <v>50</v>
      </c>
      <c r="B793" s="2" t="s">
        <v>24</v>
      </c>
      <c r="C793" s="149">
        <v>2220.0</v>
      </c>
    </row>
    <row r="794">
      <c r="A794" s="2" t="s">
        <v>50</v>
      </c>
      <c r="B794" s="2" t="s">
        <v>63</v>
      </c>
      <c r="C794" s="149">
        <v>1824.0</v>
      </c>
    </row>
    <row r="795">
      <c r="A795" s="2" t="s">
        <v>50</v>
      </c>
      <c r="B795" s="2" t="s">
        <v>58</v>
      </c>
      <c r="C795" s="149">
        <v>2520.0</v>
      </c>
    </row>
    <row r="796">
      <c r="A796" s="2" t="s">
        <v>50</v>
      </c>
      <c r="B796" s="2" t="s">
        <v>42</v>
      </c>
      <c r="C796" s="149">
        <v>2220.0</v>
      </c>
    </row>
    <row r="797">
      <c r="A797" s="2" t="s">
        <v>50</v>
      </c>
      <c r="B797" s="2" t="s">
        <v>21</v>
      </c>
      <c r="C797" s="149">
        <v>778.0</v>
      </c>
    </row>
    <row r="798">
      <c r="A798" s="2" t="s">
        <v>50</v>
      </c>
      <c r="B798" s="2" t="s">
        <v>33</v>
      </c>
      <c r="C798" s="149">
        <v>1364.0</v>
      </c>
    </row>
    <row r="799">
      <c r="A799" s="2" t="s">
        <v>50</v>
      </c>
      <c r="B799" s="2" t="s">
        <v>66</v>
      </c>
      <c r="C799" s="149">
        <v>2482.0</v>
      </c>
    </row>
    <row r="800">
      <c r="A800" s="2" t="s">
        <v>50</v>
      </c>
      <c r="B800" s="2" t="s">
        <v>29</v>
      </c>
      <c r="C800" s="149">
        <v>1906.0</v>
      </c>
    </row>
    <row r="801">
      <c r="A801" s="2" t="s">
        <v>50</v>
      </c>
      <c r="B801" s="2" t="s">
        <v>60</v>
      </c>
      <c r="C801" s="149">
        <v>1314.0</v>
      </c>
    </row>
    <row r="802">
      <c r="A802" s="2" t="s">
        <v>50</v>
      </c>
      <c r="B802" s="2" t="s">
        <v>38</v>
      </c>
      <c r="C802" s="149">
        <v>1990.0</v>
      </c>
    </row>
    <row r="803">
      <c r="A803" s="2" t="s">
        <v>50</v>
      </c>
      <c r="B803" s="2" t="s">
        <v>61</v>
      </c>
      <c r="C803" s="149">
        <v>1672.0</v>
      </c>
    </row>
    <row r="804">
      <c r="A804" s="2" t="s">
        <v>50</v>
      </c>
      <c r="B804" s="2" t="s">
        <v>52</v>
      </c>
      <c r="C804" s="149">
        <v>2226.0</v>
      </c>
    </row>
    <row r="805">
      <c r="A805" s="2" t="s">
        <v>50</v>
      </c>
      <c r="B805" s="2" t="s">
        <v>25</v>
      </c>
      <c r="C805" s="149">
        <v>2356.0</v>
      </c>
    </row>
    <row r="806">
      <c r="A806" s="2" t="s">
        <v>50</v>
      </c>
      <c r="B806" s="2" t="s">
        <v>67</v>
      </c>
      <c r="C806" s="149">
        <v>2404.0</v>
      </c>
    </row>
    <row r="807">
      <c r="A807" s="2" t="s">
        <v>50</v>
      </c>
      <c r="B807" s="2" t="s">
        <v>45</v>
      </c>
      <c r="C807" s="149">
        <v>1928.0</v>
      </c>
    </row>
    <row r="808">
      <c r="A808" s="2" t="s">
        <v>50</v>
      </c>
      <c r="B808" s="2" t="s">
        <v>53</v>
      </c>
      <c r="C808" s="149">
        <v>2702.0</v>
      </c>
    </row>
    <row r="809">
      <c r="A809" s="2" t="s">
        <v>50</v>
      </c>
      <c r="B809" s="2" t="s">
        <v>26</v>
      </c>
      <c r="C809" s="149">
        <v>2482.0</v>
      </c>
    </row>
    <row r="810">
      <c r="A810" s="2" t="s">
        <v>50</v>
      </c>
      <c r="B810" s="2" t="s">
        <v>28</v>
      </c>
      <c r="C810" s="149">
        <v>1830.0</v>
      </c>
    </row>
    <row r="811">
      <c r="A811" s="2" t="s">
        <v>50</v>
      </c>
      <c r="B811" s="2" t="s">
        <v>55</v>
      </c>
      <c r="C811" s="149">
        <v>154.0</v>
      </c>
    </row>
    <row r="812">
      <c r="A812" s="2" t="s">
        <v>50</v>
      </c>
      <c r="B812" s="2" t="s">
        <v>48</v>
      </c>
      <c r="C812" s="149">
        <v>2024.0</v>
      </c>
    </row>
    <row r="813">
      <c r="A813" s="2" t="s">
        <v>50</v>
      </c>
      <c r="B813" s="2" t="s">
        <v>2035</v>
      </c>
      <c r="C813" s="149">
        <v>168.0</v>
      </c>
    </row>
    <row r="814">
      <c r="A814" s="2" t="s">
        <v>50</v>
      </c>
      <c r="B814" s="2" t="s">
        <v>59</v>
      </c>
      <c r="C814" s="149">
        <v>2656.0</v>
      </c>
    </row>
    <row r="815">
      <c r="A815" s="2" t="s">
        <v>50</v>
      </c>
      <c r="B815" s="2" t="s">
        <v>44</v>
      </c>
      <c r="C815" s="149">
        <v>1978.0</v>
      </c>
    </row>
    <row r="816">
      <c r="A816" s="2" t="s">
        <v>50</v>
      </c>
      <c r="B816" s="2" t="s">
        <v>2036</v>
      </c>
      <c r="C816" s="149">
        <v>52.0</v>
      </c>
    </row>
    <row r="817">
      <c r="A817" s="2" t="s">
        <v>50</v>
      </c>
      <c r="B817" s="2" t="s">
        <v>2037</v>
      </c>
      <c r="C817" s="149">
        <v>1350.0</v>
      </c>
    </row>
    <row r="818">
      <c r="A818" s="2" t="s">
        <v>51</v>
      </c>
      <c r="B818" s="2" t="s">
        <v>18</v>
      </c>
      <c r="C818" s="149">
        <v>808.0</v>
      </c>
    </row>
    <row r="819">
      <c r="A819" s="2" t="s">
        <v>51</v>
      </c>
      <c r="B819" s="2" t="s">
        <v>49</v>
      </c>
      <c r="C819" s="149">
        <v>1922.0</v>
      </c>
    </row>
    <row r="820">
      <c r="A820" s="2" t="s">
        <v>51</v>
      </c>
      <c r="B820" s="2" t="s">
        <v>22</v>
      </c>
      <c r="C820" s="149">
        <v>1306.0</v>
      </c>
    </row>
    <row r="821">
      <c r="A821" s="2" t="s">
        <v>51</v>
      </c>
      <c r="B821" s="2" t="s">
        <v>27</v>
      </c>
      <c r="C821" s="149">
        <v>164.0</v>
      </c>
    </row>
    <row r="822">
      <c r="A822" s="2" t="s">
        <v>51</v>
      </c>
      <c r="B822" s="2" t="s">
        <v>35</v>
      </c>
      <c r="C822" s="149">
        <v>1558.0</v>
      </c>
    </row>
    <row r="823">
      <c r="A823" s="2" t="s">
        <v>51</v>
      </c>
      <c r="B823" s="2" t="s">
        <v>41</v>
      </c>
      <c r="C823" s="149">
        <v>1424.0</v>
      </c>
    </row>
    <row r="824">
      <c r="A824" s="2" t="s">
        <v>51</v>
      </c>
      <c r="B824" s="2" t="s">
        <v>57</v>
      </c>
      <c r="C824" s="149">
        <v>428.0</v>
      </c>
    </row>
    <row r="825">
      <c r="A825" s="2" t="s">
        <v>51</v>
      </c>
      <c r="B825" s="2" t="s">
        <v>37</v>
      </c>
      <c r="C825" s="149">
        <v>392.0</v>
      </c>
    </row>
    <row r="826">
      <c r="A826" s="2" t="s">
        <v>51</v>
      </c>
      <c r="B826" s="2" t="s">
        <v>39</v>
      </c>
      <c r="C826" s="149">
        <v>460.0</v>
      </c>
    </row>
    <row r="827">
      <c r="A827" s="2" t="s">
        <v>51</v>
      </c>
      <c r="B827" s="2" t="s">
        <v>64</v>
      </c>
      <c r="C827" s="149">
        <v>1190.0</v>
      </c>
    </row>
    <row r="828">
      <c r="A828" s="2" t="s">
        <v>51</v>
      </c>
      <c r="B828" s="2" t="s">
        <v>65</v>
      </c>
      <c r="C828" s="149">
        <v>1048.0</v>
      </c>
    </row>
    <row r="829">
      <c r="A829" s="2" t="s">
        <v>51</v>
      </c>
      <c r="B829" s="2" t="s">
        <v>36</v>
      </c>
      <c r="C829" s="149">
        <v>1548.0</v>
      </c>
    </row>
    <row r="830">
      <c r="A830" s="2" t="s">
        <v>51</v>
      </c>
      <c r="B830" s="2" t="s">
        <v>31</v>
      </c>
      <c r="C830" s="149">
        <v>478.0</v>
      </c>
    </row>
    <row r="831">
      <c r="A831" s="2" t="s">
        <v>51</v>
      </c>
      <c r="B831" s="2" t="s">
        <v>43</v>
      </c>
      <c r="C831" s="149">
        <v>1234.0</v>
      </c>
    </row>
    <row r="832">
      <c r="A832" s="2" t="s">
        <v>51</v>
      </c>
      <c r="B832" s="2" t="s">
        <v>40</v>
      </c>
      <c r="C832" s="149">
        <v>596.0</v>
      </c>
    </row>
    <row r="833">
      <c r="A833" s="2" t="s">
        <v>51</v>
      </c>
      <c r="B833" s="2" t="s">
        <v>50</v>
      </c>
      <c r="C833" s="149">
        <v>2054.0</v>
      </c>
    </row>
    <row r="834">
      <c r="A834" s="2" t="s">
        <v>51</v>
      </c>
      <c r="B834" s="2" t="s">
        <v>51</v>
      </c>
      <c r="C834" s="149">
        <v>0.0</v>
      </c>
    </row>
    <row r="835">
      <c r="A835" s="2" t="s">
        <v>51</v>
      </c>
      <c r="B835" s="2" t="s">
        <v>23</v>
      </c>
      <c r="C835" s="149">
        <v>1608.0</v>
      </c>
    </row>
    <row r="836">
      <c r="A836" s="2" t="s">
        <v>51</v>
      </c>
      <c r="B836" s="2" t="s">
        <v>47</v>
      </c>
      <c r="C836" s="149">
        <v>772.0</v>
      </c>
    </row>
    <row r="837">
      <c r="A837" s="2" t="s">
        <v>51</v>
      </c>
      <c r="B837" s="2" t="s">
        <v>62</v>
      </c>
      <c r="C837" s="149">
        <v>762.0</v>
      </c>
    </row>
    <row r="838">
      <c r="A838" s="2" t="s">
        <v>51</v>
      </c>
      <c r="B838" s="2" t="s">
        <v>30</v>
      </c>
      <c r="C838" s="149">
        <v>510.0</v>
      </c>
    </row>
    <row r="839">
      <c r="A839" s="2" t="s">
        <v>51</v>
      </c>
      <c r="B839" s="2" t="s">
        <v>32</v>
      </c>
      <c r="C839" s="149">
        <v>382.0</v>
      </c>
    </row>
    <row r="840">
      <c r="A840" s="2" t="s">
        <v>51</v>
      </c>
      <c r="B840" s="2" t="s">
        <v>46</v>
      </c>
      <c r="C840" s="149">
        <v>940.0</v>
      </c>
    </row>
    <row r="841">
      <c r="A841" s="2" t="s">
        <v>51</v>
      </c>
      <c r="B841" s="2" t="s">
        <v>54</v>
      </c>
      <c r="C841" s="149">
        <v>1812.0</v>
      </c>
    </row>
    <row r="842">
      <c r="A842" s="2" t="s">
        <v>51</v>
      </c>
      <c r="B842" s="2" t="s">
        <v>34</v>
      </c>
      <c r="C842" s="149">
        <v>900.0</v>
      </c>
    </row>
    <row r="843">
      <c r="A843" s="2" t="s">
        <v>51</v>
      </c>
      <c r="B843" s="2" t="s">
        <v>20</v>
      </c>
      <c r="C843" s="149">
        <v>1444.0</v>
      </c>
    </row>
    <row r="844">
      <c r="A844" s="2" t="s">
        <v>51</v>
      </c>
      <c r="B844" s="2" t="s">
        <v>24</v>
      </c>
      <c r="C844" s="149">
        <v>184.0</v>
      </c>
    </row>
    <row r="845">
      <c r="A845" s="2" t="s">
        <v>51</v>
      </c>
      <c r="B845" s="2" t="s">
        <v>63</v>
      </c>
      <c r="C845" s="149">
        <v>462.0</v>
      </c>
    </row>
    <row r="846">
      <c r="A846" s="2" t="s">
        <v>51</v>
      </c>
      <c r="B846" s="2" t="s">
        <v>58</v>
      </c>
      <c r="C846" s="149">
        <v>482.0</v>
      </c>
    </row>
    <row r="847">
      <c r="A847" s="2" t="s">
        <v>51</v>
      </c>
      <c r="B847" s="2" t="s">
        <v>42</v>
      </c>
      <c r="C847" s="149">
        <v>1232.0</v>
      </c>
    </row>
    <row r="848">
      <c r="A848" s="2" t="s">
        <v>51</v>
      </c>
      <c r="B848" s="2" t="s">
        <v>21</v>
      </c>
      <c r="C848" s="149">
        <v>1570.0</v>
      </c>
    </row>
    <row r="849">
      <c r="A849" s="2" t="s">
        <v>51</v>
      </c>
      <c r="B849" s="2" t="s">
        <v>33</v>
      </c>
      <c r="C849" s="149">
        <v>904.0</v>
      </c>
    </row>
    <row r="850">
      <c r="A850" s="2" t="s">
        <v>51</v>
      </c>
      <c r="B850" s="2" t="s">
        <v>66</v>
      </c>
      <c r="C850" s="149">
        <v>1550.0</v>
      </c>
    </row>
    <row r="851">
      <c r="A851" s="2" t="s">
        <v>51</v>
      </c>
      <c r="B851" s="2" t="s">
        <v>29</v>
      </c>
      <c r="C851" s="149">
        <v>1170.0</v>
      </c>
    </row>
    <row r="852">
      <c r="A852" s="2" t="s">
        <v>51</v>
      </c>
      <c r="B852" s="2" t="s">
        <v>60</v>
      </c>
      <c r="C852" s="149">
        <v>1028.0</v>
      </c>
    </row>
    <row r="853">
      <c r="A853" s="2" t="s">
        <v>51</v>
      </c>
      <c r="B853" s="2" t="s">
        <v>38</v>
      </c>
      <c r="C853" s="149">
        <v>608.0</v>
      </c>
    </row>
    <row r="854">
      <c r="A854" s="2" t="s">
        <v>51</v>
      </c>
      <c r="B854" s="2" t="s">
        <v>61</v>
      </c>
      <c r="C854" s="149">
        <v>704.0</v>
      </c>
    </row>
    <row r="855">
      <c r="A855" s="2" t="s">
        <v>51</v>
      </c>
      <c r="B855" s="2" t="s">
        <v>52</v>
      </c>
      <c r="C855" s="150">
        <v>10000.0</v>
      </c>
    </row>
    <row r="856">
      <c r="A856" s="2" t="s">
        <v>51</v>
      </c>
      <c r="B856" s="2" t="s">
        <v>25</v>
      </c>
      <c r="C856" s="149">
        <v>318.0</v>
      </c>
    </row>
    <row r="857">
      <c r="A857" s="2" t="s">
        <v>51</v>
      </c>
      <c r="B857" s="2" t="s">
        <v>67</v>
      </c>
      <c r="C857" s="149">
        <v>412.0</v>
      </c>
    </row>
    <row r="858">
      <c r="A858" s="2" t="s">
        <v>51</v>
      </c>
      <c r="B858" s="2" t="s">
        <v>45</v>
      </c>
      <c r="C858" s="149">
        <v>940.0</v>
      </c>
    </row>
    <row r="859">
      <c r="A859" s="2" t="s">
        <v>51</v>
      </c>
      <c r="B859" s="2" t="s">
        <v>53</v>
      </c>
      <c r="C859" s="149">
        <v>664.0</v>
      </c>
    </row>
    <row r="860">
      <c r="A860" s="2" t="s">
        <v>51</v>
      </c>
      <c r="B860" s="2" t="s">
        <v>26</v>
      </c>
      <c r="C860" s="149">
        <v>444.0</v>
      </c>
    </row>
    <row r="861">
      <c r="A861" s="2" t="s">
        <v>51</v>
      </c>
      <c r="B861" s="2" t="s">
        <v>28</v>
      </c>
      <c r="C861" s="149">
        <v>248.0</v>
      </c>
    </row>
    <row r="862">
      <c r="A862" s="2" t="s">
        <v>51</v>
      </c>
      <c r="B862" s="2" t="s">
        <v>55</v>
      </c>
      <c r="C862" s="149">
        <v>2226.0</v>
      </c>
    </row>
    <row r="863">
      <c r="A863" s="2" t="s">
        <v>51</v>
      </c>
      <c r="B863" s="2" t="s">
        <v>48</v>
      </c>
      <c r="C863" s="149">
        <v>692.0</v>
      </c>
    </row>
    <row r="864">
      <c r="A864" s="2" t="s">
        <v>51</v>
      </c>
      <c r="B864" s="2" t="s">
        <v>2035</v>
      </c>
      <c r="C864" s="149">
        <v>2458.0</v>
      </c>
    </row>
    <row r="865">
      <c r="A865" s="2" t="s">
        <v>51</v>
      </c>
      <c r="B865" s="2" t="s">
        <v>59</v>
      </c>
      <c r="C865" s="149">
        <v>368.0</v>
      </c>
    </row>
    <row r="866">
      <c r="A866" s="2" t="s">
        <v>51</v>
      </c>
      <c r="B866" s="2" t="s">
        <v>44</v>
      </c>
      <c r="C866" s="149">
        <v>954.0</v>
      </c>
    </row>
    <row r="867">
      <c r="A867" s="2" t="s">
        <v>51</v>
      </c>
      <c r="B867" s="2" t="s">
        <v>2036</v>
      </c>
      <c r="C867" s="149">
        <v>2406.0</v>
      </c>
    </row>
    <row r="868">
      <c r="A868" s="2" t="s">
        <v>51</v>
      </c>
      <c r="B868" s="2" t="s">
        <v>2037</v>
      </c>
      <c r="C868" s="149">
        <v>2370.0</v>
      </c>
    </row>
    <row r="869">
      <c r="A869" s="2" t="s">
        <v>23</v>
      </c>
      <c r="B869" s="2" t="s">
        <v>18</v>
      </c>
      <c r="C869" s="149">
        <v>1128.0</v>
      </c>
    </row>
    <row r="870">
      <c r="A870" s="2" t="s">
        <v>23</v>
      </c>
      <c r="B870" s="2" t="s">
        <v>49</v>
      </c>
      <c r="C870" s="149">
        <v>822.0</v>
      </c>
    </row>
    <row r="871">
      <c r="A871" s="2" t="s">
        <v>23</v>
      </c>
      <c r="B871" s="2" t="s">
        <v>22</v>
      </c>
      <c r="C871" s="149">
        <v>106.0</v>
      </c>
    </row>
    <row r="872">
      <c r="A872" s="2" t="s">
        <v>23</v>
      </c>
      <c r="B872" s="2" t="s">
        <v>27</v>
      </c>
      <c r="C872" s="149">
        <v>1474.0</v>
      </c>
    </row>
    <row r="873">
      <c r="A873" s="2" t="s">
        <v>23</v>
      </c>
      <c r="B873" s="2" t="s">
        <v>35</v>
      </c>
      <c r="C873" s="149">
        <v>1898.0</v>
      </c>
    </row>
    <row r="874">
      <c r="A874" s="2" t="s">
        <v>23</v>
      </c>
      <c r="B874" s="2" t="s">
        <v>41</v>
      </c>
      <c r="C874" s="149">
        <v>1764.0</v>
      </c>
    </row>
    <row r="875">
      <c r="A875" s="2" t="s">
        <v>23</v>
      </c>
      <c r="B875" s="2" t="s">
        <v>57</v>
      </c>
      <c r="C875" s="149">
        <v>2034.0</v>
      </c>
    </row>
    <row r="876">
      <c r="A876" s="2" t="s">
        <v>23</v>
      </c>
      <c r="B876" s="2" t="s">
        <v>37</v>
      </c>
      <c r="C876" s="149">
        <v>1276.0</v>
      </c>
    </row>
    <row r="877">
      <c r="A877" s="2" t="s">
        <v>23</v>
      </c>
      <c r="B877" s="2" t="s">
        <v>39</v>
      </c>
      <c r="C877" s="149">
        <v>1152.0</v>
      </c>
    </row>
    <row r="878">
      <c r="A878" s="2" t="s">
        <v>23</v>
      </c>
      <c r="B878" s="2" t="s">
        <v>64</v>
      </c>
      <c r="C878" s="149">
        <v>1530.0</v>
      </c>
    </row>
    <row r="879">
      <c r="A879" s="2" t="s">
        <v>23</v>
      </c>
      <c r="B879" s="2" t="s">
        <v>65</v>
      </c>
      <c r="C879" s="149">
        <v>1390.0</v>
      </c>
    </row>
    <row r="880">
      <c r="A880" s="2" t="s">
        <v>23</v>
      </c>
      <c r="B880" s="2" t="s">
        <v>36</v>
      </c>
      <c r="C880" s="149">
        <v>1890.0</v>
      </c>
    </row>
    <row r="881">
      <c r="A881" s="2" t="s">
        <v>23</v>
      </c>
      <c r="B881" s="2" t="s">
        <v>31</v>
      </c>
      <c r="C881" s="149">
        <v>1940.0</v>
      </c>
    </row>
    <row r="882">
      <c r="A882" s="2" t="s">
        <v>23</v>
      </c>
      <c r="B882" s="2" t="s">
        <v>43</v>
      </c>
      <c r="C882" s="149">
        <v>1576.0</v>
      </c>
    </row>
    <row r="883">
      <c r="A883" s="2" t="s">
        <v>23</v>
      </c>
      <c r="B883" s="2" t="s">
        <v>40</v>
      </c>
      <c r="C883" s="149">
        <v>1052.0</v>
      </c>
    </row>
    <row r="884">
      <c r="A884" s="2" t="s">
        <v>23</v>
      </c>
      <c r="B884" s="2" t="s">
        <v>50</v>
      </c>
      <c r="C884" s="149">
        <v>716.0</v>
      </c>
    </row>
    <row r="885">
      <c r="A885" s="2" t="s">
        <v>23</v>
      </c>
      <c r="B885" s="2" t="s">
        <v>51</v>
      </c>
      <c r="C885" s="149">
        <v>1608.0</v>
      </c>
    </row>
    <row r="886">
      <c r="A886" s="2" t="s">
        <v>23</v>
      </c>
      <c r="B886" s="2" t="s">
        <v>23</v>
      </c>
      <c r="C886" s="149">
        <v>0.0</v>
      </c>
    </row>
    <row r="887">
      <c r="A887" s="2" t="s">
        <v>23</v>
      </c>
      <c r="B887" s="2" t="s">
        <v>47</v>
      </c>
      <c r="C887" s="149">
        <v>1216.0</v>
      </c>
    </row>
    <row r="888">
      <c r="A888" s="2" t="s">
        <v>23</v>
      </c>
      <c r="B888" s="2" t="s">
        <v>62</v>
      </c>
      <c r="C888" s="149">
        <v>1082.0</v>
      </c>
    </row>
    <row r="889">
      <c r="A889" s="2" t="s">
        <v>23</v>
      </c>
      <c r="B889" s="2" t="s">
        <v>30</v>
      </c>
      <c r="C889" s="149">
        <v>1446.0</v>
      </c>
    </row>
    <row r="890">
      <c r="A890" s="2" t="s">
        <v>23</v>
      </c>
      <c r="B890" s="2" t="s">
        <v>32</v>
      </c>
      <c r="C890" s="149">
        <v>1530.0</v>
      </c>
    </row>
    <row r="891">
      <c r="A891" s="2" t="s">
        <v>23</v>
      </c>
      <c r="B891" s="2" t="s">
        <v>46</v>
      </c>
      <c r="C891" s="149">
        <v>1260.0</v>
      </c>
    </row>
    <row r="892">
      <c r="A892" s="2" t="s">
        <v>23</v>
      </c>
      <c r="B892" s="2" t="s">
        <v>54</v>
      </c>
      <c r="C892" s="149">
        <v>254.0</v>
      </c>
    </row>
    <row r="893">
      <c r="A893" s="2" t="s">
        <v>23</v>
      </c>
      <c r="B893" s="2" t="s">
        <v>34</v>
      </c>
      <c r="C893" s="149">
        <v>872.0</v>
      </c>
    </row>
    <row r="894">
      <c r="A894" s="2" t="s">
        <v>23</v>
      </c>
      <c r="B894" s="2" t="s">
        <v>20</v>
      </c>
      <c r="C894" s="149">
        <v>198.0</v>
      </c>
    </row>
    <row r="895">
      <c r="A895" s="2" t="s">
        <v>23</v>
      </c>
      <c r="B895" s="2" t="s">
        <v>24</v>
      </c>
      <c r="C895" s="149">
        <v>1552.0</v>
      </c>
    </row>
    <row r="896">
      <c r="A896" s="2" t="s">
        <v>23</v>
      </c>
      <c r="B896" s="2" t="s">
        <v>63</v>
      </c>
      <c r="C896" s="149">
        <v>1154.0</v>
      </c>
    </row>
    <row r="897">
      <c r="A897" s="2" t="s">
        <v>23</v>
      </c>
      <c r="B897" s="2" t="s">
        <v>58</v>
      </c>
      <c r="C897" s="149">
        <v>1852.0</v>
      </c>
    </row>
    <row r="898">
      <c r="A898" s="2" t="s">
        <v>23</v>
      </c>
      <c r="B898" s="2" t="s">
        <v>42</v>
      </c>
      <c r="C898" s="149">
        <v>1552.0</v>
      </c>
    </row>
    <row r="899">
      <c r="A899" s="2" t="s">
        <v>23</v>
      </c>
      <c r="B899" s="2" t="s">
        <v>21</v>
      </c>
      <c r="C899" s="149">
        <v>154.0</v>
      </c>
    </row>
    <row r="900">
      <c r="A900" s="2" t="s">
        <v>23</v>
      </c>
      <c r="B900" s="2" t="s">
        <v>33</v>
      </c>
      <c r="C900" s="149">
        <v>696.0</v>
      </c>
    </row>
    <row r="901">
      <c r="A901" s="2" t="s">
        <v>23</v>
      </c>
      <c r="B901" s="2" t="s">
        <v>66</v>
      </c>
      <c r="C901" s="149">
        <v>1814.0</v>
      </c>
    </row>
    <row r="902">
      <c r="A902" s="2" t="s">
        <v>23</v>
      </c>
      <c r="B902" s="2" t="s">
        <v>29</v>
      </c>
      <c r="C902" s="149">
        <v>1236.0</v>
      </c>
    </row>
    <row r="903">
      <c r="A903" s="2" t="s">
        <v>23</v>
      </c>
      <c r="B903" s="2" t="s">
        <v>60</v>
      </c>
      <c r="C903" s="149">
        <v>644.0</v>
      </c>
    </row>
    <row r="904">
      <c r="A904" s="2" t="s">
        <v>23</v>
      </c>
      <c r="B904" s="2" t="s">
        <v>38</v>
      </c>
      <c r="C904" s="149">
        <v>1322.0</v>
      </c>
    </row>
    <row r="905">
      <c r="A905" s="2" t="s">
        <v>23</v>
      </c>
      <c r="B905" s="2" t="s">
        <v>61</v>
      </c>
      <c r="C905" s="149">
        <v>1004.0</v>
      </c>
    </row>
    <row r="906">
      <c r="A906" s="2" t="s">
        <v>23</v>
      </c>
      <c r="B906" s="2" t="s">
        <v>52</v>
      </c>
      <c r="C906" s="149">
        <v>1558.0</v>
      </c>
    </row>
    <row r="907">
      <c r="A907" s="2" t="s">
        <v>23</v>
      </c>
      <c r="B907" s="2" t="s">
        <v>25</v>
      </c>
      <c r="C907" s="149">
        <v>1686.0</v>
      </c>
    </row>
    <row r="908">
      <c r="A908" s="2" t="s">
        <v>23</v>
      </c>
      <c r="B908" s="2" t="s">
        <v>67</v>
      </c>
      <c r="C908" s="149">
        <v>1736.0</v>
      </c>
    </row>
    <row r="909">
      <c r="A909" s="2" t="s">
        <v>23</v>
      </c>
      <c r="B909" s="2" t="s">
        <v>45</v>
      </c>
      <c r="C909" s="149">
        <v>1260.0</v>
      </c>
    </row>
    <row r="910">
      <c r="A910" s="2" t="s">
        <v>23</v>
      </c>
      <c r="B910" s="2" t="s">
        <v>53</v>
      </c>
      <c r="C910" s="149">
        <v>2034.0</v>
      </c>
    </row>
    <row r="911">
      <c r="A911" s="2" t="s">
        <v>23</v>
      </c>
      <c r="B911" s="2" t="s">
        <v>26</v>
      </c>
      <c r="C911" s="149">
        <v>1814.0</v>
      </c>
    </row>
    <row r="912">
      <c r="A912" s="2" t="s">
        <v>23</v>
      </c>
      <c r="B912" s="2" t="s">
        <v>28</v>
      </c>
      <c r="C912" s="149">
        <v>1162.0</v>
      </c>
    </row>
    <row r="913">
      <c r="A913" s="2" t="s">
        <v>23</v>
      </c>
      <c r="B913" s="2" t="s">
        <v>55</v>
      </c>
      <c r="C913" s="149">
        <v>668.0</v>
      </c>
    </row>
    <row r="914">
      <c r="A914" s="2" t="s">
        <v>23</v>
      </c>
      <c r="B914" s="2" t="s">
        <v>48</v>
      </c>
      <c r="C914" s="149">
        <v>1356.0</v>
      </c>
    </row>
    <row r="915">
      <c r="A915" s="2" t="s">
        <v>23</v>
      </c>
      <c r="B915" s="2" t="s">
        <v>2035</v>
      </c>
      <c r="C915" s="149">
        <v>898.0</v>
      </c>
    </row>
    <row r="916">
      <c r="A916" s="2" t="s">
        <v>23</v>
      </c>
      <c r="B916" s="2" t="s">
        <v>59</v>
      </c>
      <c r="C916" s="149">
        <v>1972.0</v>
      </c>
    </row>
    <row r="917">
      <c r="A917" s="2" t="s">
        <v>23</v>
      </c>
      <c r="B917" s="2" t="s">
        <v>44</v>
      </c>
      <c r="C917" s="149">
        <v>1294.0</v>
      </c>
    </row>
    <row r="918">
      <c r="A918" s="2" t="s">
        <v>23</v>
      </c>
      <c r="B918" s="2" t="s">
        <v>2036</v>
      </c>
      <c r="C918" s="149">
        <v>810.0</v>
      </c>
    </row>
    <row r="919">
      <c r="A919" s="2" t="s">
        <v>23</v>
      </c>
      <c r="B919" s="2" t="s">
        <v>2037</v>
      </c>
      <c r="C919" s="149">
        <v>932.0</v>
      </c>
    </row>
    <row r="920">
      <c r="A920" s="2" t="s">
        <v>47</v>
      </c>
      <c r="B920" s="2" t="s">
        <v>18</v>
      </c>
      <c r="C920" s="149">
        <v>220.0</v>
      </c>
    </row>
    <row r="921">
      <c r="A921" s="2" t="s">
        <v>47</v>
      </c>
      <c r="B921" s="2" t="s">
        <v>49</v>
      </c>
      <c r="C921" s="149">
        <v>1890.0</v>
      </c>
    </row>
    <row r="922">
      <c r="A922" s="2" t="s">
        <v>47</v>
      </c>
      <c r="B922" s="2" t="s">
        <v>22</v>
      </c>
      <c r="C922" s="149">
        <v>1138.0</v>
      </c>
    </row>
    <row r="923">
      <c r="A923" s="2" t="s">
        <v>47</v>
      </c>
      <c r="B923" s="2" t="s">
        <v>27</v>
      </c>
      <c r="C923" s="149">
        <v>754.0</v>
      </c>
    </row>
    <row r="924">
      <c r="A924" s="2" t="s">
        <v>47</v>
      </c>
      <c r="B924" s="2" t="s">
        <v>35</v>
      </c>
      <c r="C924" s="149">
        <v>824.0</v>
      </c>
    </row>
    <row r="925">
      <c r="A925" s="2" t="s">
        <v>47</v>
      </c>
      <c r="B925" s="2" t="s">
        <v>41</v>
      </c>
      <c r="C925" s="149">
        <v>690.0</v>
      </c>
    </row>
    <row r="926">
      <c r="A926" s="2" t="s">
        <v>47</v>
      </c>
      <c r="B926" s="2" t="s">
        <v>57</v>
      </c>
      <c r="C926" s="149">
        <v>1184.0</v>
      </c>
    </row>
    <row r="927">
      <c r="A927" s="2" t="s">
        <v>47</v>
      </c>
      <c r="B927" s="2" t="s">
        <v>37</v>
      </c>
      <c r="C927" s="149">
        <v>766.0</v>
      </c>
    </row>
    <row r="928">
      <c r="A928" s="2" t="s">
        <v>47</v>
      </c>
      <c r="B928" s="2" t="s">
        <v>39</v>
      </c>
      <c r="C928" s="149">
        <v>742.0</v>
      </c>
    </row>
    <row r="929">
      <c r="A929" s="2" t="s">
        <v>47</v>
      </c>
      <c r="B929" s="2" t="s">
        <v>64</v>
      </c>
      <c r="C929" s="149">
        <v>456.0</v>
      </c>
    </row>
    <row r="930">
      <c r="A930" s="2" t="s">
        <v>47</v>
      </c>
      <c r="B930" s="2" t="s">
        <v>65</v>
      </c>
      <c r="C930" s="149">
        <v>330.0</v>
      </c>
    </row>
    <row r="931">
      <c r="A931" s="2" t="s">
        <v>47</v>
      </c>
      <c r="B931" s="2" t="s">
        <v>36</v>
      </c>
      <c r="C931" s="149">
        <v>816.0</v>
      </c>
    </row>
    <row r="932">
      <c r="A932" s="2" t="s">
        <v>47</v>
      </c>
      <c r="B932" s="2" t="s">
        <v>31</v>
      </c>
      <c r="C932" s="149">
        <v>1000.0</v>
      </c>
    </row>
    <row r="933">
      <c r="A933" s="2" t="s">
        <v>47</v>
      </c>
      <c r="B933" s="2" t="s">
        <v>43</v>
      </c>
      <c r="C933" s="149">
        <v>508.0</v>
      </c>
    </row>
    <row r="934">
      <c r="A934" s="2" t="s">
        <v>47</v>
      </c>
      <c r="B934" s="2" t="s">
        <v>40</v>
      </c>
      <c r="C934" s="149">
        <v>556.0</v>
      </c>
    </row>
    <row r="935">
      <c r="A935" s="2" t="s">
        <v>47</v>
      </c>
      <c r="B935" s="2" t="s">
        <v>50</v>
      </c>
      <c r="C935" s="149">
        <v>1886.0</v>
      </c>
    </row>
    <row r="936">
      <c r="A936" s="2" t="s">
        <v>47</v>
      </c>
      <c r="B936" s="2" t="s">
        <v>51</v>
      </c>
      <c r="C936" s="149">
        <v>772.0</v>
      </c>
    </row>
    <row r="937">
      <c r="A937" s="2" t="s">
        <v>47</v>
      </c>
      <c r="B937" s="2" t="s">
        <v>23</v>
      </c>
      <c r="C937" s="149">
        <v>1216.0</v>
      </c>
    </row>
    <row r="938">
      <c r="A938" s="2" t="s">
        <v>47</v>
      </c>
      <c r="B938" s="2" t="s">
        <v>47</v>
      </c>
      <c r="C938" s="149">
        <v>0.0</v>
      </c>
    </row>
    <row r="939">
      <c r="A939" s="2" t="s">
        <v>47</v>
      </c>
      <c r="B939" s="2" t="s">
        <v>62</v>
      </c>
      <c r="C939" s="149">
        <v>186.0</v>
      </c>
    </row>
    <row r="940">
      <c r="A940" s="2" t="s">
        <v>47</v>
      </c>
      <c r="B940" s="2" t="s">
        <v>30</v>
      </c>
      <c r="C940" s="149">
        <v>706.0</v>
      </c>
    </row>
    <row r="941">
      <c r="A941" s="2" t="s">
        <v>47</v>
      </c>
      <c r="B941" s="2" t="s">
        <v>32</v>
      </c>
      <c r="C941" s="149">
        <v>788.0</v>
      </c>
    </row>
    <row r="942">
      <c r="A942" s="2" t="s">
        <v>47</v>
      </c>
      <c r="B942" s="2" t="s">
        <v>46</v>
      </c>
      <c r="C942" s="149">
        <v>218.0</v>
      </c>
    </row>
    <row r="943">
      <c r="A943" s="2" t="s">
        <v>47</v>
      </c>
      <c r="B943" s="2" t="s">
        <v>54</v>
      </c>
      <c r="C943" s="149">
        <v>1450.0</v>
      </c>
    </row>
    <row r="944">
      <c r="A944" s="2" t="s">
        <v>47</v>
      </c>
      <c r="B944" s="2" t="s">
        <v>34</v>
      </c>
      <c r="C944" s="149">
        <v>446.0</v>
      </c>
    </row>
    <row r="945">
      <c r="A945" s="2" t="s">
        <v>47</v>
      </c>
      <c r="B945" s="2" t="s">
        <v>20</v>
      </c>
      <c r="C945" s="149">
        <v>1238.0</v>
      </c>
    </row>
    <row r="946">
      <c r="A946" s="2" t="s">
        <v>47</v>
      </c>
      <c r="B946" s="2" t="s">
        <v>24</v>
      </c>
      <c r="C946" s="149">
        <v>964.0</v>
      </c>
    </row>
    <row r="947">
      <c r="A947" s="2" t="s">
        <v>47</v>
      </c>
      <c r="B947" s="2" t="s">
        <v>63</v>
      </c>
      <c r="C947" s="149">
        <v>354.0</v>
      </c>
    </row>
    <row r="948">
      <c r="A948" s="2" t="s">
        <v>47</v>
      </c>
      <c r="B948" s="2" t="s">
        <v>58</v>
      </c>
      <c r="C948" s="149">
        <v>1256.0</v>
      </c>
    </row>
    <row r="949">
      <c r="A949" s="2" t="s">
        <v>47</v>
      </c>
      <c r="B949" s="2" t="s">
        <v>42</v>
      </c>
      <c r="C949" s="149">
        <v>510.0</v>
      </c>
    </row>
    <row r="950">
      <c r="A950" s="2" t="s">
        <v>47</v>
      </c>
      <c r="B950" s="2" t="s">
        <v>21</v>
      </c>
      <c r="C950" s="149">
        <v>1218.0</v>
      </c>
    </row>
    <row r="951">
      <c r="A951" s="2" t="s">
        <v>47</v>
      </c>
      <c r="B951" s="2" t="s">
        <v>33</v>
      </c>
      <c r="C951" s="149">
        <v>952.0</v>
      </c>
    </row>
    <row r="952">
      <c r="A952" s="2" t="s">
        <v>47</v>
      </c>
      <c r="B952" s="2" t="s">
        <v>66</v>
      </c>
      <c r="C952" s="149">
        <v>866.0</v>
      </c>
    </row>
    <row r="953">
      <c r="A953" s="2" t="s">
        <v>47</v>
      </c>
      <c r="B953" s="2" t="s">
        <v>29</v>
      </c>
      <c r="C953" s="149">
        <v>1600.0</v>
      </c>
    </row>
    <row r="954">
      <c r="A954" s="2" t="s">
        <v>47</v>
      </c>
      <c r="B954" s="2" t="s">
        <v>60</v>
      </c>
      <c r="C954" s="149">
        <v>588.0</v>
      </c>
    </row>
    <row r="955">
      <c r="A955" s="2" t="s">
        <v>47</v>
      </c>
      <c r="B955" s="2" t="s">
        <v>38</v>
      </c>
      <c r="C955" s="149">
        <v>1040.0</v>
      </c>
    </row>
    <row r="956">
      <c r="A956" s="2" t="s">
        <v>47</v>
      </c>
      <c r="B956" s="2" t="s">
        <v>61</v>
      </c>
      <c r="C956" s="149">
        <v>250.0</v>
      </c>
    </row>
    <row r="957">
      <c r="A957" s="2" t="s">
        <v>47</v>
      </c>
      <c r="B957" s="2" t="s">
        <v>52</v>
      </c>
      <c r="C957" s="149">
        <v>968.0</v>
      </c>
    </row>
    <row r="958">
      <c r="A958" s="2" t="s">
        <v>47</v>
      </c>
      <c r="B958" s="2" t="s">
        <v>25</v>
      </c>
      <c r="C958" s="149">
        <v>1098.0</v>
      </c>
    </row>
    <row r="959">
      <c r="A959" s="2" t="s">
        <v>47</v>
      </c>
      <c r="B959" s="2" t="s">
        <v>67</v>
      </c>
      <c r="C959" s="149">
        <v>1192.0</v>
      </c>
    </row>
    <row r="960">
      <c r="A960" s="2" t="s">
        <v>47</v>
      </c>
      <c r="B960" s="2" t="s">
        <v>45</v>
      </c>
      <c r="C960" s="149">
        <v>218.0</v>
      </c>
    </row>
    <row r="961">
      <c r="A961" s="2" t="s">
        <v>47</v>
      </c>
      <c r="B961" s="2" t="s">
        <v>53</v>
      </c>
      <c r="C961" s="149">
        <v>1296.0</v>
      </c>
    </row>
    <row r="962">
      <c r="A962" s="2" t="s">
        <v>47</v>
      </c>
      <c r="B962" s="2" t="s">
        <v>26</v>
      </c>
      <c r="C962" s="149">
        <v>1224.0</v>
      </c>
    </row>
    <row r="963">
      <c r="A963" s="2" t="s">
        <v>47</v>
      </c>
      <c r="B963" s="2" t="s">
        <v>28</v>
      </c>
      <c r="C963" s="149">
        <v>826.0</v>
      </c>
    </row>
    <row r="964">
      <c r="A964" s="2" t="s">
        <v>47</v>
      </c>
      <c r="B964" s="2" t="s">
        <v>55</v>
      </c>
      <c r="C964" s="149">
        <v>1864.0</v>
      </c>
    </row>
    <row r="965">
      <c r="A965" s="2" t="s">
        <v>47</v>
      </c>
      <c r="B965" s="2" t="s">
        <v>48</v>
      </c>
      <c r="C965" s="149">
        <v>142.0</v>
      </c>
    </row>
    <row r="966">
      <c r="A966" s="2" t="s">
        <v>47</v>
      </c>
      <c r="B966" s="2" t="s">
        <v>2035</v>
      </c>
      <c r="C966" s="149">
        <v>2094.0</v>
      </c>
    </row>
    <row r="967">
      <c r="A967" s="2" t="s">
        <v>47</v>
      </c>
      <c r="B967" s="2" t="s">
        <v>59</v>
      </c>
      <c r="C967" s="149">
        <v>1124.0</v>
      </c>
    </row>
    <row r="968">
      <c r="A968" s="2" t="s">
        <v>47</v>
      </c>
      <c r="B968" s="2" t="s">
        <v>44</v>
      </c>
      <c r="C968" s="149">
        <v>350.0</v>
      </c>
    </row>
    <row r="969">
      <c r="A969" s="2" t="s">
        <v>47</v>
      </c>
      <c r="B969" s="2" t="s">
        <v>2036</v>
      </c>
      <c r="C969" s="149">
        <v>2008.0</v>
      </c>
    </row>
    <row r="970">
      <c r="A970" s="2" t="s">
        <v>47</v>
      </c>
      <c r="B970" s="2" t="s">
        <v>2037</v>
      </c>
      <c r="C970" s="149">
        <v>2076.0</v>
      </c>
    </row>
    <row r="971">
      <c r="A971" s="2" t="s">
        <v>62</v>
      </c>
      <c r="B971" s="2" t="s">
        <v>18</v>
      </c>
      <c r="C971" s="149">
        <v>98.0</v>
      </c>
    </row>
    <row r="972">
      <c r="A972" s="2" t="s">
        <v>62</v>
      </c>
      <c r="B972" s="2" t="s">
        <v>49</v>
      </c>
      <c r="C972" s="149">
        <v>1756.0</v>
      </c>
    </row>
    <row r="973">
      <c r="A973" s="2" t="s">
        <v>62</v>
      </c>
      <c r="B973" s="2" t="s">
        <v>22</v>
      </c>
      <c r="C973" s="149">
        <v>1004.0</v>
      </c>
    </row>
    <row r="974">
      <c r="A974" s="2" t="s">
        <v>62</v>
      </c>
      <c r="B974" s="2" t="s">
        <v>27</v>
      </c>
      <c r="C974" s="149">
        <v>744.0</v>
      </c>
    </row>
    <row r="975">
      <c r="A975" s="2" t="s">
        <v>62</v>
      </c>
      <c r="B975" s="2" t="s">
        <v>35</v>
      </c>
      <c r="C975" s="149">
        <v>838.0</v>
      </c>
    </row>
    <row r="976">
      <c r="A976" s="2" t="s">
        <v>62</v>
      </c>
      <c r="B976" s="2" t="s">
        <v>41</v>
      </c>
      <c r="C976" s="149">
        <v>706.0</v>
      </c>
    </row>
    <row r="977">
      <c r="A977" s="2" t="s">
        <v>62</v>
      </c>
      <c r="B977" s="2" t="s">
        <v>57</v>
      </c>
      <c r="C977" s="149">
        <v>1188.0</v>
      </c>
    </row>
    <row r="978">
      <c r="A978" s="2" t="s">
        <v>62</v>
      </c>
      <c r="B978" s="2" t="s">
        <v>37</v>
      </c>
      <c r="C978" s="149">
        <v>632.0</v>
      </c>
    </row>
    <row r="979">
      <c r="A979" s="2" t="s">
        <v>62</v>
      </c>
      <c r="B979" s="2" t="s">
        <v>39</v>
      </c>
      <c r="C979" s="149">
        <v>608.0</v>
      </c>
    </row>
    <row r="980">
      <c r="A980" s="2" t="s">
        <v>62</v>
      </c>
      <c r="B980" s="2" t="s">
        <v>64</v>
      </c>
      <c r="C980" s="149">
        <v>470.0</v>
      </c>
    </row>
    <row r="981">
      <c r="A981" s="2" t="s">
        <v>62</v>
      </c>
      <c r="B981" s="2" t="s">
        <v>65</v>
      </c>
      <c r="C981" s="149">
        <v>330.0</v>
      </c>
    </row>
    <row r="982">
      <c r="A982" s="2" t="s">
        <v>62</v>
      </c>
      <c r="B982" s="2" t="s">
        <v>36</v>
      </c>
      <c r="C982" s="149">
        <v>830.0</v>
      </c>
    </row>
    <row r="983">
      <c r="A983" s="2" t="s">
        <v>62</v>
      </c>
      <c r="B983" s="2" t="s">
        <v>31</v>
      </c>
      <c r="C983" s="149">
        <v>1064.0</v>
      </c>
    </row>
    <row r="984">
      <c r="A984" s="2" t="s">
        <v>62</v>
      </c>
      <c r="B984" s="2" t="s">
        <v>43</v>
      </c>
      <c r="C984" s="149">
        <v>510.0</v>
      </c>
    </row>
    <row r="985">
      <c r="A985" s="2" t="s">
        <v>62</v>
      </c>
      <c r="B985" s="2" t="s">
        <v>40</v>
      </c>
      <c r="C985" s="149">
        <v>422.0</v>
      </c>
    </row>
    <row r="986">
      <c r="A986" s="2" t="s">
        <v>62</v>
      </c>
      <c r="B986" s="2" t="s">
        <v>50</v>
      </c>
      <c r="C986" s="149">
        <v>1752.0</v>
      </c>
    </row>
    <row r="987">
      <c r="A987" s="2" t="s">
        <v>62</v>
      </c>
      <c r="B987" s="2" t="s">
        <v>51</v>
      </c>
      <c r="C987" s="149">
        <v>762.0</v>
      </c>
    </row>
    <row r="988">
      <c r="A988" s="2" t="s">
        <v>62</v>
      </c>
      <c r="B988" s="2" t="s">
        <v>23</v>
      </c>
      <c r="C988" s="149">
        <v>1082.0</v>
      </c>
    </row>
    <row r="989">
      <c r="A989" s="2" t="s">
        <v>62</v>
      </c>
      <c r="B989" s="2" t="s">
        <v>47</v>
      </c>
      <c r="C989" s="149">
        <v>186.0</v>
      </c>
    </row>
    <row r="990">
      <c r="A990" s="2" t="s">
        <v>62</v>
      </c>
      <c r="B990" s="2" t="s">
        <v>62</v>
      </c>
      <c r="C990" s="149">
        <v>0.0</v>
      </c>
    </row>
    <row r="991">
      <c r="A991" s="2" t="s">
        <v>62</v>
      </c>
      <c r="B991" s="2" t="s">
        <v>30</v>
      </c>
      <c r="C991" s="149">
        <v>748.0</v>
      </c>
    </row>
    <row r="992">
      <c r="A992" s="2" t="s">
        <v>62</v>
      </c>
      <c r="B992" s="2" t="s">
        <v>32</v>
      </c>
      <c r="C992" s="149">
        <v>832.0</v>
      </c>
    </row>
    <row r="993">
      <c r="A993" s="2" t="s">
        <v>62</v>
      </c>
      <c r="B993" s="2" t="s">
        <v>46</v>
      </c>
      <c r="C993" s="149">
        <v>232.0</v>
      </c>
    </row>
    <row r="994">
      <c r="A994" s="2" t="s">
        <v>62</v>
      </c>
      <c r="B994" s="2" t="s">
        <v>54</v>
      </c>
      <c r="C994" s="149">
        <v>1312.0</v>
      </c>
    </row>
    <row r="995">
      <c r="A995" s="2" t="s">
        <v>62</v>
      </c>
      <c r="B995" s="2" t="s">
        <v>34</v>
      </c>
      <c r="C995" s="149">
        <v>308.0</v>
      </c>
    </row>
    <row r="996">
      <c r="A996" s="2" t="s">
        <v>62</v>
      </c>
      <c r="B996" s="2" t="s">
        <v>20</v>
      </c>
      <c r="C996" s="149">
        <v>1100.0</v>
      </c>
    </row>
    <row r="997">
      <c r="A997" s="2" t="s">
        <v>62</v>
      </c>
      <c r="B997" s="2" t="s">
        <v>24</v>
      </c>
      <c r="C997" s="149">
        <v>932.0</v>
      </c>
    </row>
    <row r="998">
      <c r="A998" s="2" t="s">
        <v>62</v>
      </c>
      <c r="B998" s="2" t="s">
        <v>63</v>
      </c>
      <c r="C998" s="149">
        <v>456.0</v>
      </c>
    </row>
    <row r="999">
      <c r="A999" s="2" t="s">
        <v>62</v>
      </c>
      <c r="B999" s="2" t="s">
        <v>58</v>
      </c>
      <c r="C999" s="149">
        <v>1232.0</v>
      </c>
    </row>
    <row r="1000">
      <c r="A1000" s="2" t="s">
        <v>62</v>
      </c>
      <c r="B1000" s="2" t="s">
        <v>42</v>
      </c>
      <c r="C1000" s="149">
        <v>524.0</v>
      </c>
    </row>
    <row r="1001">
      <c r="A1001" s="2" t="s">
        <v>62</v>
      </c>
      <c r="B1001" s="2" t="s">
        <v>21</v>
      </c>
      <c r="C1001" s="149">
        <v>1080.0</v>
      </c>
    </row>
    <row r="1002">
      <c r="A1002" s="2" t="s">
        <v>62</v>
      </c>
      <c r="B1002" s="2" t="s">
        <v>33</v>
      </c>
      <c r="C1002" s="149">
        <v>814.0</v>
      </c>
    </row>
    <row r="1003">
      <c r="A1003" s="2" t="s">
        <v>62</v>
      </c>
      <c r="B1003" s="2" t="s">
        <v>66</v>
      </c>
      <c r="C1003" s="149">
        <v>840.0</v>
      </c>
    </row>
    <row r="1004">
      <c r="A1004" s="2" t="s">
        <v>62</v>
      </c>
      <c r="B1004" s="2" t="s">
        <v>29</v>
      </c>
      <c r="C1004" s="149">
        <v>1462.0</v>
      </c>
    </row>
    <row r="1005">
      <c r="A1005" s="2" t="s">
        <v>62</v>
      </c>
      <c r="B1005" s="2" t="s">
        <v>60</v>
      </c>
      <c r="C1005" s="149">
        <v>450.0</v>
      </c>
    </row>
    <row r="1006">
      <c r="A1006" s="2" t="s">
        <v>62</v>
      </c>
      <c r="B1006" s="2" t="s">
        <v>38</v>
      </c>
      <c r="C1006" s="149">
        <v>900.0</v>
      </c>
    </row>
    <row r="1007">
      <c r="A1007" s="2" t="s">
        <v>62</v>
      </c>
      <c r="B1007" s="2" t="s">
        <v>61</v>
      </c>
      <c r="C1007" s="149">
        <v>112.0</v>
      </c>
    </row>
    <row r="1008">
      <c r="A1008" s="2" t="s">
        <v>62</v>
      </c>
      <c r="B1008" s="2" t="s">
        <v>52</v>
      </c>
      <c r="C1008" s="149">
        <v>938.0</v>
      </c>
    </row>
    <row r="1009">
      <c r="A1009" s="2" t="s">
        <v>62</v>
      </c>
      <c r="B1009" s="2" t="s">
        <v>25</v>
      </c>
      <c r="C1009" s="149">
        <v>1068.0</v>
      </c>
    </row>
    <row r="1010">
      <c r="A1010" s="2" t="s">
        <v>62</v>
      </c>
      <c r="B1010" s="2" t="s">
        <v>67</v>
      </c>
      <c r="C1010" s="149">
        <v>1160.0</v>
      </c>
    </row>
    <row r="1011">
      <c r="A1011" s="2" t="s">
        <v>62</v>
      </c>
      <c r="B1011" s="2" t="s">
        <v>45</v>
      </c>
      <c r="C1011" s="149">
        <v>232.0</v>
      </c>
    </row>
    <row r="1012">
      <c r="A1012" s="2" t="s">
        <v>62</v>
      </c>
      <c r="B1012" s="2" t="s">
        <v>53</v>
      </c>
      <c r="C1012" s="149">
        <v>1338.0</v>
      </c>
    </row>
    <row r="1013">
      <c r="A1013" s="2" t="s">
        <v>62</v>
      </c>
      <c r="B1013" s="2" t="s">
        <v>26</v>
      </c>
      <c r="C1013" s="149">
        <v>1194.0</v>
      </c>
    </row>
    <row r="1014">
      <c r="A1014" s="2" t="s">
        <v>62</v>
      </c>
      <c r="B1014" s="2" t="s">
        <v>28</v>
      </c>
      <c r="C1014" s="149">
        <v>742.0</v>
      </c>
    </row>
    <row r="1015">
      <c r="A1015" s="2" t="s">
        <v>62</v>
      </c>
      <c r="B1015" s="2" t="s">
        <v>55</v>
      </c>
      <c r="C1015" s="149">
        <v>1726.0</v>
      </c>
    </row>
    <row r="1016">
      <c r="A1016" s="2" t="s">
        <v>62</v>
      </c>
      <c r="B1016" s="2" t="s">
        <v>48</v>
      </c>
      <c r="C1016" s="149">
        <v>328.0</v>
      </c>
    </row>
    <row r="1017">
      <c r="A1017" s="2" t="s">
        <v>62</v>
      </c>
      <c r="B1017" s="2" t="s">
        <v>2035</v>
      </c>
      <c r="C1017" s="149">
        <v>1956.0</v>
      </c>
    </row>
    <row r="1018">
      <c r="A1018" s="2" t="s">
        <v>62</v>
      </c>
      <c r="B1018" s="2" t="s">
        <v>59</v>
      </c>
      <c r="C1018" s="149">
        <v>1128.0</v>
      </c>
    </row>
    <row r="1019">
      <c r="A1019" s="2" t="s">
        <v>62</v>
      </c>
      <c r="B1019" s="2" t="s">
        <v>44</v>
      </c>
      <c r="C1019" s="149">
        <v>230.0</v>
      </c>
    </row>
    <row r="1020">
      <c r="A1020" s="2" t="s">
        <v>62</v>
      </c>
      <c r="B1020" s="2" t="s">
        <v>2036</v>
      </c>
      <c r="C1020" s="149">
        <v>1870.0</v>
      </c>
    </row>
    <row r="1021">
      <c r="A1021" s="2" t="s">
        <v>62</v>
      </c>
      <c r="B1021" s="2" t="s">
        <v>2037</v>
      </c>
      <c r="C1021" s="149">
        <v>1938.0</v>
      </c>
    </row>
    <row r="1022">
      <c r="A1022" s="2" t="s">
        <v>30</v>
      </c>
      <c r="B1022" s="2" t="s">
        <v>18</v>
      </c>
      <c r="C1022" s="149">
        <v>796.0</v>
      </c>
    </row>
    <row r="1023">
      <c r="A1023" s="2" t="s">
        <v>30</v>
      </c>
      <c r="B1023" s="2" t="s">
        <v>49</v>
      </c>
      <c r="C1023" s="149">
        <v>1984.0</v>
      </c>
    </row>
    <row r="1024">
      <c r="A1024" s="2" t="s">
        <v>30</v>
      </c>
      <c r="B1024" s="2" t="s">
        <v>22</v>
      </c>
      <c r="C1024" s="149">
        <v>1368.0</v>
      </c>
    </row>
    <row r="1025">
      <c r="A1025" s="2" t="s">
        <v>30</v>
      </c>
      <c r="B1025" s="2" t="s">
        <v>27</v>
      </c>
      <c r="C1025" s="149">
        <v>658.0</v>
      </c>
    </row>
    <row r="1026">
      <c r="A1026" s="2" t="s">
        <v>30</v>
      </c>
      <c r="B1026" s="2" t="s">
        <v>35</v>
      </c>
      <c r="C1026" s="149">
        <v>1496.0</v>
      </c>
    </row>
    <row r="1027">
      <c r="A1027" s="2" t="s">
        <v>30</v>
      </c>
      <c r="B1027" s="2" t="s">
        <v>41</v>
      </c>
      <c r="C1027" s="149">
        <v>1364.0</v>
      </c>
    </row>
    <row r="1028">
      <c r="A1028" s="2" t="s">
        <v>30</v>
      </c>
      <c r="B1028" s="2" t="s">
        <v>57</v>
      </c>
      <c r="C1028" s="149">
        <v>570.0</v>
      </c>
    </row>
    <row r="1029">
      <c r="A1029" s="2" t="s">
        <v>30</v>
      </c>
      <c r="B1029" s="2" t="s">
        <v>37</v>
      </c>
      <c r="C1029" s="149">
        <v>786.0</v>
      </c>
    </row>
    <row r="1030">
      <c r="A1030" s="2" t="s">
        <v>30</v>
      </c>
      <c r="B1030" s="2" t="s">
        <v>39</v>
      </c>
      <c r="C1030" s="149">
        <v>764.0</v>
      </c>
    </row>
    <row r="1031">
      <c r="A1031" s="2" t="s">
        <v>30</v>
      </c>
      <c r="B1031" s="2" t="s">
        <v>64</v>
      </c>
      <c r="C1031" s="149">
        <v>1130.0</v>
      </c>
    </row>
    <row r="1032">
      <c r="A1032" s="2" t="s">
        <v>30</v>
      </c>
      <c r="B1032" s="2" t="s">
        <v>65</v>
      </c>
      <c r="C1032" s="149">
        <v>1004.0</v>
      </c>
    </row>
    <row r="1033">
      <c r="A1033" s="2" t="s">
        <v>30</v>
      </c>
      <c r="B1033" s="2" t="s">
        <v>36</v>
      </c>
      <c r="C1033" s="149">
        <v>1488.0</v>
      </c>
    </row>
    <row r="1034">
      <c r="A1034" s="2" t="s">
        <v>30</v>
      </c>
      <c r="B1034" s="2" t="s">
        <v>31</v>
      </c>
      <c r="C1034" s="149">
        <v>386.0</v>
      </c>
    </row>
    <row r="1035">
      <c r="A1035" s="2" t="s">
        <v>30</v>
      </c>
      <c r="B1035" s="2" t="s">
        <v>43</v>
      </c>
      <c r="C1035" s="149">
        <v>1182.0</v>
      </c>
    </row>
    <row r="1036">
      <c r="A1036" s="2" t="s">
        <v>30</v>
      </c>
      <c r="B1036" s="2" t="s">
        <v>40</v>
      </c>
      <c r="C1036" s="149">
        <v>578.0</v>
      </c>
    </row>
    <row r="1037">
      <c r="A1037" s="2" t="s">
        <v>30</v>
      </c>
      <c r="B1037" s="2" t="s">
        <v>50</v>
      </c>
      <c r="C1037" s="149">
        <v>2114.0</v>
      </c>
    </row>
    <row r="1038">
      <c r="A1038" s="2" t="s">
        <v>30</v>
      </c>
      <c r="B1038" s="2" t="s">
        <v>51</v>
      </c>
      <c r="C1038" s="149">
        <v>510.0</v>
      </c>
    </row>
    <row r="1039">
      <c r="A1039" s="2" t="s">
        <v>30</v>
      </c>
      <c r="B1039" s="2" t="s">
        <v>23</v>
      </c>
      <c r="C1039" s="149">
        <v>1446.0</v>
      </c>
    </row>
    <row r="1040">
      <c r="A1040" s="2" t="s">
        <v>30</v>
      </c>
      <c r="B1040" s="2" t="s">
        <v>47</v>
      </c>
      <c r="C1040" s="149">
        <v>706.0</v>
      </c>
    </row>
    <row r="1041">
      <c r="A1041" s="2" t="s">
        <v>30</v>
      </c>
      <c r="B1041" s="2" t="s">
        <v>62</v>
      </c>
      <c r="C1041" s="149">
        <v>748.0</v>
      </c>
    </row>
    <row r="1042">
      <c r="A1042" s="2" t="s">
        <v>30</v>
      </c>
      <c r="B1042" s="2" t="s">
        <v>30</v>
      </c>
      <c r="C1042" s="149">
        <v>0.0</v>
      </c>
    </row>
    <row r="1043">
      <c r="A1043" s="2" t="s">
        <v>30</v>
      </c>
      <c r="B1043" s="2" t="s">
        <v>32</v>
      </c>
      <c r="C1043" s="149">
        <v>152.0</v>
      </c>
    </row>
    <row r="1044">
      <c r="A1044" s="2" t="s">
        <v>30</v>
      </c>
      <c r="B1044" s="2" t="s">
        <v>46</v>
      </c>
      <c r="C1044" s="149">
        <v>888.0</v>
      </c>
    </row>
    <row r="1045">
      <c r="A1045" s="2" t="s">
        <v>30</v>
      </c>
      <c r="B1045" s="2" t="s">
        <v>54</v>
      </c>
      <c r="C1045" s="149">
        <v>1832.0</v>
      </c>
    </row>
    <row r="1046">
      <c r="A1046" s="2" t="s">
        <v>30</v>
      </c>
      <c r="B1046" s="2" t="s">
        <v>34</v>
      </c>
      <c r="C1046" s="149">
        <v>888.0</v>
      </c>
    </row>
    <row r="1047">
      <c r="A1047" s="2" t="s">
        <v>30</v>
      </c>
      <c r="B1047" s="2" t="s">
        <v>20</v>
      </c>
      <c r="C1047" s="149">
        <v>1510.0</v>
      </c>
    </row>
    <row r="1048">
      <c r="A1048" s="2" t="s">
        <v>30</v>
      </c>
      <c r="B1048" s="2" t="s">
        <v>24</v>
      </c>
      <c r="C1048" s="149">
        <v>626.0</v>
      </c>
    </row>
    <row r="1049">
      <c r="A1049" s="2" t="s">
        <v>30</v>
      </c>
      <c r="B1049" s="2" t="s">
        <v>63</v>
      </c>
      <c r="C1049" s="149">
        <v>364.0</v>
      </c>
    </row>
    <row r="1050">
      <c r="A1050" s="2" t="s">
        <v>30</v>
      </c>
      <c r="B1050" s="2" t="s">
        <v>58</v>
      </c>
      <c r="C1050" s="149">
        <v>618.0</v>
      </c>
    </row>
    <row r="1051">
      <c r="A1051" s="2" t="s">
        <v>30</v>
      </c>
      <c r="B1051" s="2" t="s">
        <v>42</v>
      </c>
      <c r="C1051" s="149">
        <v>1180.0</v>
      </c>
    </row>
    <row r="1052">
      <c r="A1052" s="2" t="s">
        <v>30</v>
      </c>
      <c r="B1052" s="2" t="s">
        <v>21</v>
      </c>
      <c r="C1052" s="149">
        <v>1600.0</v>
      </c>
    </row>
    <row r="1053">
      <c r="A1053" s="2" t="s">
        <v>30</v>
      </c>
      <c r="B1053" s="2" t="s">
        <v>33</v>
      </c>
      <c r="C1053" s="149">
        <v>970.0</v>
      </c>
    </row>
    <row r="1054">
      <c r="A1054" s="2" t="s">
        <v>30</v>
      </c>
      <c r="B1054" s="2" t="s">
        <v>66</v>
      </c>
      <c r="C1054" s="149">
        <v>1538.0</v>
      </c>
    </row>
    <row r="1055">
      <c r="A1055" s="2" t="s">
        <v>30</v>
      </c>
      <c r="B1055" s="2" t="s">
        <v>29</v>
      </c>
      <c r="C1055" s="149">
        <v>1618.0</v>
      </c>
    </row>
    <row r="1056">
      <c r="A1056" s="2" t="s">
        <v>30</v>
      </c>
      <c r="B1056" s="2" t="s">
        <v>60</v>
      </c>
      <c r="C1056" s="149">
        <v>1016.0</v>
      </c>
    </row>
    <row r="1057">
      <c r="A1057" s="2" t="s">
        <v>30</v>
      </c>
      <c r="B1057" s="2" t="s">
        <v>38</v>
      </c>
      <c r="C1057" s="149">
        <v>1058.0</v>
      </c>
    </row>
    <row r="1058">
      <c r="A1058" s="2" t="s">
        <v>30</v>
      </c>
      <c r="B1058" s="2" t="s">
        <v>61</v>
      </c>
      <c r="C1058" s="149">
        <v>692.0</v>
      </c>
    </row>
    <row r="1059">
      <c r="A1059" s="2" t="s">
        <v>30</v>
      </c>
      <c r="B1059" s="2" t="s">
        <v>52</v>
      </c>
      <c r="C1059" s="149">
        <v>322.0</v>
      </c>
    </row>
    <row r="1060">
      <c r="A1060" s="2" t="s">
        <v>30</v>
      </c>
      <c r="B1060" s="2" t="s">
        <v>25</v>
      </c>
      <c r="C1060" s="149">
        <v>524.0</v>
      </c>
    </row>
    <row r="1061">
      <c r="A1061" s="2" t="s">
        <v>30</v>
      </c>
      <c r="B1061" s="2" t="s">
        <v>67</v>
      </c>
      <c r="C1061" s="149">
        <v>888.0</v>
      </c>
    </row>
    <row r="1062">
      <c r="A1062" s="2" t="s">
        <v>30</v>
      </c>
      <c r="B1062" s="2" t="s">
        <v>45</v>
      </c>
      <c r="C1062" s="149">
        <v>888.0</v>
      </c>
    </row>
    <row r="1063">
      <c r="A1063" s="2" t="s">
        <v>30</v>
      </c>
      <c r="B1063" s="2" t="s">
        <v>53</v>
      </c>
      <c r="C1063" s="149">
        <v>658.0</v>
      </c>
    </row>
    <row r="1064">
      <c r="A1064" s="2" t="s">
        <v>30</v>
      </c>
      <c r="B1064" s="2" t="s">
        <v>26</v>
      </c>
      <c r="C1064" s="149">
        <v>622.0</v>
      </c>
    </row>
    <row r="1065">
      <c r="A1065" s="2" t="s">
        <v>30</v>
      </c>
      <c r="B1065" s="2" t="s">
        <v>28</v>
      </c>
      <c r="C1065" s="149">
        <v>746.0</v>
      </c>
    </row>
    <row r="1066">
      <c r="A1066" s="2" t="s">
        <v>30</v>
      </c>
      <c r="B1066" s="2" t="s">
        <v>55</v>
      </c>
      <c r="C1066" s="149">
        <v>2246.0</v>
      </c>
    </row>
    <row r="1067">
      <c r="A1067" s="2" t="s">
        <v>30</v>
      </c>
      <c r="B1067" s="2" t="s">
        <v>48</v>
      </c>
      <c r="C1067" s="149">
        <v>608.0</v>
      </c>
    </row>
    <row r="1068">
      <c r="A1068" s="2" t="s">
        <v>30</v>
      </c>
      <c r="B1068" s="2" t="s">
        <v>2035</v>
      </c>
      <c r="C1068" s="149">
        <v>2476.0</v>
      </c>
    </row>
    <row r="1069">
      <c r="A1069" s="2" t="s">
        <v>30</v>
      </c>
      <c r="B1069" s="2" t="s">
        <v>59</v>
      </c>
      <c r="C1069" s="149">
        <v>510.0</v>
      </c>
    </row>
    <row r="1070">
      <c r="A1070" s="2" t="s">
        <v>30</v>
      </c>
      <c r="B1070" s="2" t="s">
        <v>44</v>
      </c>
      <c r="C1070" s="149">
        <v>936.0</v>
      </c>
    </row>
    <row r="1071">
      <c r="A1071" s="2" t="s">
        <v>30</v>
      </c>
      <c r="B1071" s="2" t="s">
        <v>2036</v>
      </c>
      <c r="C1071" s="149">
        <v>2400.0</v>
      </c>
    </row>
    <row r="1072">
      <c r="A1072" s="2" t="s">
        <v>30</v>
      </c>
      <c r="B1072" s="2" t="s">
        <v>2037</v>
      </c>
      <c r="C1072" s="149">
        <v>2434.0</v>
      </c>
    </row>
    <row r="1073">
      <c r="A1073" s="2" t="s">
        <v>32</v>
      </c>
      <c r="B1073" s="2" t="s">
        <v>18</v>
      </c>
      <c r="C1073" s="149">
        <v>872.0</v>
      </c>
    </row>
    <row r="1074">
      <c r="A1074" s="2" t="s">
        <v>32</v>
      </c>
      <c r="B1074" s="2" t="s">
        <v>49</v>
      </c>
      <c r="C1074" s="149">
        <v>2068.0</v>
      </c>
    </row>
    <row r="1075">
      <c r="A1075" s="2" t="s">
        <v>32</v>
      </c>
      <c r="B1075" s="2" t="s">
        <v>22</v>
      </c>
      <c r="C1075" s="149">
        <v>1452.0</v>
      </c>
    </row>
    <row r="1076">
      <c r="A1076" s="2" t="s">
        <v>32</v>
      </c>
      <c r="B1076" s="2" t="s">
        <v>27</v>
      </c>
      <c r="C1076" s="149">
        <v>532.0</v>
      </c>
    </row>
    <row r="1077">
      <c r="A1077" s="2" t="s">
        <v>32</v>
      </c>
      <c r="B1077" s="2" t="s">
        <v>35</v>
      </c>
      <c r="C1077" s="149">
        <v>1580.0</v>
      </c>
    </row>
    <row r="1078">
      <c r="A1078" s="2" t="s">
        <v>32</v>
      </c>
      <c r="B1078" s="2" t="s">
        <v>41</v>
      </c>
      <c r="C1078" s="149">
        <v>1448.0</v>
      </c>
    </row>
    <row r="1079">
      <c r="A1079" s="2" t="s">
        <v>32</v>
      </c>
      <c r="B1079" s="2" t="s">
        <v>57</v>
      </c>
      <c r="C1079" s="149">
        <v>430.0</v>
      </c>
    </row>
    <row r="1080">
      <c r="A1080" s="2" t="s">
        <v>32</v>
      </c>
      <c r="B1080" s="2" t="s">
        <v>37</v>
      </c>
      <c r="C1080" s="149">
        <v>760.0</v>
      </c>
    </row>
    <row r="1081">
      <c r="A1081" s="2" t="s">
        <v>32</v>
      </c>
      <c r="B1081" s="2" t="s">
        <v>39</v>
      </c>
      <c r="C1081" s="149">
        <v>828.0</v>
      </c>
    </row>
    <row r="1082">
      <c r="A1082" s="2" t="s">
        <v>32</v>
      </c>
      <c r="B1082" s="2" t="s">
        <v>64</v>
      </c>
      <c r="C1082" s="149">
        <v>1212.0</v>
      </c>
    </row>
    <row r="1083">
      <c r="A1083" s="2" t="s">
        <v>32</v>
      </c>
      <c r="B1083" s="2" t="s">
        <v>65</v>
      </c>
      <c r="C1083" s="149">
        <v>1088.0</v>
      </c>
    </row>
    <row r="1084">
      <c r="A1084" s="2" t="s">
        <v>32</v>
      </c>
      <c r="B1084" s="2" t="s">
        <v>36</v>
      </c>
      <c r="C1084" s="149">
        <v>1572.0</v>
      </c>
    </row>
    <row r="1085">
      <c r="A1085" s="2" t="s">
        <v>32</v>
      </c>
      <c r="B1085" s="2" t="s">
        <v>31</v>
      </c>
      <c r="C1085" s="149">
        <v>248.0</v>
      </c>
    </row>
    <row r="1086">
      <c r="A1086" s="2" t="s">
        <v>32</v>
      </c>
      <c r="B1086" s="2" t="s">
        <v>43</v>
      </c>
      <c r="C1086" s="149">
        <v>1266.0</v>
      </c>
    </row>
    <row r="1087">
      <c r="A1087" s="2" t="s">
        <v>32</v>
      </c>
      <c r="B1087" s="2" t="s">
        <v>40</v>
      </c>
      <c r="C1087" s="149">
        <v>662.0</v>
      </c>
    </row>
    <row r="1088">
      <c r="A1088" s="2" t="s">
        <v>32</v>
      </c>
      <c r="B1088" s="2" t="s">
        <v>50</v>
      </c>
      <c r="C1088" s="149">
        <v>2198.0</v>
      </c>
    </row>
    <row r="1089">
      <c r="A1089" s="2" t="s">
        <v>32</v>
      </c>
      <c r="B1089" s="2" t="s">
        <v>51</v>
      </c>
      <c r="C1089" s="149">
        <v>382.0</v>
      </c>
    </row>
    <row r="1090">
      <c r="A1090" s="2" t="s">
        <v>32</v>
      </c>
      <c r="B1090" s="2" t="s">
        <v>23</v>
      </c>
      <c r="C1090" s="149">
        <v>1530.0</v>
      </c>
    </row>
    <row r="1091">
      <c r="A1091" s="2" t="s">
        <v>32</v>
      </c>
      <c r="B1091" s="2" t="s">
        <v>47</v>
      </c>
      <c r="C1091" s="149">
        <v>788.0</v>
      </c>
    </row>
    <row r="1092">
      <c r="A1092" s="2" t="s">
        <v>32</v>
      </c>
      <c r="B1092" s="2" t="s">
        <v>62</v>
      </c>
      <c r="C1092" s="149">
        <v>832.0</v>
      </c>
    </row>
    <row r="1093">
      <c r="A1093" s="2" t="s">
        <v>32</v>
      </c>
      <c r="B1093" s="2" t="s">
        <v>30</v>
      </c>
      <c r="C1093" s="149">
        <v>152.0</v>
      </c>
    </row>
    <row r="1094">
      <c r="A1094" s="2" t="s">
        <v>32</v>
      </c>
      <c r="B1094" s="2" t="s">
        <v>32</v>
      </c>
      <c r="C1094" s="149">
        <v>0.0</v>
      </c>
    </row>
    <row r="1095">
      <c r="A1095" s="2" t="s">
        <v>32</v>
      </c>
      <c r="B1095" s="2" t="s">
        <v>46</v>
      </c>
      <c r="C1095" s="149">
        <v>964.0</v>
      </c>
    </row>
    <row r="1096">
      <c r="A1096" s="2" t="s">
        <v>32</v>
      </c>
      <c r="B1096" s="2" t="s">
        <v>54</v>
      </c>
      <c r="C1096" s="149">
        <v>1906.0</v>
      </c>
    </row>
    <row r="1097">
      <c r="A1097" s="2" t="s">
        <v>32</v>
      </c>
      <c r="B1097" s="2" t="s">
        <v>34</v>
      </c>
      <c r="C1097" s="149">
        <v>962.0</v>
      </c>
    </row>
    <row r="1098">
      <c r="A1098" s="2" t="s">
        <v>32</v>
      </c>
      <c r="B1098" s="2" t="s">
        <v>20</v>
      </c>
      <c r="C1098" s="149">
        <v>1586.0</v>
      </c>
    </row>
    <row r="1099">
      <c r="A1099" s="2" t="s">
        <v>32</v>
      </c>
      <c r="B1099" s="2" t="s">
        <v>24</v>
      </c>
      <c r="C1099" s="149">
        <v>484.0</v>
      </c>
    </row>
    <row r="1100">
      <c r="A1100" s="2" t="s">
        <v>32</v>
      </c>
      <c r="B1100" s="2" t="s">
        <v>63</v>
      </c>
      <c r="C1100" s="149">
        <v>440.0</v>
      </c>
    </row>
    <row r="1101">
      <c r="A1101" s="2" t="s">
        <v>32</v>
      </c>
      <c r="B1101" s="2" t="s">
        <v>58</v>
      </c>
      <c r="C1101" s="149">
        <v>474.0</v>
      </c>
    </row>
    <row r="1102">
      <c r="A1102" s="2" t="s">
        <v>32</v>
      </c>
      <c r="B1102" s="2" t="s">
        <v>42</v>
      </c>
      <c r="C1102" s="149">
        <v>1256.0</v>
      </c>
    </row>
    <row r="1103">
      <c r="A1103" s="2" t="s">
        <v>32</v>
      </c>
      <c r="B1103" s="2" t="s">
        <v>21</v>
      </c>
      <c r="C1103" s="149">
        <v>1676.0</v>
      </c>
    </row>
    <row r="1104">
      <c r="A1104" s="2" t="s">
        <v>32</v>
      </c>
      <c r="B1104" s="2" t="s">
        <v>33</v>
      </c>
      <c r="C1104" s="149">
        <v>1046.0</v>
      </c>
    </row>
    <row r="1105">
      <c r="A1105" s="2" t="s">
        <v>32</v>
      </c>
      <c r="B1105" s="2" t="s">
        <v>66</v>
      </c>
      <c r="C1105" s="149">
        <v>1612.0</v>
      </c>
    </row>
    <row r="1106">
      <c r="A1106" s="2" t="s">
        <v>32</v>
      </c>
      <c r="B1106" s="2" t="s">
        <v>29</v>
      </c>
      <c r="C1106" s="149">
        <v>1542.0</v>
      </c>
    </row>
    <row r="1107">
      <c r="A1107" s="2" t="s">
        <v>32</v>
      </c>
      <c r="B1107" s="2" t="s">
        <v>60</v>
      </c>
      <c r="C1107" s="149">
        <v>1090.0</v>
      </c>
    </row>
    <row r="1108">
      <c r="A1108" s="2" t="s">
        <v>32</v>
      </c>
      <c r="B1108" s="2" t="s">
        <v>38</v>
      </c>
      <c r="C1108" s="149">
        <v>980.0</v>
      </c>
    </row>
    <row r="1109">
      <c r="A1109" s="2" t="s">
        <v>32</v>
      </c>
      <c r="B1109" s="2" t="s">
        <v>61</v>
      </c>
      <c r="C1109" s="149">
        <v>766.0</v>
      </c>
    </row>
    <row r="1110">
      <c r="A1110" s="2" t="s">
        <v>32</v>
      </c>
      <c r="B1110" s="2" t="s">
        <v>52</v>
      </c>
      <c r="C1110" s="149">
        <v>196.0</v>
      </c>
    </row>
    <row r="1111">
      <c r="A1111" s="2" t="s">
        <v>32</v>
      </c>
      <c r="B1111" s="2" t="s">
        <v>25</v>
      </c>
      <c r="C1111" s="149">
        <v>382.0</v>
      </c>
    </row>
    <row r="1112">
      <c r="A1112" s="2" t="s">
        <v>32</v>
      </c>
      <c r="B1112" s="2" t="s">
        <v>67</v>
      </c>
      <c r="C1112" s="149">
        <v>762.0</v>
      </c>
    </row>
    <row r="1113">
      <c r="A1113" s="2" t="s">
        <v>32</v>
      </c>
      <c r="B1113" s="2" t="s">
        <v>45</v>
      </c>
      <c r="C1113" s="149">
        <v>964.0</v>
      </c>
    </row>
    <row r="1114">
      <c r="A1114" s="2" t="s">
        <v>32</v>
      </c>
      <c r="B1114" s="2" t="s">
        <v>53</v>
      </c>
      <c r="C1114" s="149">
        <v>514.0</v>
      </c>
    </row>
    <row r="1115">
      <c r="A1115" s="2" t="s">
        <v>32</v>
      </c>
      <c r="B1115" s="2" t="s">
        <v>26</v>
      </c>
      <c r="C1115" s="149">
        <v>480.0</v>
      </c>
    </row>
    <row r="1116">
      <c r="A1116" s="2" t="s">
        <v>32</v>
      </c>
      <c r="B1116" s="2" t="s">
        <v>28</v>
      </c>
      <c r="C1116" s="149">
        <v>620.0</v>
      </c>
    </row>
    <row r="1117">
      <c r="A1117" s="2" t="s">
        <v>32</v>
      </c>
      <c r="B1117" s="2" t="s">
        <v>55</v>
      </c>
      <c r="C1117" s="149">
        <v>2320.0</v>
      </c>
    </row>
    <row r="1118">
      <c r="A1118" s="2" t="s">
        <v>32</v>
      </c>
      <c r="B1118" s="2" t="s">
        <v>48</v>
      </c>
      <c r="C1118" s="149">
        <v>682.0</v>
      </c>
    </row>
    <row r="1119">
      <c r="A1119" s="2" t="s">
        <v>32</v>
      </c>
      <c r="B1119" s="2" t="s">
        <v>2035</v>
      </c>
      <c r="C1119" s="149">
        <v>2552.0</v>
      </c>
    </row>
    <row r="1120">
      <c r="A1120" s="2" t="s">
        <v>32</v>
      </c>
      <c r="B1120" s="2" t="s">
        <v>59</v>
      </c>
      <c r="C1120" s="149">
        <v>370.0</v>
      </c>
    </row>
    <row r="1121">
      <c r="A1121" s="2" t="s">
        <v>32</v>
      </c>
      <c r="B1121" s="2" t="s">
        <v>44</v>
      </c>
      <c r="C1121" s="149">
        <v>1020.0</v>
      </c>
    </row>
    <row r="1122">
      <c r="A1122" s="2" t="s">
        <v>32</v>
      </c>
      <c r="B1122" s="2" t="s">
        <v>2036</v>
      </c>
      <c r="C1122" s="149">
        <v>2476.0</v>
      </c>
    </row>
    <row r="1123">
      <c r="A1123" s="2" t="s">
        <v>32</v>
      </c>
      <c r="B1123" s="2" t="s">
        <v>2037</v>
      </c>
      <c r="C1123" s="149">
        <v>2510.0</v>
      </c>
    </row>
    <row r="1124">
      <c r="A1124" s="2" t="s">
        <v>46</v>
      </c>
      <c r="B1124" s="2" t="s">
        <v>18</v>
      </c>
      <c r="C1124" s="149">
        <v>274.0</v>
      </c>
    </row>
    <row r="1125">
      <c r="A1125" s="2" t="s">
        <v>46</v>
      </c>
      <c r="B1125" s="2" t="s">
        <v>49</v>
      </c>
      <c r="C1125" s="149">
        <v>1934.0</v>
      </c>
    </row>
    <row r="1126">
      <c r="A1126" s="2" t="s">
        <v>46</v>
      </c>
      <c r="B1126" s="2" t="s">
        <v>22</v>
      </c>
      <c r="C1126" s="149">
        <v>1182.0</v>
      </c>
    </row>
    <row r="1127">
      <c r="A1127" s="2" t="s">
        <v>46</v>
      </c>
      <c r="B1127" s="2" t="s">
        <v>27</v>
      </c>
      <c r="C1127" s="149">
        <v>922.0</v>
      </c>
    </row>
    <row r="1128">
      <c r="A1128" s="2" t="s">
        <v>46</v>
      </c>
      <c r="B1128" s="2" t="s">
        <v>35</v>
      </c>
      <c r="C1128" s="149">
        <v>602.0</v>
      </c>
    </row>
    <row r="1129">
      <c r="A1129" s="2" t="s">
        <v>46</v>
      </c>
      <c r="B1129" s="2" t="s">
        <v>41</v>
      </c>
      <c r="C1129" s="149">
        <v>468.0</v>
      </c>
    </row>
    <row r="1130">
      <c r="A1130" s="2" t="s">
        <v>46</v>
      </c>
      <c r="B1130" s="2" t="s">
        <v>57</v>
      </c>
      <c r="C1130" s="149">
        <v>1366.0</v>
      </c>
    </row>
    <row r="1131">
      <c r="A1131" s="2" t="s">
        <v>46</v>
      </c>
      <c r="B1131" s="2" t="s">
        <v>37</v>
      </c>
      <c r="C1131" s="149">
        <v>808.0</v>
      </c>
    </row>
    <row r="1132">
      <c r="A1132" s="2" t="s">
        <v>46</v>
      </c>
      <c r="B1132" s="2" t="s">
        <v>39</v>
      </c>
      <c r="C1132" s="149">
        <v>786.0</v>
      </c>
    </row>
    <row r="1133">
      <c r="A1133" s="2" t="s">
        <v>46</v>
      </c>
      <c r="B1133" s="2" t="s">
        <v>64</v>
      </c>
      <c r="C1133" s="149">
        <v>234.0</v>
      </c>
    </row>
    <row r="1134">
      <c r="A1134" s="2" t="s">
        <v>46</v>
      </c>
      <c r="B1134" s="2" t="s">
        <v>65</v>
      </c>
      <c r="C1134" s="149">
        <v>108.0</v>
      </c>
    </row>
    <row r="1135">
      <c r="A1135" s="2" t="s">
        <v>46</v>
      </c>
      <c r="B1135" s="2" t="s">
        <v>36</v>
      </c>
      <c r="C1135" s="149">
        <v>594.0</v>
      </c>
    </row>
    <row r="1136">
      <c r="A1136" s="2" t="s">
        <v>46</v>
      </c>
      <c r="B1136" s="2" t="s">
        <v>31</v>
      </c>
      <c r="C1136" s="149">
        <v>1202.0</v>
      </c>
    </row>
    <row r="1137">
      <c r="A1137" s="2" t="s">
        <v>46</v>
      </c>
      <c r="B1137" s="2" t="s">
        <v>43</v>
      </c>
      <c r="C1137" s="149">
        <v>286.0</v>
      </c>
    </row>
    <row r="1138">
      <c r="A1138" s="2" t="s">
        <v>46</v>
      </c>
      <c r="B1138" s="2" t="s">
        <v>40</v>
      </c>
      <c r="C1138" s="149">
        <v>600.0</v>
      </c>
    </row>
    <row r="1139">
      <c r="A1139" s="2" t="s">
        <v>46</v>
      </c>
      <c r="B1139" s="2" t="s">
        <v>50</v>
      </c>
      <c r="C1139" s="149">
        <v>1928.0</v>
      </c>
    </row>
    <row r="1140">
      <c r="A1140" s="2" t="s">
        <v>46</v>
      </c>
      <c r="B1140" s="2" t="s">
        <v>51</v>
      </c>
      <c r="C1140" s="149">
        <v>940.0</v>
      </c>
    </row>
    <row r="1141">
      <c r="A1141" s="2" t="s">
        <v>46</v>
      </c>
      <c r="B1141" s="2" t="s">
        <v>23</v>
      </c>
      <c r="C1141" s="149">
        <v>1260.0</v>
      </c>
    </row>
    <row r="1142">
      <c r="A1142" s="2" t="s">
        <v>46</v>
      </c>
      <c r="B1142" s="2" t="s">
        <v>47</v>
      </c>
      <c r="C1142" s="149">
        <v>218.0</v>
      </c>
    </row>
    <row r="1143">
      <c r="A1143" s="2" t="s">
        <v>46</v>
      </c>
      <c r="B1143" s="2" t="s">
        <v>62</v>
      </c>
      <c r="C1143" s="149">
        <v>232.0</v>
      </c>
    </row>
    <row r="1144">
      <c r="A1144" s="2" t="s">
        <v>46</v>
      </c>
      <c r="B1144" s="2" t="s">
        <v>30</v>
      </c>
      <c r="C1144" s="149">
        <v>888.0</v>
      </c>
    </row>
    <row r="1145">
      <c r="A1145" s="2" t="s">
        <v>46</v>
      </c>
      <c r="B1145" s="2" t="s">
        <v>32</v>
      </c>
      <c r="C1145" s="149">
        <v>964.0</v>
      </c>
    </row>
    <row r="1146">
      <c r="A1146" s="2" t="s">
        <v>46</v>
      </c>
      <c r="B1146" s="2" t="s">
        <v>46</v>
      </c>
      <c r="C1146" s="149">
        <v>0.0</v>
      </c>
    </row>
    <row r="1147">
      <c r="A1147" s="2" t="s">
        <v>46</v>
      </c>
      <c r="B1147" s="2" t="s">
        <v>54</v>
      </c>
      <c r="C1147" s="149">
        <v>1504.0</v>
      </c>
    </row>
    <row r="1148">
      <c r="A1148" s="2" t="s">
        <v>46</v>
      </c>
      <c r="B1148" s="2" t="s">
        <v>34</v>
      </c>
      <c r="C1148" s="149">
        <v>500.0</v>
      </c>
    </row>
    <row r="1149">
      <c r="A1149" s="2" t="s">
        <v>46</v>
      </c>
      <c r="B1149" s="2" t="s">
        <v>20</v>
      </c>
      <c r="C1149" s="149">
        <v>1292.0</v>
      </c>
    </row>
    <row r="1150">
      <c r="A1150" s="2" t="s">
        <v>46</v>
      </c>
      <c r="B1150" s="2" t="s">
        <v>24</v>
      </c>
      <c r="C1150" s="149">
        <v>1124.0</v>
      </c>
    </row>
    <row r="1151">
      <c r="A1151" s="2" t="s">
        <v>46</v>
      </c>
      <c r="B1151" s="2" t="s">
        <v>63</v>
      </c>
      <c r="C1151" s="149">
        <v>544.0</v>
      </c>
    </row>
    <row r="1152">
      <c r="A1152" s="2" t="s">
        <v>46</v>
      </c>
      <c r="B1152" s="2" t="s">
        <v>58</v>
      </c>
      <c r="C1152" s="149">
        <v>1424.0</v>
      </c>
    </row>
    <row r="1153">
      <c r="A1153" s="2" t="s">
        <v>46</v>
      </c>
      <c r="B1153" s="2" t="s">
        <v>42</v>
      </c>
      <c r="C1153" s="149">
        <v>300.0</v>
      </c>
    </row>
    <row r="1154">
      <c r="A1154" s="2" t="s">
        <v>46</v>
      </c>
      <c r="B1154" s="2" t="s">
        <v>21</v>
      </c>
      <c r="C1154" s="149">
        <v>1272.0</v>
      </c>
    </row>
    <row r="1155">
      <c r="A1155" s="2" t="s">
        <v>46</v>
      </c>
      <c r="B1155" s="2" t="s">
        <v>33</v>
      </c>
      <c r="C1155" s="149">
        <v>1004.0</v>
      </c>
    </row>
    <row r="1156">
      <c r="A1156" s="2" t="s">
        <v>46</v>
      </c>
      <c r="B1156" s="2" t="s">
        <v>66</v>
      </c>
      <c r="C1156" s="149">
        <v>656.0</v>
      </c>
    </row>
    <row r="1157">
      <c r="A1157" s="2" t="s">
        <v>46</v>
      </c>
      <c r="B1157" s="2" t="s">
        <v>29</v>
      </c>
      <c r="C1157" s="149">
        <v>1654.0</v>
      </c>
    </row>
    <row r="1158">
      <c r="A1158" s="2" t="s">
        <v>46</v>
      </c>
      <c r="B1158" s="2" t="s">
        <v>60</v>
      </c>
      <c r="C1158" s="149">
        <v>642.0</v>
      </c>
    </row>
    <row r="1159">
      <c r="A1159" s="2" t="s">
        <v>46</v>
      </c>
      <c r="B1159" s="2" t="s">
        <v>38</v>
      </c>
      <c r="C1159" s="149">
        <v>1092.0</v>
      </c>
    </row>
    <row r="1160">
      <c r="A1160" s="2" t="s">
        <v>46</v>
      </c>
      <c r="B1160" s="2" t="s">
        <v>61</v>
      </c>
      <c r="C1160" s="149">
        <v>304.0</v>
      </c>
    </row>
    <row r="1161">
      <c r="A1161" s="2" t="s">
        <v>46</v>
      </c>
      <c r="B1161" s="2" t="s">
        <v>52</v>
      </c>
      <c r="C1161" s="149">
        <v>1130.0</v>
      </c>
    </row>
    <row r="1162">
      <c r="A1162" s="2" t="s">
        <v>46</v>
      </c>
      <c r="B1162" s="2" t="s">
        <v>25</v>
      </c>
      <c r="C1162" s="149">
        <v>1258.0</v>
      </c>
    </row>
    <row r="1163">
      <c r="A1163" s="2" t="s">
        <v>46</v>
      </c>
      <c r="B1163" s="2" t="s">
        <v>67</v>
      </c>
      <c r="C1163" s="149">
        <v>1352.0</v>
      </c>
    </row>
    <row r="1164">
      <c r="A1164" s="2" t="s">
        <v>46</v>
      </c>
      <c r="B1164" s="2" t="s">
        <v>45</v>
      </c>
      <c r="C1164" s="149">
        <v>2.0</v>
      </c>
    </row>
    <row r="1165">
      <c r="A1165" s="2" t="s">
        <v>46</v>
      </c>
      <c r="B1165" s="2" t="s">
        <v>53</v>
      </c>
      <c r="C1165" s="149">
        <v>1488.0</v>
      </c>
    </row>
    <row r="1166">
      <c r="A1166" s="2" t="s">
        <v>46</v>
      </c>
      <c r="B1166" s="2" t="s">
        <v>26</v>
      </c>
      <c r="C1166" s="149">
        <v>1386.0</v>
      </c>
    </row>
    <row r="1167">
      <c r="A1167" s="2" t="s">
        <v>46</v>
      </c>
      <c r="B1167" s="2" t="s">
        <v>28</v>
      </c>
      <c r="C1167" s="149">
        <v>932.0</v>
      </c>
    </row>
    <row r="1168">
      <c r="A1168" s="2" t="s">
        <v>46</v>
      </c>
      <c r="B1168" s="2" t="s">
        <v>55</v>
      </c>
      <c r="C1168" s="149">
        <v>1916.0</v>
      </c>
    </row>
    <row r="1169">
      <c r="A1169" s="2" t="s">
        <v>46</v>
      </c>
      <c r="B1169" s="2" t="s">
        <v>48</v>
      </c>
      <c r="C1169" s="149">
        <v>302.0</v>
      </c>
    </row>
    <row r="1170">
      <c r="A1170" s="2" t="s">
        <v>46</v>
      </c>
      <c r="B1170" s="2" t="s">
        <v>2035</v>
      </c>
      <c r="C1170" s="149">
        <v>2148.0</v>
      </c>
    </row>
    <row r="1171">
      <c r="A1171" s="2" t="s">
        <v>46</v>
      </c>
      <c r="B1171" s="2" t="s">
        <v>59</v>
      </c>
      <c r="C1171" s="149">
        <v>1306.0</v>
      </c>
    </row>
    <row r="1172">
      <c r="A1172" s="2" t="s">
        <v>46</v>
      </c>
      <c r="B1172" s="2" t="s">
        <v>44</v>
      </c>
      <c r="C1172" s="149">
        <v>394.0</v>
      </c>
    </row>
    <row r="1173">
      <c r="A1173" s="2" t="s">
        <v>46</v>
      </c>
      <c r="B1173" s="2" t="s">
        <v>2036</v>
      </c>
      <c r="C1173" s="149">
        <v>2058.0</v>
      </c>
    </row>
    <row r="1174">
      <c r="A1174" s="2" t="s">
        <v>46</v>
      </c>
      <c r="B1174" s="2" t="s">
        <v>2037</v>
      </c>
      <c r="C1174" s="149">
        <v>2128.0</v>
      </c>
    </row>
    <row r="1175">
      <c r="A1175" s="2" t="s">
        <v>54</v>
      </c>
      <c r="B1175" s="2" t="s">
        <v>18</v>
      </c>
      <c r="C1175" s="149">
        <v>1328.0</v>
      </c>
    </row>
    <row r="1176">
      <c r="A1176" s="2" t="s">
        <v>54</v>
      </c>
      <c r="B1176" s="2" t="s">
        <v>49</v>
      </c>
      <c r="C1176" s="149">
        <v>790.0</v>
      </c>
    </row>
    <row r="1177">
      <c r="A1177" s="2" t="s">
        <v>54</v>
      </c>
      <c r="B1177" s="2" t="s">
        <v>22</v>
      </c>
      <c r="C1177" s="149">
        <v>312.0</v>
      </c>
    </row>
    <row r="1178">
      <c r="A1178" s="2" t="s">
        <v>54</v>
      </c>
      <c r="B1178" s="2" t="s">
        <v>27</v>
      </c>
      <c r="C1178" s="149">
        <v>1680.0</v>
      </c>
    </row>
    <row r="1179">
      <c r="A1179" s="2" t="s">
        <v>54</v>
      </c>
      <c r="B1179" s="2" t="s">
        <v>35</v>
      </c>
      <c r="C1179" s="149">
        <v>2104.0</v>
      </c>
    </row>
    <row r="1180">
      <c r="A1180" s="2" t="s">
        <v>54</v>
      </c>
      <c r="B1180" s="2" t="s">
        <v>41</v>
      </c>
      <c r="C1180" s="149">
        <v>1970.0</v>
      </c>
    </row>
    <row r="1181">
      <c r="A1181" s="2" t="s">
        <v>54</v>
      </c>
      <c r="B1181" s="2" t="s">
        <v>57</v>
      </c>
      <c r="C1181" s="149">
        <v>2238.0</v>
      </c>
    </row>
    <row r="1182">
      <c r="A1182" s="2" t="s">
        <v>54</v>
      </c>
      <c r="B1182" s="2" t="s">
        <v>37</v>
      </c>
      <c r="C1182" s="149">
        <v>1482.0</v>
      </c>
    </row>
    <row r="1183">
      <c r="A1183" s="2" t="s">
        <v>54</v>
      </c>
      <c r="B1183" s="2" t="s">
        <v>39</v>
      </c>
      <c r="C1183" s="149">
        <v>1356.0</v>
      </c>
    </row>
    <row r="1184">
      <c r="A1184" s="2" t="s">
        <v>54</v>
      </c>
      <c r="B1184" s="2" t="s">
        <v>64</v>
      </c>
      <c r="C1184" s="149">
        <v>1736.0</v>
      </c>
    </row>
    <row r="1185">
      <c r="A1185" s="2" t="s">
        <v>54</v>
      </c>
      <c r="B1185" s="2" t="s">
        <v>65</v>
      </c>
      <c r="C1185" s="149">
        <v>1594.0</v>
      </c>
    </row>
    <row r="1186">
      <c r="A1186" s="2" t="s">
        <v>54</v>
      </c>
      <c r="B1186" s="2" t="s">
        <v>36</v>
      </c>
      <c r="C1186" s="149">
        <v>2094.0</v>
      </c>
    </row>
    <row r="1187">
      <c r="A1187" s="2" t="s">
        <v>54</v>
      </c>
      <c r="B1187" s="2" t="s">
        <v>31</v>
      </c>
      <c r="C1187" s="149">
        <v>2144.0</v>
      </c>
    </row>
    <row r="1188">
      <c r="A1188" s="2" t="s">
        <v>54</v>
      </c>
      <c r="B1188" s="2" t="s">
        <v>43</v>
      </c>
      <c r="C1188" s="149">
        <v>1780.0</v>
      </c>
    </row>
    <row r="1189">
      <c r="A1189" s="2" t="s">
        <v>54</v>
      </c>
      <c r="B1189" s="2" t="s">
        <v>40</v>
      </c>
      <c r="C1189" s="149">
        <v>1258.0</v>
      </c>
    </row>
    <row r="1190">
      <c r="A1190" s="2" t="s">
        <v>54</v>
      </c>
      <c r="B1190" s="2" t="s">
        <v>50</v>
      </c>
      <c r="C1190" s="149">
        <v>478.0</v>
      </c>
    </row>
    <row r="1191">
      <c r="A1191" s="2" t="s">
        <v>54</v>
      </c>
      <c r="B1191" s="2" t="s">
        <v>51</v>
      </c>
      <c r="C1191" s="149">
        <v>1812.0</v>
      </c>
    </row>
    <row r="1192">
      <c r="A1192" s="2" t="s">
        <v>54</v>
      </c>
      <c r="B1192" s="2" t="s">
        <v>23</v>
      </c>
      <c r="C1192" s="149">
        <v>254.0</v>
      </c>
    </row>
    <row r="1193">
      <c r="A1193" s="2" t="s">
        <v>54</v>
      </c>
      <c r="B1193" s="2" t="s">
        <v>47</v>
      </c>
      <c r="C1193" s="149">
        <v>1450.0</v>
      </c>
    </row>
    <row r="1194">
      <c r="A1194" s="2" t="s">
        <v>54</v>
      </c>
      <c r="B1194" s="2" t="s">
        <v>62</v>
      </c>
      <c r="C1194" s="149">
        <v>1312.0</v>
      </c>
    </row>
    <row r="1195">
      <c r="A1195" s="2" t="s">
        <v>54</v>
      </c>
      <c r="B1195" s="2" t="s">
        <v>30</v>
      </c>
      <c r="C1195" s="149">
        <v>1832.0</v>
      </c>
    </row>
    <row r="1196">
      <c r="A1196" s="2" t="s">
        <v>54</v>
      </c>
      <c r="B1196" s="2" t="s">
        <v>32</v>
      </c>
      <c r="C1196" s="149">
        <v>1906.0</v>
      </c>
    </row>
    <row r="1197">
      <c r="A1197" s="2" t="s">
        <v>54</v>
      </c>
      <c r="B1197" s="2" t="s">
        <v>46</v>
      </c>
      <c r="C1197" s="149">
        <v>1504.0</v>
      </c>
    </row>
    <row r="1198">
      <c r="A1198" s="2" t="s">
        <v>54</v>
      </c>
      <c r="B1198" s="2" t="s">
        <v>54</v>
      </c>
      <c r="C1198" s="149">
        <v>0.0</v>
      </c>
    </row>
    <row r="1199">
      <c r="A1199" s="2" t="s">
        <v>54</v>
      </c>
      <c r="B1199" s="2" t="s">
        <v>34</v>
      </c>
      <c r="C1199" s="149">
        <v>1072.0</v>
      </c>
    </row>
    <row r="1200">
      <c r="A1200" s="2" t="s">
        <v>54</v>
      </c>
      <c r="B1200" s="2" t="s">
        <v>20</v>
      </c>
      <c r="C1200" s="149">
        <v>396.0</v>
      </c>
    </row>
    <row r="1201">
      <c r="A1201" s="2" t="s">
        <v>54</v>
      </c>
      <c r="B1201" s="2" t="s">
        <v>24</v>
      </c>
      <c r="C1201" s="149">
        <v>1752.0</v>
      </c>
    </row>
    <row r="1202">
      <c r="A1202" s="2" t="s">
        <v>54</v>
      </c>
      <c r="B1202" s="2" t="s">
        <v>63</v>
      </c>
      <c r="C1202" s="149">
        <v>1354.0</v>
      </c>
    </row>
    <row r="1203">
      <c r="A1203" s="2" t="s">
        <v>54</v>
      </c>
      <c r="B1203" s="2" t="s">
        <v>58</v>
      </c>
      <c r="C1203" s="149">
        <v>2050.0</v>
      </c>
    </row>
    <row r="1204">
      <c r="A1204" s="2" t="s">
        <v>54</v>
      </c>
      <c r="B1204" s="2" t="s">
        <v>42</v>
      </c>
      <c r="C1204" s="149">
        <v>1752.0</v>
      </c>
    </row>
    <row r="1205">
      <c r="A1205" s="2" t="s">
        <v>54</v>
      </c>
      <c r="B1205" s="2" t="s">
        <v>21</v>
      </c>
      <c r="C1205" s="149">
        <v>308.0</v>
      </c>
    </row>
    <row r="1206">
      <c r="A1206" s="2" t="s">
        <v>54</v>
      </c>
      <c r="B1206" s="2" t="s">
        <v>33</v>
      </c>
      <c r="C1206" s="149">
        <v>896.0</v>
      </c>
    </row>
    <row r="1207">
      <c r="A1207" s="2" t="s">
        <v>54</v>
      </c>
      <c r="B1207" s="2" t="s">
        <v>66</v>
      </c>
      <c r="C1207" s="149">
        <v>2014.0</v>
      </c>
    </row>
    <row r="1208">
      <c r="A1208" s="2" t="s">
        <v>54</v>
      </c>
      <c r="B1208" s="2" t="s">
        <v>29</v>
      </c>
      <c r="C1208" s="149">
        <v>1436.0</v>
      </c>
    </row>
    <row r="1209">
      <c r="A1209" s="2" t="s">
        <v>54</v>
      </c>
      <c r="B1209" s="2" t="s">
        <v>60</v>
      </c>
      <c r="C1209" s="149">
        <v>844.0</v>
      </c>
    </row>
    <row r="1210">
      <c r="A1210" s="2" t="s">
        <v>54</v>
      </c>
      <c r="B1210" s="2" t="s">
        <v>38</v>
      </c>
      <c r="C1210" s="149">
        <v>1522.0</v>
      </c>
    </row>
    <row r="1211">
      <c r="A1211" s="2" t="s">
        <v>54</v>
      </c>
      <c r="B1211" s="2" t="s">
        <v>61</v>
      </c>
      <c r="C1211" s="149">
        <v>1202.0</v>
      </c>
    </row>
    <row r="1212">
      <c r="A1212" s="2" t="s">
        <v>54</v>
      </c>
      <c r="B1212" s="2" t="s">
        <v>52</v>
      </c>
      <c r="C1212" s="149">
        <v>1756.0</v>
      </c>
    </row>
    <row r="1213">
      <c r="A1213" s="2" t="s">
        <v>54</v>
      </c>
      <c r="B1213" s="2" t="s">
        <v>25</v>
      </c>
      <c r="C1213" s="149">
        <v>1886.0</v>
      </c>
    </row>
    <row r="1214">
      <c r="A1214" s="2" t="s">
        <v>54</v>
      </c>
      <c r="B1214" s="2" t="s">
        <v>67</v>
      </c>
      <c r="C1214" s="149">
        <v>1934.0</v>
      </c>
    </row>
    <row r="1215">
      <c r="A1215" s="2" t="s">
        <v>54</v>
      </c>
      <c r="B1215" s="2" t="s">
        <v>45</v>
      </c>
      <c r="C1215" s="149">
        <v>1460.0</v>
      </c>
    </row>
    <row r="1216">
      <c r="A1216" s="2" t="s">
        <v>54</v>
      </c>
      <c r="B1216" s="2" t="s">
        <v>53</v>
      </c>
      <c r="C1216" s="149">
        <v>2234.0</v>
      </c>
    </row>
    <row r="1217">
      <c r="A1217" s="2" t="s">
        <v>54</v>
      </c>
      <c r="B1217" s="2" t="s">
        <v>26</v>
      </c>
      <c r="C1217" s="149">
        <v>2012.0</v>
      </c>
    </row>
    <row r="1218">
      <c r="A1218" s="2" t="s">
        <v>54</v>
      </c>
      <c r="B1218" s="2" t="s">
        <v>28</v>
      </c>
      <c r="C1218" s="149">
        <v>1362.0</v>
      </c>
    </row>
    <row r="1219">
      <c r="A1219" s="2" t="s">
        <v>54</v>
      </c>
      <c r="B1219" s="2" t="s">
        <v>55</v>
      </c>
      <c r="C1219" s="149">
        <v>422.0</v>
      </c>
    </row>
    <row r="1220">
      <c r="A1220" s="2" t="s">
        <v>54</v>
      </c>
      <c r="B1220" s="2" t="s">
        <v>48</v>
      </c>
      <c r="C1220" s="149">
        <v>1554.0</v>
      </c>
    </row>
    <row r="1221">
      <c r="A1221" s="2" t="s">
        <v>54</v>
      </c>
      <c r="B1221" s="2" t="s">
        <v>2035</v>
      </c>
      <c r="C1221" s="149">
        <v>654.0</v>
      </c>
    </row>
    <row r="1222">
      <c r="A1222" s="2" t="s">
        <v>54</v>
      </c>
      <c r="B1222" s="2" t="s">
        <v>59</v>
      </c>
      <c r="C1222" s="149">
        <v>2178.0</v>
      </c>
    </row>
    <row r="1223">
      <c r="A1223" s="2" t="s">
        <v>54</v>
      </c>
      <c r="B1223" s="2" t="s">
        <v>44</v>
      </c>
      <c r="C1223" s="149">
        <v>1500.0</v>
      </c>
    </row>
    <row r="1224">
      <c r="A1224" s="2" t="s">
        <v>54</v>
      </c>
      <c r="B1224" s="2" t="s">
        <v>2036</v>
      </c>
      <c r="C1224" s="149">
        <v>518.0</v>
      </c>
    </row>
    <row r="1225">
      <c r="A1225" s="2" t="s">
        <v>54</v>
      </c>
      <c r="B1225" s="2" t="s">
        <v>2037</v>
      </c>
      <c r="C1225" s="149">
        <v>870.0</v>
      </c>
    </row>
    <row r="1226">
      <c r="A1226" s="2" t="s">
        <v>34</v>
      </c>
      <c r="B1226" s="2" t="s">
        <v>18</v>
      </c>
      <c r="C1226" s="149">
        <v>354.0</v>
      </c>
    </row>
    <row r="1227">
      <c r="A1227" s="2" t="s">
        <v>34</v>
      </c>
      <c r="B1227" s="2" t="s">
        <v>49</v>
      </c>
      <c r="C1227" s="149">
        <v>1546.0</v>
      </c>
    </row>
    <row r="1228">
      <c r="A1228" s="2" t="s">
        <v>34</v>
      </c>
      <c r="B1228" s="2" t="s">
        <v>22</v>
      </c>
      <c r="C1228" s="149">
        <v>794.0</v>
      </c>
    </row>
    <row r="1229">
      <c r="A1229" s="2" t="s">
        <v>34</v>
      </c>
      <c r="B1229" s="2" t="s">
        <v>27</v>
      </c>
      <c r="C1229" s="149">
        <v>880.0</v>
      </c>
    </row>
    <row r="1230">
      <c r="A1230" s="2" t="s">
        <v>34</v>
      </c>
      <c r="B1230" s="2" t="s">
        <v>35</v>
      </c>
      <c r="C1230" s="149">
        <v>1100.0</v>
      </c>
    </row>
    <row r="1231">
      <c r="A1231" s="2" t="s">
        <v>34</v>
      </c>
      <c r="B1231" s="2" t="s">
        <v>41</v>
      </c>
      <c r="C1231" s="149">
        <v>966.0</v>
      </c>
    </row>
    <row r="1232">
      <c r="A1232" s="2" t="s">
        <v>34</v>
      </c>
      <c r="B1232" s="2" t="s">
        <v>57</v>
      </c>
      <c r="C1232" s="149">
        <v>1324.0</v>
      </c>
    </row>
    <row r="1233">
      <c r="A1233" s="2" t="s">
        <v>34</v>
      </c>
      <c r="B1233" s="2" t="s">
        <v>37</v>
      </c>
      <c r="C1233" s="149">
        <v>768.0</v>
      </c>
    </row>
    <row r="1234">
      <c r="A1234" s="2" t="s">
        <v>34</v>
      </c>
      <c r="B1234" s="2" t="s">
        <v>39</v>
      </c>
      <c r="C1234" s="149">
        <v>744.0</v>
      </c>
    </row>
    <row r="1235">
      <c r="A1235" s="2" t="s">
        <v>34</v>
      </c>
      <c r="B1235" s="2" t="s">
        <v>64</v>
      </c>
      <c r="C1235" s="149">
        <v>732.0</v>
      </c>
    </row>
    <row r="1236">
      <c r="A1236" s="2" t="s">
        <v>34</v>
      </c>
      <c r="B1236" s="2" t="s">
        <v>65</v>
      </c>
      <c r="C1236" s="149">
        <v>592.0</v>
      </c>
    </row>
    <row r="1237">
      <c r="A1237" s="2" t="s">
        <v>34</v>
      </c>
      <c r="B1237" s="2" t="s">
        <v>36</v>
      </c>
      <c r="C1237" s="149">
        <v>1090.0</v>
      </c>
    </row>
    <row r="1238">
      <c r="A1238" s="2" t="s">
        <v>34</v>
      </c>
      <c r="B1238" s="2" t="s">
        <v>31</v>
      </c>
      <c r="C1238" s="149">
        <v>1200.0</v>
      </c>
    </row>
    <row r="1239">
      <c r="A1239" s="2" t="s">
        <v>34</v>
      </c>
      <c r="B1239" s="2" t="s">
        <v>43</v>
      </c>
      <c r="C1239" s="149">
        <v>778.0</v>
      </c>
    </row>
    <row r="1240">
      <c r="A1240" s="2" t="s">
        <v>34</v>
      </c>
      <c r="B1240" s="2" t="s">
        <v>40</v>
      </c>
      <c r="C1240" s="149">
        <v>560.0</v>
      </c>
    </row>
    <row r="1241">
      <c r="A1241" s="2" t="s">
        <v>34</v>
      </c>
      <c r="B1241" s="2" t="s">
        <v>50</v>
      </c>
      <c r="C1241" s="149">
        <v>1542.0</v>
      </c>
    </row>
    <row r="1242">
      <c r="A1242" s="2" t="s">
        <v>34</v>
      </c>
      <c r="B1242" s="2" t="s">
        <v>51</v>
      </c>
      <c r="C1242" s="149">
        <v>900.0</v>
      </c>
    </row>
    <row r="1243">
      <c r="A1243" s="2" t="s">
        <v>34</v>
      </c>
      <c r="B1243" s="2" t="s">
        <v>23</v>
      </c>
      <c r="C1243" s="149">
        <v>872.0</v>
      </c>
    </row>
    <row r="1244">
      <c r="A1244" s="2" t="s">
        <v>34</v>
      </c>
      <c r="B1244" s="2" t="s">
        <v>47</v>
      </c>
      <c r="C1244" s="149">
        <v>446.0</v>
      </c>
    </row>
    <row r="1245">
      <c r="A1245" s="2" t="s">
        <v>34</v>
      </c>
      <c r="B1245" s="2" t="s">
        <v>62</v>
      </c>
      <c r="C1245" s="149">
        <v>308.0</v>
      </c>
    </row>
    <row r="1246">
      <c r="A1246" s="2" t="s">
        <v>34</v>
      </c>
      <c r="B1246" s="2" t="s">
        <v>30</v>
      </c>
      <c r="C1246" s="149">
        <v>888.0</v>
      </c>
    </row>
    <row r="1247">
      <c r="A1247" s="2" t="s">
        <v>34</v>
      </c>
      <c r="B1247" s="2" t="s">
        <v>32</v>
      </c>
      <c r="C1247" s="149">
        <v>962.0</v>
      </c>
    </row>
    <row r="1248">
      <c r="A1248" s="2" t="s">
        <v>34</v>
      </c>
      <c r="B1248" s="2" t="s">
        <v>46</v>
      </c>
      <c r="C1248" s="149">
        <v>500.0</v>
      </c>
    </row>
    <row r="1249">
      <c r="A1249" s="2" t="s">
        <v>34</v>
      </c>
      <c r="B1249" s="2" t="s">
        <v>54</v>
      </c>
      <c r="C1249" s="149">
        <v>1072.0</v>
      </c>
    </row>
    <row r="1250">
      <c r="A1250" s="2" t="s">
        <v>34</v>
      </c>
      <c r="B1250" s="2" t="s">
        <v>34</v>
      </c>
      <c r="C1250" s="149">
        <v>0.0</v>
      </c>
    </row>
    <row r="1251">
      <c r="A1251" s="2" t="s">
        <v>34</v>
      </c>
      <c r="B1251" s="2" t="s">
        <v>20</v>
      </c>
      <c r="C1251" s="149">
        <v>884.0</v>
      </c>
    </row>
    <row r="1252">
      <c r="A1252" s="2" t="s">
        <v>34</v>
      </c>
      <c r="B1252" s="2" t="s">
        <v>24</v>
      </c>
      <c r="C1252" s="149">
        <v>1072.0</v>
      </c>
    </row>
    <row r="1253">
      <c r="A1253" s="2" t="s">
        <v>34</v>
      </c>
      <c r="B1253" s="2" t="s">
        <v>63</v>
      </c>
      <c r="C1253" s="149">
        <v>594.0</v>
      </c>
    </row>
    <row r="1254">
      <c r="A1254" s="2" t="s">
        <v>34</v>
      </c>
      <c r="B1254" s="2" t="s">
        <v>58</v>
      </c>
      <c r="C1254" s="149">
        <v>1370.0</v>
      </c>
    </row>
    <row r="1255">
      <c r="A1255" s="2" t="s">
        <v>34</v>
      </c>
      <c r="B1255" s="2" t="s">
        <v>42</v>
      </c>
      <c r="C1255" s="149">
        <v>778.0</v>
      </c>
    </row>
    <row r="1256">
      <c r="A1256" s="2" t="s">
        <v>34</v>
      </c>
      <c r="B1256" s="2" t="s">
        <v>21</v>
      </c>
      <c r="C1256" s="149">
        <v>864.0</v>
      </c>
    </row>
    <row r="1257">
      <c r="A1257" s="2" t="s">
        <v>34</v>
      </c>
      <c r="B1257" s="2" t="s">
        <v>33</v>
      </c>
      <c r="C1257" s="149">
        <v>780.0</v>
      </c>
    </row>
    <row r="1258">
      <c r="A1258" s="2" t="s">
        <v>34</v>
      </c>
      <c r="B1258" s="2" t="s">
        <v>66</v>
      </c>
      <c r="C1258" s="149">
        <v>1026.0</v>
      </c>
    </row>
    <row r="1259">
      <c r="A1259" s="2" t="s">
        <v>34</v>
      </c>
      <c r="B1259" s="2" t="s">
        <v>29</v>
      </c>
      <c r="C1259" s="149">
        <v>1600.0</v>
      </c>
    </row>
    <row r="1260">
      <c r="A1260" s="2" t="s">
        <v>34</v>
      </c>
      <c r="B1260" s="2" t="s">
        <v>60</v>
      </c>
      <c r="C1260" s="149">
        <v>234.0</v>
      </c>
    </row>
    <row r="1261">
      <c r="A1261" s="2" t="s">
        <v>34</v>
      </c>
      <c r="B1261" s="2" t="s">
        <v>38</v>
      </c>
      <c r="C1261" s="149">
        <v>1040.0</v>
      </c>
    </row>
    <row r="1262">
      <c r="A1262" s="2" t="s">
        <v>34</v>
      </c>
      <c r="B1262" s="2" t="s">
        <v>61</v>
      </c>
      <c r="C1262" s="149">
        <v>230.0</v>
      </c>
    </row>
    <row r="1263">
      <c r="A1263" s="2" t="s">
        <v>34</v>
      </c>
      <c r="B1263" s="2" t="s">
        <v>52</v>
      </c>
      <c r="C1263" s="149">
        <v>1076.0</v>
      </c>
    </row>
    <row r="1264">
      <c r="A1264" s="2" t="s">
        <v>34</v>
      </c>
      <c r="B1264" s="2" t="s">
        <v>25</v>
      </c>
      <c r="C1264" s="149">
        <v>1206.0</v>
      </c>
    </row>
    <row r="1265">
      <c r="A1265" s="2" t="s">
        <v>34</v>
      </c>
      <c r="B1265" s="2" t="s">
        <v>67</v>
      </c>
      <c r="C1265" s="149">
        <v>1300.0</v>
      </c>
    </row>
    <row r="1266">
      <c r="A1266" s="2" t="s">
        <v>34</v>
      </c>
      <c r="B1266" s="2" t="s">
        <v>45</v>
      </c>
      <c r="C1266" s="149">
        <v>488.0</v>
      </c>
    </row>
    <row r="1267">
      <c r="A1267" s="2" t="s">
        <v>34</v>
      </c>
      <c r="B1267" s="2" t="s">
        <v>53</v>
      </c>
      <c r="C1267" s="149">
        <v>1476.0</v>
      </c>
    </row>
    <row r="1268">
      <c r="A1268" s="2" t="s">
        <v>34</v>
      </c>
      <c r="B1268" s="2" t="s">
        <v>26</v>
      </c>
      <c r="C1268" s="149">
        <v>1332.0</v>
      </c>
    </row>
    <row r="1269">
      <c r="A1269" s="2" t="s">
        <v>34</v>
      </c>
      <c r="B1269" s="2" t="s">
        <v>28</v>
      </c>
      <c r="C1269" s="149">
        <v>880.0</v>
      </c>
    </row>
    <row r="1270">
      <c r="A1270" s="2" t="s">
        <v>34</v>
      </c>
      <c r="B1270" s="2" t="s">
        <v>55</v>
      </c>
      <c r="C1270" s="149">
        <v>1510.0</v>
      </c>
    </row>
    <row r="1271">
      <c r="A1271" s="2" t="s">
        <v>34</v>
      </c>
      <c r="B1271" s="2" t="s">
        <v>48</v>
      </c>
      <c r="C1271" s="149">
        <v>582.0</v>
      </c>
    </row>
    <row r="1272">
      <c r="A1272" s="2" t="s">
        <v>34</v>
      </c>
      <c r="B1272" s="2" t="s">
        <v>2035</v>
      </c>
      <c r="C1272" s="149">
        <v>1740.0</v>
      </c>
    </row>
    <row r="1273">
      <c r="A1273" s="2" t="s">
        <v>34</v>
      </c>
      <c r="B1273" s="2" t="s">
        <v>59</v>
      </c>
      <c r="C1273" s="149">
        <v>1264.0</v>
      </c>
    </row>
    <row r="1274">
      <c r="A1274" s="2" t="s">
        <v>34</v>
      </c>
      <c r="B1274" s="2" t="s">
        <v>44</v>
      </c>
      <c r="C1274" s="149">
        <v>496.0</v>
      </c>
    </row>
    <row r="1275">
      <c r="A1275" s="2" t="s">
        <v>34</v>
      </c>
      <c r="B1275" s="2" t="s">
        <v>2036</v>
      </c>
      <c r="C1275" s="149">
        <v>1654.0</v>
      </c>
    </row>
    <row r="1276">
      <c r="A1276" s="2" t="s">
        <v>34</v>
      </c>
      <c r="B1276" s="2" t="s">
        <v>2037</v>
      </c>
      <c r="C1276" s="149">
        <v>1722.0</v>
      </c>
    </row>
    <row r="1277">
      <c r="A1277" s="2" t="s">
        <v>20</v>
      </c>
      <c r="B1277" s="2" t="s">
        <v>18</v>
      </c>
      <c r="C1277" s="149">
        <v>1128.0</v>
      </c>
    </row>
    <row r="1278">
      <c r="A1278" s="2" t="s">
        <v>20</v>
      </c>
      <c r="B1278" s="2" t="s">
        <v>49</v>
      </c>
      <c r="C1278" s="149">
        <v>704.0</v>
      </c>
    </row>
    <row r="1279">
      <c r="A1279" s="2" t="s">
        <v>20</v>
      </c>
      <c r="B1279" s="2" t="s">
        <v>22</v>
      </c>
      <c r="C1279" s="149">
        <v>120.0</v>
      </c>
    </row>
    <row r="1280">
      <c r="A1280" s="2" t="s">
        <v>20</v>
      </c>
      <c r="B1280" s="2" t="s">
        <v>27</v>
      </c>
      <c r="C1280" s="149">
        <v>1312.0</v>
      </c>
    </row>
    <row r="1281">
      <c r="A1281" s="2" t="s">
        <v>20</v>
      </c>
      <c r="B1281" s="2" t="s">
        <v>35</v>
      </c>
      <c r="C1281" s="149">
        <v>1892.0</v>
      </c>
    </row>
    <row r="1282">
      <c r="A1282" s="2" t="s">
        <v>20</v>
      </c>
      <c r="B1282" s="2" t="s">
        <v>41</v>
      </c>
      <c r="C1282" s="149">
        <v>1758.0</v>
      </c>
    </row>
    <row r="1283">
      <c r="A1283" s="2" t="s">
        <v>20</v>
      </c>
      <c r="B1283" s="2" t="s">
        <v>57</v>
      </c>
      <c r="C1283" s="149">
        <v>1870.0</v>
      </c>
    </row>
    <row r="1284">
      <c r="A1284" s="2" t="s">
        <v>20</v>
      </c>
      <c r="B1284" s="2" t="s">
        <v>37</v>
      </c>
      <c r="C1284" s="149">
        <v>1112.0</v>
      </c>
    </row>
    <row r="1285">
      <c r="A1285" s="2" t="s">
        <v>20</v>
      </c>
      <c r="B1285" s="2" t="s">
        <v>39</v>
      </c>
      <c r="C1285" s="149">
        <v>988.0</v>
      </c>
    </row>
    <row r="1286">
      <c r="A1286" s="2" t="s">
        <v>20</v>
      </c>
      <c r="B1286" s="2" t="s">
        <v>64</v>
      </c>
      <c r="C1286" s="149">
        <v>1524.0</v>
      </c>
    </row>
    <row r="1287">
      <c r="A1287" s="2" t="s">
        <v>20</v>
      </c>
      <c r="B1287" s="2" t="s">
        <v>65</v>
      </c>
      <c r="C1287" s="149">
        <v>1384.0</v>
      </c>
    </row>
    <row r="1288">
      <c r="A1288" s="2" t="s">
        <v>20</v>
      </c>
      <c r="B1288" s="2" t="s">
        <v>36</v>
      </c>
      <c r="C1288" s="149">
        <v>1884.0</v>
      </c>
    </row>
    <row r="1289">
      <c r="A1289" s="2" t="s">
        <v>20</v>
      </c>
      <c r="B1289" s="2" t="s">
        <v>31</v>
      </c>
      <c r="C1289" s="149">
        <v>1822.0</v>
      </c>
    </row>
    <row r="1290">
      <c r="A1290" s="2" t="s">
        <v>20</v>
      </c>
      <c r="B1290" s="2" t="s">
        <v>43</v>
      </c>
      <c r="C1290" s="149">
        <v>1570.0</v>
      </c>
    </row>
    <row r="1291">
      <c r="A1291" s="2" t="s">
        <v>20</v>
      </c>
      <c r="B1291" s="2" t="s">
        <v>40</v>
      </c>
      <c r="C1291" s="149">
        <v>936.0</v>
      </c>
    </row>
    <row r="1292">
      <c r="A1292" s="2" t="s">
        <v>20</v>
      </c>
      <c r="B1292" s="2" t="s">
        <v>50</v>
      </c>
      <c r="C1292" s="149">
        <v>866.0</v>
      </c>
    </row>
    <row r="1293">
      <c r="A1293" s="2" t="s">
        <v>20</v>
      </c>
      <c r="B1293" s="2" t="s">
        <v>51</v>
      </c>
      <c r="C1293" s="149">
        <v>1444.0</v>
      </c>
    </row>
    <row r="1294">
      <c r="A1294" s="2" t="s">
        <v>20</v>
      </c>
      <c r="B1294" s="2" t="s">
        <v>23</v>
      </c>
      <c r="C1294" s="149">
        <v>198.0</v>
      </c>
    </row>
    <row r="1295">
      <c r="A1295" s="2" t="s">
        <v>20</v>
      </c>
      <c r="B1295" s="2" t="s">
        <v>47</v>
      </c>
      <c r="C1295" s="149">
        <v>1238.0</v>
      </c>
    </row>
    <row r="1296">
      <c r="A1296" s="2" t="s">
        <v>20</v>
      </c>
      <c r="B1296" s="2" t="s">
        <v>62</v>
      </c>
      <c r="C1296" s="149">
        <v>1100.0</v>
      </c>
    </row>
    <row r="1297">
      <c r="A1297" s="2" t="s">
        <v>20</v>
      </c>
      <c r="B1297" s="2" t="s">
        <v>30</v>
      </c>
      <c r="C1297" s="149">
        <v>1510.0</v>
      </c>
    </row>
    <row r="1298">
      <c r="A1298" s="2" t="s">
        <v>20</v>
      </c>
      <c r="B1298" s="2" t="s">
        <v>32</v>
      </c>
      <c r="C1298" s="149">
        <v>1586.0</v>
      </c>
    </row>
    <row r="1299">
      <c r="A1299" s="2" t="s">
        <v>20</v>
      </c>
      <c r="B1299" s="2" t="s">
        <v>46</v>
      </c>
      <c r="C1299" s="149">
        <v>1292.0</v>
      </c>
    </row>
    <row r="1300">
      <c r="A1300" s="2" t="s">
        <v>20</v>
      </c>
      <c r="B1300" s="2" t="s">
        <v>54</v>
      </c>
      <c r="C1300" s="149">
        <v>396.0</v>
      </c>
    </row>
    <row r="1301">
      <c r="A1301" s="2" t="s">
        <v>20</v>
      </c>
      <c r="B1301" s="2" t="s">
        <v>34</v>
      </c>
      <c r="C1301" s="149">
        <v>884.0</v>
      </c>
    </row>
    <row r="1302">
      <c r="A1302" s="2" t="s">
        <v>20</v>
      </c>
      <c r="B1302" s="2" t="s">
        <v>20</v>
      </c>
      <c r="C1302" s="149">
        <v>0.0</v>
      </c>
    </row>
    <row r="1303">
      <c r="A1303" s="2" t="s">
        <v>20</v>
      </c>
      <c r="B1303" s="2" t="s">
        <v>24</v>
      </c>
      <c r="C1303" s="149">
        <v>1390.0</v>
      </c>
    </row>
    <row r="1304">
      <c r="A1304" s="2" t="s">
        <v>20</v>
      </c>
      <c r="B1304" s="2" t="s">
        <v>63</v>
      </c>
      <c r="C1304" s="149">
        <v>992.0</v>
      </c>
    </row>
    <row r="1305">
      <c r="A1305" s="2" t="s">
        <v>20</v>
      </c>
      <c r="B1305" s="2" t="s">
        <v>58</v>
      </c>
      <c r="C1305" s="149">
        <v>1690.0</v>
      </c>
    </row>
    <row r="1306">
      <c r="A1306" s="2" t="s">
        <v>20</v>
      </c>
      <c r="B1306" s="2" t="s">
        <v>42</v>
      </c>
      <c r="C1306" s="149">
        <v>1552.0</v>
      </c>
    </row>
    <row r="1307">
      <c r="A1307" s="2" t="s">
        <v>20</v>
      </c>
      <c r="B1307" s="2" t="s">
        <v>21</v>
      </c>
      <c r="C1307" s="149">
        <v>132.0</v>
      </c>
    </row>
    <row r="1308">
      <c r="A1308" s="2" t="s">
        <v>20</v>
      </c>
      <c r="B1308" s="2" t="s">
        <v>33</v>
      </c>
      <c r="C1308" s="149">
        <v>534.0</v>
      </c>
    </row>
    <row r="1309">
      <c r="A1309" s="2" t="s">
        <v>20</v>
      </c>
      <c r="B1309" s="2" t="s">
        <v>66</v>
      </c>
      <c r="C1309" s="149">
        <v>1814.0</v>
      </c>
    </row>
    <row r="1310">
      <c r="A1310" s="2" t="s">
        <v>20</v>
      </c>
      <c r="B1310" s="2" t="s">
        <v>29</v>
      </c>
      <c r="C1310" s="149">
        <v>1044.0</v>
      </c>
    </row>
    <row r="1311">
      <c r="A1311" s="2" t="s">
        <v>20</v>
      </c>
      <c r="B1311" s="2" t="s">
        <v>60</v>
      </c>
      <c r="C1311" s="149">
        <v>644.0</v>
      </c>
    </row>
    <row r="1312">
      <c r="A1312" s="2" t="s">
        <v>20</v>
      </c>
      <c r="B1312" s="2" t="s">
        <v>38</v>
      </c>
      <c r="C1312" s="149">
        <v>1160.0</v>
      </c>
    </row>
    <row r="1313">
      <c r="A1313" s="2" t="s">
        <v>20</v>
      </c>
      <c r="B1313" s="2" t="s">
        <v>61</v>
      </c>
      <c r="C1313" s="149">
        <v>1004.0</v>
      </c>
    </row>
    <row r="1314">
      <c r="A1314" s="2" t="s">
        <v>20</v>
      </c>
      <c r="B1314" s="2" t="s">
        <v>52</v>
      </c>
      <c r="C1314" s="149">
        <v>1394.0</v>
      </c>
    </row>
    <row r="1315">
      <c r="A1315" s="2" t="s">
        <v>20</v>
      </c>
      <c r="B1315" s="2" t="s">
        <v>25</v>
      </c>
      <c r="C1315" s="149">
        <v>1524.0</v>
      </c>
    </row>
    <row r="1316">
      <c r="A1316" s="2" t="s">
        <v>20</v>
      </c>
      <c r="B1316" s="2" t="s">
        <v>67</v>
      </c>
      <c r="C1316" s="149">
        <v>1574.0</v>
      </c>
    </row>
    <row r="1317">
      <c r="A1317" s="2" t="s">
        <v>20</v>
      </c>
      <c r="B1317" s="2" t="s">
        <v>45</v>
      </c>
      <c r="C1317" s="149">
        <v>1260.0</v>
      </c>
    </row>
    <row r="1318">
      <c r="A1318" s="2" t="s">
        <v>20</v>
      </c>
      <c r="B1318" s="2" t="s">
        <v>53</v>
      </c>
      <c r="C1318" s="149">
        <v>1872.0</v>
      </c>
    </row>
    <row r="1319">
      <c r="A1319" s="2" t="s">
        <v>20</v>
      </c>
      <c r="B1319" s="2" t="s">
        <v>26</v>
      </c>
      <c r="C1319" s="149">
        <v>1652.0</v>
      </c>
    </row>
    <row r="1320">
      <c r="A1320" s="2" t="s">
        <v>20</v>
      </c>
      <c r="B1320" s="2" t="s">
        <v>28</v>
      </c>
      <c r="C1320" s="149">
        <v>1000.0</v>
      </c>
    </row>
    <row r="1321">
      <c r="A1321" s="2" t="s">
        <v>20</v>
      </c>
      <c r="B1321" s="2" t="s">
        <v>55</v>
      </c>
      <c r="C1321" s="149">
        <v>822.0</v>
      </c>
    </row>
    <row r="1322">
      <c r="A1322" s="2" t="s">
        <v>20</v>
      </c>
      <c r="B1322" s="2" t="s">
        <v>48</v>
      </c>
      <c r="C1322" s="149">
        <v>1224.0</v>
      </c>
    </row>
    <row r="1323">
      <c r="A1323" s="2" t="s">
        <v>20</v>
      </c>
      <c r="B1323" s="2" t="s">
        <v>2035</v>
      </c>
      <c r="C1323" s="149">
        <v>1054.0</v>
      </c>
    </row>
    <row r="1324">
      <c r="A1324" s="2" t="s">
        <v>20</v>
      </c>
      <c r="B1324" s="2" t="s">
        <v>59</v>
      </c>
      <c r="C1324" s="149">
        <v>1810.0</v>
      </c>
    </row>
    <row r="1325">
      <c r="A1325" s="2" t="s">
        <v>20</v>
      </c>
      <c r="B1325" s="2" t="s">
        <v>44</v>
      </c>
      <c r="C1325" s="149">
        <v>1288.0</v>
      </c>
    </row>
    <row r="1326">
      <c r="A1326" s="2" t="s">
        <v>20</v>
      </c>
      <c r="B1326" s="2" t="s">
        <v>2036</v>
      </c>
      <c r="C1326" s="149">
        <v>928.0</v>
      </c>
    </row>
    <row r="1327">
      <c r="A1327" s="2" t="s">
        <v>20</v>
      </c>
      <c r="B1327" s="2" t="s">
        <v>2037</v>
      </c>
      <c r="C1327" s="149">
        <v>810.0</v>
      </c>
    </row>
    <row r="1328">
      <c r="A1328" s="2" t="s">
        <v>24</v>
      </c>
      <c r="B1328" s="2" t="s">
        <v>18</v>
      </c>
      <c r="C1328" s="149">
        <v>978.0</v>
      </c>
    </row>
    <row r="1329">
      <c r="A1329" s="2" t="s">
        <v>24</v>
      </c>
      <c r="B1329" s="2" t="s">
        <v>49</v>
      </c>
      <c r="C1329" s="149">
        <v>2090.0</v>
      </c>
    </row>
    <row r="1330">
      <c r="A1330" s="2" t="s">
        <v>24</v>
      </c>
      <c r="B1330" s="2" t="s">
        <v>22</v>
      </c>
      <c r="C1330" s="149">
        <v>1474.0</v>
      </c>
    </row>
    <row r="1331">
      <c r="A1331" s="2" t="s">
        <v>24</v>
      </c>
      <c r="B1331" s="2" t="s">
        <v>27</v>
      </c>
      <c r="C1331" s="149">
        <v>332.0</v>
      </c>
    </row>
    <row r="1332">
      <c r="A1332" s="2" t="s">
        <v>24</v>
      </c>
      <c r="B1332" s="2" t="s">
        <v>35</v>
      </c>
      <c r="C1332" s="149">
        <v>1724.0</v>
      </c>
    </row>
    <row r="1333">
      <c r="A1333" s="2" t="s">
        <v>24</v>
      </c>
      <c r="B1333" s="2" t="s">
        <v>41</v>
      </c>
      <c r="C1333" s="149">
        <v>1592.0</v>
      </c>
    </row>
    <row r="1334">
      <c r="A1334" s="2" t="s">
        <v>24</v>
      </c>
      <c r="B1334" s="2" t="s">
        <v>57</v>
      </c>
      <c r="C1334" s="149">
        <v>260.0</v>
      </c>
    </row>
    <row r="1335">
      <c r="A1335" s="2" t="s">
        <v>24</v>
      </c>
      <c r="B1335" s="2" t="s">
        <v>37</v>
      </c>
      <c r="C1335" s="149">
        <v>560.0</v>
      </c>
    </row>
    <row r="1336">
      <c r="A1336" s="2" t="s">
        <v>24</v>
      </c>
      <c r="B1336" s="2" t="s">
        <v>39</v>
      </c>
      <c r="C1336" s="149">
        <v>628.0</v>
      </c>
    </row>
    <row r="1337">
      <c r="A1337" s="2" t="s">
        <v>24</v>
      </c>
      <c r="B1337" s="2" t="s">
        <v>64</v>
      </c>
      <c r="C1337" s="149">
        <v>1356.0</v>
      </c>
    </row>
    <row r="1338">
      <c r="A1338" s="2" t="s">
        <v>24</v>
      </c>
      <c r="B1338" s="2" t="s">
        <v>65</v>
      </c>
      <c r="C1338" s="149">
        <v>1216.0</v>
      </c>
    </row>
    <row r="1339">
      <c r="A1339" s="2" t="s">
        <v>24</v>
      </c>
      <c r="B1339" s="2" t="s">
        <v>36</v>
      </c>
      <c r="C1339" s="149">
        <v>1716.0</v>
      </c>
    </row>
    <row r="1340">
      <c r="A1340" s="2" t="s">
        <v>24</v>
      </c>
      <c r="B1340" s="2" t="s">
        <v>31</v>
      </c>
      <c r="C1340" s="149">
        <v>332.0</v>
      </c>
    </row>
    <row r="1341">
      <c r="A1341" s="2" t="s">
        <v>24</v>
      </c>
      <c r="B1341" s="2" t="s">
        <v>43</v>
      </c>
      <c r="C1341" s="149">
        <v>1402.0</v>
      </c>
    </row>
    <row r="1342">
      <c r="A1342" s="2" t="s">
        <v>24</v>
      </c>
      <c r="B1342" s="2" t="s">
        <v>40</v>
      </c>
      <c r="C1342" s="149">
        <v>762.0</v>
      </c>
    </row>
    <row r="1343">
      <c r="A1343" s="2" t="s">
        <v>24</v>
      </c>
      <c r="B1343" s="2" t="s">
        <v>50</v>
      </c>
      <c r="C1343" s="149">
        <v>2220.0</v>
      </c>
    </row>
    <row r="1344">
      <c r="A1344" s="2" t="s">
        <v>24</v>
      </c>
      <c r="B1344" s="2" t="s">
        <v>51</v>
      </c>
      <c r="C1344" s="149">
        <v>184.0</v>
      </c>
    </row>
    <row r="1345">
      <c r="A1345" s="2" t="s">
        <v>24</v>
      </c>
      <c r="B1345" s="2" t="s">
        <v>23</v>
      </c>
      <c r="C1345" s="149">
        <v>1552.0</v>
      </c>
    </row>
    <row r="1346">
      <c r="A1346" s="2" t="s">
        <v>24</v>
      </c>
      <c r="B1346" s="2" t="s">
        <v>47</v>
      </c>
      <c r="C1346" s="149">
        <v>964.0</v>
      </c>
    </row>
    <row r="1347">
      <c r="A1347" s="2" t="s">
        <v>24</v>
      </c>
      <c r="B1347" s="2" t="s">
        <v>62</v>
      </c>
      <c r="C1347" s="149">
        <v>932.0</v>
      </c>
    </row>
    <row r="1348">
      <c r="A1348" s="2" t="s">
        <v>24</v>
      </c>
      <c r="B1348" s="2" t="s">
        <v>30</v>
      </c>
      <c r="C1348" s="149">
        <v>626.0</v>
      </c>
    </row>
    <row r="1349">
      <c r="A1349" s="2" t="s">
        <v>24</v>
      </c>
      <c r="B1349" s="2" t="s">
        <v>32</v>
      </c>
      <c r="C1349" s="149">
        <v>484.0</v>
      </c>
    </row>
    <row r="1350">
      <c r="A1350" s="2" t="s">
        <v>24</v>
      </c>
      <c r="B1350" s="2" t="s">
        <v>46</v>
      </c>
      <c r="C1350" s="149">
        <v>1124.0</v>
      </c>
    </row>
    <row r="1351">
      <c r="A1351" s="2" t="s">
        <v>24</v>
      </c>
      <c r="B1351" s="2" t="s">
        <v>54</v>
      </c>
      <c r="C1351" s="149">
        <v>1752.0</v>
      </c>
    </row>
    <row r="1352">
      <c r="A1352" s="2" t="s">
        <v>24</v>
      </c>
      <c r="B1352" s="2" t="s">
        <v>34</v>
      </c>
      <c r="C1352" s="149">
        <v>1072.0</v>
      </c>
    </row>
    <row r="1353">
      <c r="A1353" s="2" t="s">
        <v>24</v>
      </c>
      <c r="B1353" s="2" t="s">
        <v>20</v>
      </c>
      <c r="C1353" s="149">
        <v>1390.0</v>
      </c>
    </row>
    <row r="1354">
      <c r="A1354" s="2" t="s">
        <v>24</v>
      </c>
      <c r="B1354" s="2" t="s">
        <v>24</v>
      </c>
      <c r="C1354" s="149">
        <v>0.0</v>
      </c>
    </row>
    <row r="1355">
      <c r="A1355" s="2" t="s">
        <v>24</v>
      </c>
      <c r="B1355" s="2" t="s">
        <v>63</v>
      </c>
      <c r="C1355" s="149">
        <v>632.0</v>
      </c>
    </row>
    <row r="1356">
      <c r="A1356" s="2" t="s">
        <v>24</v>
      </c>
      <c r="B1356" s="2" t="s">
        <v>58</v>
      </c>
      <c r="C1356" s="149">
        <v>300.0</v>
      </c>
    </row>
    <row r="1357">
      <c r="A1357" s="2" t="s">
        <v>24</v>
      </c>
      <c r="B1357" s="2" t="s">
        <v>42</v>
      </c>
      <c r="C1357" s="149">
        <v>1402.0</v>
      </c>
    </row>
    <row r="1358">
      <c r="A1358" s="2" t="s">
        <v>24</v>
      </c>
      <c r="B1358" s="2" t="s">
        <v>21</v>
      </c>
      <c r="C1358" s="149">
        <v>1740.0</v>
      </c>
    </row>
    <row r="1359">
      <c r="A1359" s="2" t="s">
        <v>24</v>
      </c>
      <c r="B1359" s="2" t="s">
        <v>33</v>
      </c>
      <c r="C1359" s="149">
        <v>1076.0</v>
      </c>
    </row>
    <row r="1360">
      <c r="A1360" s="2" t="s">
        <v>24</v>
      </c>
      <c r="B1360" s="2" t="s">
        <v>66</v>
      </c>
      <c r="C1360" s="149">
        <v>1720.0</v>
      </c>
    </row>
    <row r="1361">
      <c r="A1361" s="2" t="s">
        <v>24</v>
      </c>
      <c r="B1361" s="2" t="s">
        <v>29</v>
      </c>
      <c r="C1361" s="149">
        <v>1340.0</v>
      </c>
    </row>
    <row r="1362">
      <c r="A1362" s="2" t="s">
        <v>24</v>
      </c>
      <c r="B1362" s="2" t="s">
        <v>60</v>
      </c>
      <c r="C1362" s="149">
        <v>1198.0</v>
      </c>
    </row>
    <row r="1363">
      <c r="A1363" s="2" t="s">
        <v>24</v>
      </c>
      <c r="B1363" s="2" t="s">
        <v>38</v>
      </c>
      <c r="C1363" s="149">
        <v>780.0</v>
      </c>
    </row>
    <row r="1364">
      <c r="A1364" s="2" t="s">
        <v>24</v>
      </c>
      <c r="B1364" s="2" t="s">
        <v>61</v>
      </c>
      <c r="C1364" s="149">
        <v>874.0</v>
      </c>
    </row>
    <row r="1365">
      <c r="A1365" s="2" t="s">
        <v>24</v>
      </c>
      <c r="B1365" s="2" t="s">
        <v>52</v>
      </c>
      <c r="C1365" s="149">
        <v>340.0</v>
      </c>
    </row>
    <row r="1366">
      <c r="A1366" s="2" t="s">
        <v>24</v>
      </c>
      <c r="B1366" s="2" t="s">
        <v>25</v>
      </c>
      <c r="C1366" s="149">
        <v>134.0</v>
      </c>
    </row>
    <row r="1367">
      <c r="A1367" s="2" t="s">
        <v>24</v>
      </c>
      <c r="B1367" s="2" t="s">
        <v>67</v>
      </c>
      <c r="C1367" s="149">
        <v>428.0</v>
      </c>
    </row>
    <row r="1368">
      <c r="A1368" s="2" t="s">
        <v>24</v>
      </c>
      <c r="B1368" s="2" t="s">
        <v>45</v>
      </c>
      <c r="C1368" s="149">
        <v>1110.0</v>
      </c>
    </row>
    <row r="1369">
      <c r="A1369" s="2" t="s">
        <v>24</v>
      </c>
      <c r="B1369" s="2" t="s">
        <v>53</v>
      </c>
      <c r="C1369" s="149">
        <v>482.0</v>
      </c>
    </row>
    <row r="1370">
      <c r="A1370" s="2" t="s">
        <v>24</v>
      </c>
      <c r="B1370" s="2" t="s">
        <v>26</v>
      </c>
      <c r="C1370" s="149">
        <v>262.0</v>
      </c>
    </row>
    <row r="1371">
      <c r="A1371" s="2" t="s">
        <v>24</v>
      </c>
      <c r="B1371" s="2" t="s">
        <v>28</v>
      </c>
      <c r="C1371" s="149">
        <v>418.0</v>
      </c>
    </row>
    <row r="1372">
      <c r="A1372" s="2" t="s">
        <v>24</v>
      </c>
      <c r="B1372" s="2" t="s">
        <v>55</v>
      </c>
      <c r="C1372" s="149">
        <v>2398.0</v>
      </c>
    </row>
    <row r="1373">
      <c r="A1373" s="2" t="s">
        <v>24</v>
      </c>
      <c r="B1373" s="2" t="s">
        <v>48</v>
      </c>
      <c r="C1373" s="149">
        <v>864.0</v>
      </c>
    </row>
    <row r="1374">
      <c r="A1374" s="2" t="s">
        <v>24</v>
      </c>
      <c r="B1374" s="2" t="s">
        <v>2035</v>
      </c>
      <c r="C1374" s="149">
        <v>2628.0</v>
      </c>
    </row>
    <row r="1375">
      <c r="A1375" s="2" t="s">
        <v>24</v>
      </c>
      <c r="B1375" s="2" t="s">
        <v>59</v>
      </c>
      <c r="C1375" s="149">
        <v>198.0</v>
      </c>
    </row>
    <row r="1376">
      <c r="A1376" s="2" t="s">
        <v>24</v>
      </c>
      <c r="B1376" s="2" t="s">
        <v>44</v>
      </c>
      <c r="C1376" s="149">
        <v>1122.0</v>
      </c>
    </row>
    <row r="1377">
      <c r="A1377" s="2" t="s">
        <v>24</v>
      </c>
      <c r="B1377" s="2" t="s">
        <v>2036</v>
      </c>
      <c r="C1377" s="149">
        <v>2572.0</v>
      </c>
    </row>
    <row r="1378">
      <c r="A1378" s="2" t="s">
        <v>24</v>
      </c>
      <c r="B1378" s="2" t="s">
        <v>2037</v>
      </c>
      <c r="C1378" s="149">
        <v>2538.0</v>
      </c>
    </row>
    <row r="1379">
      <c r="A1379" s="2" t="s">
        <v>63</v>
      </c>
      <c r="B1379" s="2" t="s">
        <v>18</v>
      </c>
      <c r="C1379" s="149">
        <v>510.0</v>
      </c>
    </row>
    <row r="1380">
      <c r="A1380" s="2" t="s">
        <v>63</v>
      </c>
      <c r="B1380" s="2" t="s">
        <v>49</v>
      </c>
      <c r="C1380" s="149">
        <v>1692.0</v>
      </c>
    </row>
    <row r="1381">
      <c r="A1381" s="2" t="s">
        <v>63</v>
      </c>
      <c r="B1381" s="2" t="s">
        <v>22</v>
      </c>
      <c r="C1381" s="149">
        <v>1076.0</v>
      </c>
    </row>
    <row r="1382">
      <c r="A1382" s="2" t="s">
        <v>63</v>
      </c>
      <c r="B1382" s="2" t="s">
        <v>27</v>
      </c>
      <c r="C1382" s="149">
        <v>444.0</v>
      </c>
    </row>
    <row r="1383">
      <c r="A1383" s="2" t="s">
        <v>63</v>
      </c>
      <c r="B1383" s="2" t="s">
        <v>35</v>
      </c>
      <c r="C1383" s="149">
        <v>1144.0</v>
      </c>
    </row>
    <row r="1384">
      <c r="A1384" s="2" t="s">
        <v>63</v>
      </c>
      <c r="B1384" s="2" t="s">
        <v>41</v>
      </c>
      <c r="C1384" s="149">
        <v>1012.0</v>
      </c>
    </row>
    <row r="1385">
      <c r="A1385" s="2" t="s">
        <v>63</v>
      </c>
      <c r="B1385" s="2" t="s">
        <v>57</v>
      </c>
      <c r="C1385" s="149">
        <v>860.0</v>
      </c>
    </row>
    <row r="1386">
      <c r="A1386" s="2" t="s">
        <v>63</v>
      </c>
      <c r="B1386" s="2" t="s">
        <v>37</v>
      </c>
      <c r="C1386" s="149">
        <v>496.0</v>
      </c>
    </row>
    <row r="1387">
      <c r="A1387" s="2" t="s">
        <v>63</v>
      </c>
      <c r="B1387" s="2" t="s">
        <v>39</v>
      </c>
      <c r="C1387" s="149">
        <v>472.0</v>
      </c>
    </row>
    <row r="1388">
      <c r="A1388" s="2" t="s">
        <v>63</v>
      </c>
      <c r="B1388" s="2" t="s">
        <v>64</v>
      </c>
      <c r="C1388" s="149">
        <v>778.0</v>
      </c>
    </row>
    <row r="1389">
      <c r="A1389" s="2" t="s">
        <v>63</v>
      </c>
      <c r="B1389" s="2" t="s">
        <v>65</v>
      </c>
      <c r="C1389" s="149">
        <v>652.0</v>
      </c>
    </row>
    <row r="1390">
      <c r="A1390" s="2" t="s">
        <v>63</v>
      </c>
      <c r="B1390" s="2" t="s">
        <v>36</v>
      </c>
      <c r="C1390" s="149">
        <v>1136.0</v>
      </c>
    </row>
    <row r="1391">
      <c r="A1391" s="2" t="s">
        <v>63</v>
      </c>
      <c r="B1391" s="2" t="s">
        <v>31</v>
      </c>
      <c r="C1391" s="149">
        <v>676.0</v>
      </c>
    </row>
    <row r="1392">
      <c r="A1392" s="2" t="s">
        <v>63</v>
      </c>
      <c r="B1392" s="2" t="s">
        <v>43</v>
      </c>
      <c r="C1392" s="149">
        <v>830.0</v>
      </c>
    </row>
    <row r="1393">
      <c r="A1393" s="2" t="s">
        <v>63</v>
      </c>
      <c r="B1393" s="2" t="s">
        <v>40</v>
      </c>
      <c r="C1393" s="149">
        <v>286.0</v>
      </c>
    </row>
    <row r="1394">
      <c r="A1394" s="2" t="s">
        <v>63</v>
      </c>
      <c r="B1394" s="2" t="s">
        <v>50</v>
      </c>
      <c r="C1394" s="149">
        <v>1824.0</v>
      </c>
    </row>
    <row r="1395">
      <c r="A1395" s="2" t="s">
        <v>63</v>
      </c>
      <c r="B1395" s="2" t="s">
        <v>51</v>
      </c>
      <c r="C1395" s="149">
        <v>462.0</v>
      </c>
    </row>
    <row r="1396">
      <c r="A1396" s="2" t="s">
        <v>63</v>
      </c>
      <c r="B1396" s="2" t="s">
        <v>23</v>
      </c>
      <c r="C1396" s="149">
        <v>1154.0</v>
      </c>
    </row>
    <row r="1397">
      <c r="A1397" s="2" t="s">
        <v>63</v>
      </c>
      <c r="B1397" s="2" t="s">
        <v>47</v>
      </c>
      <c r="C1397" s="149">
        <v>354.0</v>
      </c>
    </row>
    <row r="1398">
      <c r="A1398" s="2" t="s">
        <v>63</v>
      </c>
      <c r="B1398" s="2" t="s">
        <v>62</v>
      </c>
      <c r="C1398" s="149">
        <v>456.0</v>
      </c>
    </row>
    <row r="1399">
      <c r="A1399" s="2" t="s">
        <v>63</v>
      </c>
      <c r="B1399" s="2" t="s">
        <v>30</v>
      </c>
      <c r="C1399" s="149">
        <v>364.0</v>
      </c>
    </row>
    <row r="1400">
      <c r="A1400" s="2" t="s">
        <v>63</v>
      </c>
      <c r="B1400" s="2" t="s">
        <v>32</v>
      </c>
      <c r="C1400" s="149">
        <v>440.0</v>
      </c>
    </row>
    <row r="1401">
      <c r="A1401" s="2" t="s">
        <v>63</v>
      </c>
      <c r="B1401" s="2" t="s">
        <v>46</v>
      </c>
      <c r="C1401" s="149">
        <v>544.0</v>
      </c>
    </row>
    <row r="1402">
      <c r="A1402" s="2" t="s">
        <v>63</v>
      </c>
      <c r="B1402" s="2" t="s">
        <v>54</v>
      </c>
      <c r="C1402" s="149">
        <v>1354.0</v>
      </c>
    </row>
    <row r="1403">
      <c r="A1403" s="2" t="s">
        <v>63</v>
      </c>
      <c r="B1403" s="2" t="s">
        <v>34</v>
      </c>
      <c r="C1403" s="149">
        <v>594.0</v>
      </c>
    </row>
    <row r="1404">
      <c r="A1404" s="2" t="s">
        <v>63</v>
      </c>
      <c r="B1404" s="2" t="s">
        <v>20</v>
      </c>
      <c r="C1404" s="149">
        <v>992.0</v>
      </c>
    </row>
    <row r="1405">
      <c r="A1405" s="2" t="s">
        <v>63</v>
      </c>
      <c r="B1405" s="2" t="s">
        <v>24</v>
      </c>
      <c r="C1405" s="149">
        <v>632.0</v>
      </c>
    </row>
    <row r="1406">
      <c r="A1406" s="2" t="s">
        <v>63</v>
      </c>
      <c r="B1406" s="2" t="s">
        <v>63</v>
      </c>
      <c r="C1406" s="149">
        <v>0.0</v>
      </c>
    </row>
    <row r="1407">
      <c r="A1407" s="2" t="s">
        <v>63</v>
      </c>
      <c r="B1407" s="2" t="s">
        <v>58</v>
      </c>
      <c r="C1407" s="149">
        <v>916.0</v>
      </c>
    </row>
    <row r="1408">
      <c r="A1408" s="2" t="s">
        <v>63</v>
      </c>
      <c r="B1408" s="2" t="s">
        <v>42</v>
      </c>
      <c r="C1408" s="149">
        <v>834.0</v>
      </c>
    </row>
    <row r="1409">
      <c r="A1409" s="2" t="s">
        <v>63</v>
      </c>
      <c r="B1409" s="2" t="s">
        <v>21</v>
      </c>
      <c r="C1409" s="149">
        <v>1314.0</v>
      </c>
    </row>
    <row r="1410">
      <c r="A1410" s="2" t="s">
        <v>63</v>
      </c>
      <c r="B1410" s="2" t="s">
        <v>33</v>
      </c>
      <c r="C1410" s="149">
        <v>684.0</v>
      </c>
    </row>
    <row r="1411">
      <c r="A1411" s="2" t="s">
        <v>63</v>
      </c>
      <c r="B1411" s="2" t="s">
        <v>66</v>
      </c>
      <c r="C1411" s="149">
        <v>1190.0</v>
      </c>
    </row>
    <row r="1412">
      <c r="A1412" s="2" t="s">
        <v>63</v>
      </c>
      <c r="B1412" s="2" t="s">
        <v>29</v>
      </c>
      <c r="C1412" s="149">
        <v>1334.0</v>
      </c>
    </row>
    <row r="1413">
      <c r="A1413" s="2" t="s">
        <v>63</v>
      </c>
      <c r="B1413" s="2" t="s">
        <v>60</v>
      </c>
      <c r="C1413" s="149">
        <v>730.0</v>
      </c>
    </row>
    <row r="1414">
      <c r="A1414" s="2" t="s">
        <v>63</v>
      </c>
      <c r="B1414" s="2" t="s">
        <v>38</v>
      </c>
      <c r="C1414" s="149">
        <v>772.0</v>
      </c>
    </row>
    <row r="1415">
      <c r="A1415" s="2" t="s">
        <v>63</v>
      </c>
      <c r="B1415" s="2" t="s">
        <v>61</v>
      </c>
      <c r="C1415" s="149">
        <v>406.0</v>
      </c>
    </row>
    <row r="1416">
      <c r="A1416" s="2" t="s">
        <v>63</v>
      </c>
      <c r="B1416" s="2" t="s">
        <v>52</v>
      </c>
      <c r="C1416" s="149">
        <v>620.0</v>
      </c>
    </row>
    <row r="1417">
      <c r="A1417" s="2" t="s">
        <v>63</v>
      </c>
      <c r="B1417" s="2" t="s">
        <v>25</v>
      </c>
      <c r="C1417" s="149">
        <v>776.0</v>
      </c>
    </row>
    <row r="1418">
      <c r="A1418" s="2" t="s">
        <v>63</v>
      </c>
      <c r="B1418" s="2" t="s">
        <v>67</v>
      </c>
      <c r="C1418" s="149">
        <v>868.0</v>
      </c>
    </row>
    <row r="1419">
      <c r="A1419" s="2" t="s">
        <v>63</v>
      </c>
      <c r="B1419" s="2" t="s">
        <v>45</v>
      </c>
      <c r="C1419" s="149">
        <v>542.0</v>
      </c>
    </row>
    <row r="1420">
      <c r="A1420" s="2" t="s">
        <v>63</v>
      </c>
      <c r="B1420" s="2" t="s">
        <v>53</v>
      </c>
      <c r="C1420" s="149">
        <v>956.0</v>
      </c>
    </row>
    <row r="1421">
      <c r="A1421" s="2" t="s">
        <v>63</v>
      </c>
      <c r="B1421" s="2" t="s">
        <v>26</v>
      </c>
      <c r="C1421" s="149">
        <v>902.0</v>
      </c>
    </row>
    <row r="1422">
      <c r="A1422" s="2" t="s">
        <v>63</v>
      </c>
      <c r="B1422" s="2" t="s">
        <v>28</v>
      </c>
      <c r="C1422" s="149">
        <v>504.0</v>
      </c>
    </row>
    <row r="1423">
      <c r="A1423" s="2" t="s">
        <v>63</v>
      </c>
      <c r="B1423" s="2" t="s">
        <v>55</v>
      </c>
      <c r="C1423" s="149">
        <v>1960.0</v>
      </c>
    </row>
    <row r="1424">
      <c r="A1424" s="2" t="s">
        <v>63</v>
      </c>
      <c r="B1424" s="2" t="s">
        <v>48</v>
      </c>
      <c r="C1424" s="149">
        <v>260.0</v>
      </c>
    </row>
    <row r="1425">
      <c r="A1425" s="2" t="s">
        <v>63</v>
      </c>
      <c r="B1425" s="2" t="s">
        <v>2035</v>
      </c>
      <c r="C1425" s="149">
        <v>2192.0</v>
      </c>
    </row>
    <row r="1426">
      <c r="A1426" s="2" t="s">
        <v>63</v>
      </c>
      <c r="B1426" s="2" t="s">
        <v>59</v>
      </c>
      <c r="C1426" s="149">
        <v>800.0</v>
      </c>
    </row>
    <row r="1427">
      <c r="A1427" s="2" t="s">
        <v>63</v>
      </c>
      <c r="B1427" s="2" t="s">
        <v>44</v>
      </c>
      <c r="C1427" s="149">
        <v>646.0</v>
      </c>
    </row>
    <row r="1428">
      <c r="A1428" s="2" t="s">
        <v>63</v>
      </c>
      <c r="B1428" s="2" t="s">
        <v>2036</v>
      </c>
      <c r="C1428" s="149">
        <v>2106.0</v>
      </c>
    </row>
    <row r="1429">
      <c r="A1429" s="2" t="s">
        <v>63</v>
      </c>
      <c r="B1429" s="2" t="s">
        <v>2037</v>
      </c>
      <c r="C1429" s="149">
        <v>2140.0</v>
      </c>
    </row>
    <row r="1430">
      <c r="A1430" s="2" t="s">
        <v>58</v>
      </c>
      <c r="B1430" s="2" t="s">
        <v>18</v>
      </c>
      <c r="C1430" s="149">
        <v>1272.0</v>
      </c>
    </row>
    <row r="1431">
      <c r="A1431" s="2" t="s">
        <v>58</v>
      </c>
      <c r="B1431" s="2" t="s">
        <v>49</v>
      </c>
      <c r="C1431" s="149">
        <v>2390.0</v>
      </c>
    </row>
    <row r="1432">
      <c r="A1432" s="2" t="s">
        <v>58</v>
      </c>
      <c r="B1432" s="2" t="s">
        <v>22</v>
      </c>
      <c r="C1432" s="149">
        <v>1774.0</v>
      </c>
    </row>
    <row r="1433">
      <c r="A1433" s="2" t="s">
        <v>58</v>
      </c>
      <c r="B1433" s="2" t="s">
        <v>27</v>
      </c>
      <c r="C1433" s="149">
        <v>630.0</v>
      </c>
    </row>
    <row r="1434">
      <c r="A1434" s="2" t="s">
        <v>58</v>
      </c>
      <c r="B1434" s="2" t="s">
        <v>35</v>
      </c>
      <c r="C1434" s="149">
        <v>2024.0</v>
      </c>
    </row>
    <row r="1435">
      <c r="A1435" s="2" t="s">
        <v>58</v>
      </c>
      <c r="B1435" s="2" t="s">
        <v>41</v>
      </c>
      <c r="C1435" s="149">
        <v>1890.0</v>
      </c>
    </row>
    <row r="1436">
      <c r="A1436" s="2" t="s">
        <v>58</v>
      </c>
      <c r="B1436" s="2" t="s">
        <v>57</v>
      </c>
      <c r="C1436" s="149">
        <v>60.0</v>
      </c>
    </row>
    <row r="1437">
      <c r="A1437" s="2" t="s">
        <v>58</v>
      </c>
      <c r="B1437" s="2" t="s">
        <v>37</v>
      </c>
      <c r="C1437" s="149">
        <v>858.0</v>
      </c>
    </row>
    <row r="1438">
      <c r="A1438" s="2" t="s">
        <v>58</v>
      </c>
      <c r="B1438" s="2" t="s">
        <v>39</v>
      </c>
      <c r="C1438" s="149">
        <v>926.0</v>
      </c>
    </row>
    <row r="1439">
      <c r="A1439" s="2" t="s">
        <v>58</v>
      </c>
      <c r="B1439" s="2" t="s">
        <v>64</v>
      </c>
      <c r="C1439" s="149">
        <v>1656.0</v>
      </c>
    </row>
    <row r="1440">
      <c r="A1440" s="2" t="s">
        <v>58</v>
      </c>
      <c r="B1440" s="2" t="s">
        <v>65</v>
      </c>
      <c r="C1440" s="149">
        <v>1516.0</v>
      </c>
    </row>
    <row r="1441">
      <c r="A1441" s="2" t="s">
        <v>58</v>
      </c>
      <c r="B1441" s="2" t="s">
        <v>36</v>
      </c>
      <c r="C1441" s="149">
        <v>2016.0</v>
      </c>
    </row>
    <row r="1442">
      <c r="A1442" s="2" t="s">
        <v>58</v>
      </c>
      <c r="B1442" s="2" t="s">
        <v>31</v>
      </c>
      <c r="C1442" s="149">
        <v>322.0</v>
      </c>
    </row>
    <row r="1443">
      <c r="A1443" s="2" t="s">
        <v>58</v>
      </c>
      <c r="B1443" s="2" t="s">
        <v>43</v>
      </c>
      <c r="C1443" s="149">
        <v>1702.0</v>
      </c>
    </row>
    <row r="1444">
      <c r="A1444" s="2" t="s">
        <v>58</v>
      </c>
      <c r="B1444" s="2" t="s">
        <v>40</v>
      </c>
      <c r="C1444" s="149">
        <v>1062.0</v>
      </c>
    </row>
    <row r="1445">
      <c r="A1445" s="2" t="s">
        <v>58</v>
      </c>
      <c r="B1445" s="2" t="s">
        <v>50</v>
      </c>
      <c r="C1445" s="149">
        <v>2520.0</v>
      </c>
    </row>
    <row r="1446">
      <c r="A1446" s="2" t="s">
        <v>58</v>
      </c>
      <c r="B1446" s="2" t="s">
        <v>51</v>
      </c>
      <c r="C1446" s="149">
        <v>482.0</v>
      </c>
    </row>
    <row r="1447">
      <c r="A1447" s="2" t="s">
        <v>58</v>
      </c>
      <c r="B1447" s="2" t="s">
        <v>23</v>
      </c>
      <c r="C1447" s="149">
        <v>1852.0</v>
      </c>
    </row>
    <row r="1448">
      <c r="A1448" s="2" t="s">
        <v>58</v>
      </c>
      <c r="B1448" s="2" t="s">
        <v>47</v>
      </c>
      <c r="C1448" s="149">
        <v>1256.0</v>
      </c>
    </row>
    <row r="1449">
      <c r="A1449" s="2" t="s">
        <v>58</v>
      </c>
      <c r="B1449" s="2" t="s">
        <v>62</v>
      </c>
      <c r="C1449" s="149">
        <v>1232.0</v>
      </c>
    </row>
    <row r="1450">
      <c r="A1450" s="2" t="s">
        <v>58</v>
      </c>
      <c r="B1450" s="2" t="s">
        <v>30</v>
      </c>
      <c r="C1450" s="149">
        <v>618.0</v>
      </c>
    </row>
    <row r="1451">
      <c r="A1451" s="2" t="s">
        <v>58</v>
      </c>
      <c r="B1451" s="2" t="s">
        <v>32</v>
      </c>
      <c r="C1451" s="149">
        <v>474.0</v>
      </c>
    </row>
    <row r="1452">
      <c r="A1452" s="2" t="s">
        <v>58</v>
      </c>
      <c r="B1452" s="2" t="s">
        <v>46</v>
      </c>
      <c r="C1452" s="149">
        <v>1424.0</v>
      </c>
    </row>
    <row r="1453">
      <c r="A1453" s="2" t="s">
        <v>58</v>
      </c>
      <c r="B1453" s="2" t="s">
        <v>54</v>
      </c>
      <c r="C1453" s="149">
        <v>2050.0</v>
      </c>
    </row>
    <row r="1454">
      <c r="A1454" s="2" t="s">
        <v>58</v>
      </c>
      <c r="B1454" s="2" t="s">
        <v>34</v>
      </c>
      <c r="C1454" s="149">
        <v>1370.0</v>
      </c>
    </row>
    <row r="1455">
      <c r="A1455" s="2" t="s">
        <v>58</v>
      </c>
      <c r="B1455" s="2" t="s">
        <v>20</v>
      </c>
      <c r="C1455" s="149">
        <v>1690.0</v>
      </c>
    </row>
    <row r="1456">
      <c r="A1456" s="2" t="s">
        <v>58</v>
      </c>
      <c r="B1456" s="2" t="s">
        <v>24</v>
      </c>
      <c r="C1456" s="149">
        <v>300.0</v>
      </c>
    </row>
    <row r="1457">
      <c r="A1457" s="2" t="s">
        <v>58</v>
      </c>
      <c r="B1457" s="2" t="s">
        <v>63</v>
      </c>
      <c r="C1457" s="149">
        <v>916.0</v>
      </c>
    </row>
    <row r="1458">
      <c r="A1458" s="2" t="s">
        <v>58</v>
      </c>
      <c r="B1458" s="2" t="s">
        <v>58</v>
      </c>
      <c r="C1458" s="149">
        <v>0.0</v>
      </c>
    </row>
    <row r="1459">
      <c r="A1459" s="2" t="s">
        <v>58</v>
      </c>
      <c r="B1459" s="2" t="s">
        <v>42</v>
      </c>
      <c r="C1459" s="149">
        <v>1696.0</v>
      </c>
    </row>
    <row r="1460">
      <c r="A1460" s="2" t="s">
        <v>58</v>
      </c>
      <c r="B1460" s="2" t="s">
        <v>21</v>
      </c>
      <c r="C1460" s="149">
        <v>2034.0</v>
      </c>
    </row>
    <row r="1461">
      <c r="A1461" s="2" t="s">
        <v>58</v>
      </c>
      <c r="B1461" s="2" t="s">
        <v>33</v>
      </c>
      <c r="C1461" s="149">
        <v>1370.0</v>
      </c>
    </row>
    <row r="1462">
      <c r="A1462" s="2" t="s">
        <v>58</v>
      </c>
      <c r="B1462" s="2" t="s">
        <v>66</v>
      </c>
      <c r="C1462" s="149">
        <v>2014.0</v>
      </c>
    </row>
    <row r="1463">
      <c r="A1463" s="2" t="s">
        <v>58</v>
      </c>
      <c r="B1463" s="2" t="s">
        <v>29</v>
      </c>
      <c r="C1463" s="149">
        <v>1634.0</v>
      </c>
    </row>
    <row r="1464">
      <c r="A1464" s="2" t="s">
        <v>58</v>
      </c>
      <c r="B1464" s="2" t="s">
        <v>60</v>
      </c>
      <c r="C1464" s="149">
        <v>1492.0</v>
      </c>
    </row>
    <row r="1465">
      <c r="A1465" s="2" t="s">
        <v>58</v>
      </c>
      <c r="B1465" s="2" t="s">
        <v>38</v>
      </c>
      <c r="C1465" s="149">
        <v>1074.0</v>
      </c>
    </row>
    <row r="1466">
      <c r="A1466" s="2" t="s">
        <v>58</v>
      </c>
      <c r="B1466" s="2" t="s">
        <v>61</v>
      </c>
      <c r="C1466" s="149">
        <v>1168.0</v>
      </c>
    </row>
    <row r="1467">
      <c r="A1467" s="2" t="s">
        <v>58</v>
      </c>
      <c r="B1467" s="2" t="s">
        <v>52</v>
      </c>
      <c r="C1467" s="149">
        <v>424.0</v>
      </c>
    </row>
    <row r="1468">
      <c r="A1468" s="2" t="s">
        <v>58</v>
      </c>
      <c r="B1468" s="2" t="s">
        <v>25</v>
      </c>
      <c r="C1468" s="149">
        <v>196.0</v>
      </c>
    </row>
    <row r="1469">
      <c r="A1469" s="2" t="s">
        <v>58</v>
      </c>
      <c r="B1469" s="2" t="s">
        <v>67</v>
      </c>
      <c r="C1469" s="149">
        <v>702.0</v>
      </c>
    </row>
    <row r="1470">
      <c r="A1470" s="2" t="s">
        <v>58</v>
      </c>
      <c r="B1470" s="2" t="s">
        <v>45</v>
      </c>
      <c r="C1470" s="149">
        <v>1404.0</v>
      </c>
    </row>
    <row r="1471">
      <c r="A1471" s="2" t="s">
        <v>58</v>
      </c>
      <c r="B1471" s="2" t="s">
        <v>53</v>
      </c>
      <c r="C1471" s="149">
        <v>434.0</v>
      </c>
    </row>
    <row r="1472">
      <c r="A1472" s="2" t="s">
        <v>58</v>
      </c>
      <c r="B1472" s="2" t="s">
        <v>26</v>
      </c>
      <c r="C1472" s="149">
        <v>162.0</v>
      </c>
    </row>
    <row r="1473">
      <c r="A1473" s="2" t="s">
        <v>58</v>
      </c>
      <c r="B1473" s="2" t="s">
        <v>28</v>
      </c>
      <c r="C1473" s="149">
        <v>712.0</v>
      </c>
    </row>
    <row r="1474">
      <c r="A1474" s="2" t="s">
        <v>58</v>
      </c>
      <c r="B1474" s="2" t="s">
        <v>55</v>
      </c>
      <c r="C1474" s="149">
        <v>2692.0</v>
      </c>
    </row>
    <row r="1475">
      <c r="A1475" s="2" t="s">
        <v>58</v>
      </c>
      <c r="B1475" s="2" t="s">
        <v>48</v>
      </c>
      <c r="C1475" s="149">
        <v>1142.0</v>
      </c>
    </row>
    <row r="1476">
      <c r="A1476" s="2" t="s">
        <v>58</v>
      </c>
      <c r="B1476" s="2" t="s">
        <v>2035</v>
      </c>
      <c r="C1476" s="149">
        <v>0.0</v>
      </c>
    </row>
    <row r="1477">
      <c r="A1477" s="2" t="s">
        <v>58</v>
      </c>
      <c r="B1477" s="2" t="s">
        <v>59</v>
      </c>
      <c r="C1477" s="149">
        <v>136.0</v>
      </c>
    </row>
    <row r="1478">
      <c r="A1478" s="2" t="s">
        <v>58</v>
      </c>
      <c r="B1478" s="2" t="s">
        <v>44</v>
      </c>
      <c r="C1478" s="149">
        <v>1420.0</v>
      </c>
    </row>
    <row r="1479">
      <c r="A1479" s="2" t="s">
        <v>58</v>
      </c>
      <c r="B1479" s="2" t="s">
        <v>2036</v>
      </c>
      <c r="C1479" s="149">
        <v>2848.0</v>
      </c>
    </row>
    <row r="1480">
      <c r="A1480" s="2" t="s">
        <v>58</v>
      </c>
      <c r="B1480" s="2" t="s">
        <v>2037</v>
      </c>
      <c r="C1480" s="149">
        <v>2814.0</v>
      </c>
    </row>
    <row r="1481">
      <c r="A1481" s="2" t="s">
        <v>42</v>
      </c>
      <c r="B1481" s="2" t="s">
        <v>18</v>
      </c>
      <c r="C1481" s="149">
        <v>580.0</v>
      </c>
    </row>
    <row r="1482">
      <c r="A1482" s="2" t="s">
        <v>42</v>
      </c>
      <c r="B1482" s="2" t="s">
        <v>49</v>
      </c>
      <c r="C1482" s="149">
        <v>2226.0</v>
      </c>
    </row>
    <row r="1483">
      <c r="A1483" s="2" t="s">
        <v>42</v>
      </c>
      <c r="B1483" s="2" t="s">
        <v>22</v>
      </c>
      <c r="C1483" s="149">
        <v>1474.0</v>
      </c>
    </row>
    <row r="1484">
      <c r="A1484" s="2" t="s">
        <v>42</v>
      </c>
      <c r="B1484" s="2" t="s">
        <v>27</v>
      </c>
      <c r="C1484" s="149">
        <v>1214.0</v>
      </c>
    </row>
    <row r="1485">
      <c r="A1485" s="2" t="s">
        <v>42</v>
      </c>
      <c r="B1485" s="2" t="s">
        <v>35</v>
      </c>
      <c r="C1485" s="149">
        <v>358.0</v>
      </c>
    </row>
    <row r="1486">
      <c r="A1486" s="2" t="s">
        <v>42</v>
      </c>
      <c r="B1486" s="2" t="s">
        <v>41</v>
      </c>
      <c r="C1486" s="149">
        <v>200.0</v>
      </c>
    </row>
    <row r="1487">
      <c r="A1487" s="2" t="s">
        <v>42</v>
      </c>
      <c r="B1487" s="2" t="s">
        <v>57</v>
      </c>
      <c r="C1487" s="149">
        <v>1658.0</v>
      </c>
    </row>
    <row r="1488">
      <c r="A1488" s="2" t="s">
        <v>42</v>
      </c>
      <c r="B1488" s="2" t="s">
        <v>37</v>
      </c>
      <c r="C1488" s="149">
        <v>1100.0</v>
      </c>
    </row>
    <row r="1489">
      <c r="A1489" s="2" t="s">
        <v>42</v>
      </c>
      <c r="B1489" s="2" t="s">
        <v>39</v>
      </c>
      <c r="C1489" s="149">
        <v>1078.0</v>
      </c>
    </row>
    <row r="1490">
      <c r="A1490" s="2" t="s">
        <v>42</v>
      </c>
      <c r="B1490" s="2" t="s">
        <v>64</v>
      </c>
      <c r="C1490" s="149">
        <v>128.0</v>
      </c>
    </row>
    <row r="1491">
      <c r="A1491" s="2" t="s">
        <v>42</v>
      </c>
      <c r="B1491" s="2" t="s">
        <v>65</v>
      </c>
      <c r="C1491" s="149">
        <v>242.0</v>
      </c>
    </row>
    <row r="1492">
      <c r="A1492" s="2" t="s">
        <v>42</v>
      </c>
      <c r="B1492" s="2" t="s">
        <v>36</v>
      </c>
      <c r="C1492" s="149">
        <v>350.0</v>
      </c>
    </row>
    <row r="1493">
      <c r="A1493" s="2" t="s">
        <v>42</v>
      </c>
      <c r="B1493" s="2" t="s">
        <v>31</v>
      </c>
      <c r="C1493" s="149">
        <v>1494.0</v>
      </c>
    </row>
    <row r="1494">
      <c r="A1494" s="2" t="s">
        <v>42</v>
      </c>
      <c r="B1494" s="2" t="s">
        <v>43</v>
      </c>
      <c r="C1494" s="149">
        <v>208.0</v>
      </c>
    </row>
    <row r="1495">
      <c r="A1495" s="2" t="s">
        <v>42</v>
      </c>
      <c r="B1495" s="2" t="s">
        <v>40</v>
      </c>
      <c r="C1495" s="149">
        <v>892.0</v>
      </c>
    </row>
    <row r="1496">
      <c r="A1496" s="2" t="s">
        <v>42</v>
      </c>
      <c r="B1496" s="2" t="s">
        <v>50</v>
      </c>
      <c r="C1496" s="149">
        <v>2220.0</v>
      </c>
    </row>
    <row r="1497">
      <c r="A1497" s="2" t="s">
        <v>42</v>
      </c>
      <c r="B1497" s="2" t="s">
        <v>51</v>
      </c>
      <c r="C1497" s="149">
        <v>1232.0</v>
      </c>
    </row>
    <row r="1498">
      <c r="A1498" s="2" t="s">
        <v>42</v>
      </c>
      <c r="B1498" s="2" t="s">
        <v>23</v>
      </c>
      <c r="C1498" s="149">
        <v>1552.0</v>
      </c>
    </row>
    <row r="1499">
      <c r="A1499" s="2" t="s">
        <v>42</v>
      </c>
      <c r="B1499" s="2" t="s">
        <v>47</v>
      </c>
      <c r="C1499" s="149">
        <v>510.0</v>
      </c>
    </row>
    <row r="1500">
      <c r="A1500" s="2" t="s">
        <v>42</v>
      </c>
      <c r="B1500" s="2" t="s">
        <v>62</v>
      </c>
      <c r="C1500" s="149">
        <v>524.0</v>
      </c>
    </row>
    <row r="1501">
      <c r="A1501" s="2" t="s">
        <v>42</v>
      </c>
      <c r="B1501" s="2" t="s">
        <v>30</v>
      </c>
      <c r="C1501" s="149">
        <v>1180.0</v>
      </c>
    </row>
    <row r="1502">
      <c r="A1502" s="2" t="s">
        <v>42</v>
      </c>
      <c r="B1502" s="2" t="s">
        <v>32</v>
      </c>
      <c r="C1502" s="149">
        <v>1256.0</v>
      </c>
    </row>
    <row r="1503">
      <c r="A1503" s="2" t="s">
        <v>42</v>
      </c>
      <c r="B1503" s="2" t="s">
        <v>46</v>
      </c>
      <c r="C1503" s="149">
        <v>300.0</v>
      </c>
    </row>
    <row r="1504">
      <c r="A1504" s="2" t="s">
        <v>42</v>
      </c>
      <c r="B1504" s="2" t="s">
        <v>54</v>
      </c>
      <c r="C1504" s="149">
        <v>1752.0</v>
      </c>
    </row>
    <row r="1505">
      <c r="A1505" s="2" t="s">
        <v>42</v>
      </c>
      <c r="B1505" s="2" t="s">
        <v>34</v>
      </c>
      <c r="C1505" s="149">
        <v>778.0</v>
      </c>
    </row>
    <row r="1506">
      <c r="A1506" s="2" t="s">
        <v>42</v>
      </c>
      <c r="B1506" s="2" t="s">
        <v>20</v>
      </c>
      <c r="C1506" s="149">
        <v>1552.0</v>
      </c>
    </row>
    <row r="1507">
      <c r="A1507" s="2" t="s">
        <v>42</v>
      </c>
      <c r="B1507" s="2" t="s">
        <v>24</v>
      </c>
      <c r="C1507" s="149">
        <v>1402.0</v>
      </c>
    </row>
    <row r="1508">
      <c r="A1508" s="2" t="s">
        <v>42</v>
      </c>
      <c r="B1508" s="2" t="s">
        <v>63</v>
      </c>
      <c r="C1508" s="149">
        <v>834.0</v>
      </c>
    </row>
    <row r="1509">
      <c r="A1509" s="2" t="s">
        <v>42</v>
      </c>
      <c r="B1509" s="2" t="s">
        <v>58</v>
      </c>
      <c r="C1509" s="149">
        <v>1696.0</v>
      </c>
    </row>
    <row r="1510">
      <c r="A1510" s="2" t="s">
        <v>42</v>
      </c>
      <c r="B1510" s="2" t="s">
        <v>42</v>
      </c>
      <c r="C1510" s="149">
        <v>0.0</v>
      </c>
    </row>
    <row r="1511">
      <c r="A1511" s="2" t="s">
        <v>42</v>
      </c>
      <c r="B1511" s="2" t="s">
        <v>21</v>
      </c>
      <c r="C1511" s="149">
        <v>1578.0</v>
      </c>
    </row>
    <row r="1512">
      <c r="A1512" s="2" t="s">
        <v>42</v>
      </c>
      <c r="B1512" s="2" t="s">
        <v>33</v>
      </c>
      <c r="C1512" s="149">
        <v>1312.0</v>
      </c>
    </row>
    <row r="1513">
      <c r="A1513" s="2" t="s">
        <v>42</v>
      </c>
      <c r="B1513" s="2" t="s">
        <v>66</v>
      </c>
      <c r="C1513" s="149">
        <v>554.0</v>
      </c>
    </row>
    <row r="1514">
      <c r="A1514" s="2" t="s">
        <v>42</v>
      </c>
      <c r="B1514" s="2" t="s">
        <v>29</v>
      </c>
      <c r="C1514" s="149">
        <v>1960.0</v>
      </c>
    </row>
    <row r="1515">
      <c r="A1515" s="2" t="s">
        <v>42</v>
      </c>
      <c r="B1515" s="2" t="s">
        <v>60</v>
      </c>
      <c r="C1515" s="149">
        <v>948.0</v>
      </c>
    </row>
    <row r="1516">
      <c r="A1516" s="2" t="s">
        <v>42</v>
      </c>
      <c r="B1516" s="2" t="s">
        <v>38</v>
      </c>
      <c r="C1516" s="149">
        <v>1398.0</v>
      </c>
    </row>
    <row r="1517">
      <c r="A1517" s="2" t="s">
        <v>42</v>
      </c>
      <c r="B1517" s="2" t="s">
        <v>61</v>
      </c>
      <c r="C1517" s="149">
        <v>610.0</v>
      </c>
    </row>
    <row r="1518">
      <c r="A1518" s="2" t="s">
        <v>42</v>
      </c>
      <c r="B1518" s="2" t="s">
        <v>52</v>
      </c>
      <c r="C1518" s="149">
        <v>1436.0</v>
      </c>
    </row>
    <row r="1519">
      <c r="A1519" s="2" t="s">
        <v>42</v>
      </c>
      <c r="B1519" s="2" t="s">
        <v>25</v>
      </c>
      <c r="C1519" s="149">
        <v>1566.0</v>
      </c>
    </row>
    <row r="1520">
      <c r="A1520" s="2" t="s">
        <v>42</v>
      </c>
      <c r="B1520" s="2" t="s">
        <v>67</v>
      </c>
      <c r="C1520" s="149">
        <v>1660.0</v>
      </c>
    </row>
    <row r="1521">
      <c r="A1521" s="2" t="s">
        <v>42</v>
      </c>
      <c r="B1521" s="2" t="s">
        <v>45</v>
      </c>
      <c r="C1521" s="149">
        <v>308.0</v>
      </c>
    </row>
    <row r="1522">
      <c r="A1522" s="2" t="s">
        <v>42</v>
      </c>
      <c r="B1522" s="2" t="s">
        <v>53</v>
      </c>
      <c r="C1522" s="149">
        <v>1794.0</v>
      </c>
    </row>
    <row r="1523">
      <c r="A1523" s="2" t="s">
        <v>42</v>
      </c>
      <c r="B1523" s="2" t="s">
        <v>26</v>
      </c>
      <c r="C1523" s="149">
        <v>1692.0</v>
      </c>
    </row>
    <row r="1524">
      <c r="A1524" s="2" t="s">
        <v>42</v>
      </c>
      <c r="B1524" s="2" t="s">
        <v>28</v>
      </c>
      <c r="C1524" s="149">
        <v>1240.0</v>
      </c>
    </row>
    <row r="1525">
      <c r="A1525" s="2" t="s">
        <v>42</v>
      </c>
      <c r="B1525" s="2" t="s">
        <v>55</v>
      </c>
      <c r="C1525" s="149">
        <v>2224.0</v>
      </c>
    </row>
    <row r="1526">
      <c r="A1526" s="2" t="s">
        <v>42</v>
      </c>
      <c r="B1526" s="2" t="s">
        <v>48</v>
      </c>
      <c r="C1526" s="149">
        <v>608.0</v>
      </c>
    </row>
    <row r="1527">
      <c r="A1527" s="2" t="s">
        <v>42</v>
      </c>
      <c r="B1527" s="2" t="s">
        <v>2035</v>
      </c>
      <c r="C1527" s="149">
        <v>2454.0</v>
      </c>
    </row>
    <row r="1528">
      <c r="A1528" s="2" t="s">
        <v>42</v>
      </c>
      <c r="B1528" s="2" t="s">
        <v>59</v>
      </c>
      <c r="C1528" s="149">
        <v>1596.0</v>
      </c>
    </row>
    <row r="1529">
      <c r="A1529" s="2" t="s">
        <v>42</v>
      </c>
      <c r="B1529" s="2" t="s">
        <v>44</v>
      </c>
      <c r="C1529" s="149">
        <v>482.0</v>
      </c>
    </row>
    <row r="1530">
      <c r="A1530" s="2" t="s">
        <v>42</v>
      </c>
      <c r="B1530" s="2" t="s">
        <v>2036</v>
      </c>
      <c r="C1530" s="149">
        <v>2354.0</v>
      </c>
    </row>
    <row r="1531">
      <c r="A1531" s="2" t="s">
        <v>42</v>
      </c>
      <c r="B1531" s="2" t="s">
        <v>2037</v>
      </c>
      <c r="C1531" s="149">
        <v>2422.0</v>
      </c>
    </row>
    <row r="1532">
      <c r="A1532" s="2" t="s">
        <v>21</v>
      </c>
      <c r="B1532" s="2" t="s">
        <v>18</v>
      </c>
      <c r="C1532" s="149">
        <v>1102.0</v>
      </c>
    </row>
    <row r="1533">
      <c r="A1533" s="2" t="s">
        <v>21</v>
      </c>
      <c r="B1533" s="2" t="s">
        <v>49</v>
      </c>
      <c r="C1533" s="149">
        <v>698.0</v>
      </c>
    </row>
    <row r="1534">
      <c r="A1534" s="2" t="s">
        <v>21</v>
      </c>
      <c r="B1534" s="2" t="s">
        <v>22</v>
      </c>
      <c r="C1534" s="149">
        <v>100.0</v>
      </c>
    </row>
    <row r="1535">
      <c r="A1535" s="2" t="s">
        <v>21</v>
      </c>
      <c r="B1535" s="2" t="s">
        <v>27</v>
      </c>
      <c r="C1535" s="149">
        <v>1436.0</v>
      </c>
    </row>
    <row r="1536">
      <c r="A1536" s="2" t="s">
        <v>21</v>
      </c>
      <c r="B1536" s="2" t="s">
        <v>35</v>
      </c>
      <c r="C1536" s="149">
        <v>1872.0</v>
      </c>
    </row>
    <row r="1537">
      <c r="A1537" s="2" t="s">
        <v>21</v>
      </c>
      <c r="B1537" s="2" t="s">
        <v>41</v>
      </c>
      <c r="C1537" s="149">
        <v>1738.0</v>
      </c>
    </row>
    <row r="1538">
      <c r="A1538" s="2" t="s">
        <v>21</v>
      </c>
      <c r="B1538" s="2" t="s">
        <v>57</v>
      </c>
      <c r="C1538" s="149">
        <v>1996.0</v>
      </c>
    </row>
    <row r="1539">
      <c r="A1539" s="2" t="s">
        <v>21</v>
      </c>
      <c r="B1539" s="2" t="s">
        <v>37</v>
      </c>
      <c r="C1539" s="149">
        <v>1238.0</v>
      </c>
    </row>
    <row r="1540">
      <c r="A1540" s="2" t="s">
        <v>21</v>
      </c>
      <c r="B1540" s="2" t="s">
        <v>39</v>
      </c>
      <c r="C1540" s="149">
        <v>1114.0</v>
      </c>
    </row>
    <row r="1541">
      <c r="A1541" s="2" t="s">
        <v>21</v>
      </c>
      <c r="B1541" s="2" t="s">
        <v>64</v>
      </c>
      <c r="C1541" s="149">
        <v>1504.0</v>
      </c>
    </row>
    <row r="1542">
      <c r="A1542" s="2" t="s">
        <v>21</v>
      </c>
      <c r="B1542" s="2" t="s">
        <v>65</v>
      </c>
      <c r="C1542" s="149">
        <v>1364.0</v>
      </c>
    </row>
    <row r="1543">
      <c r="A1543" s="2" t="s">
        <v>21</v>
      </c>
      <c r="B1543" s="2" t="s">
        <v>36</v>
      </c>
      <c r="C1543" s="149">
        <v>1862.0</v>
      </c>
    </row>
    <row r="1544">
      <c r="A1544" s="2" t="s">
        <v>21</v>
      </c>
      <c r="B1544" s="2" t="s">
        <v>31</v>
      </c>
      <c r="C1544" s="149">
        <v>1912.0</v>
      </c>
    </row>
    <row r="1545">
      <c r="A1545" s="2" t="s">
        <v>21</v>
      </c>
      <c r="B1545" s="2" t="s">
        <v>43</v>
      </c>
      <c r="C1545" s="149">
        <v>1550.0</v>
      </c>
    </row>
    <row r="1546">
      <c r="A1546" s="2" t="s">
        <v>21</v>
      </c>
      <c r="B1546" s="2" t="s">
        <v>40</v>
      </c>
      <c r="C1546" s="149">
        <v>1026.0</v>
      </c>
    </row>
    <row r="1547">
      <c r="A1547" s="2" t="s">
        <v>21</v>
      </c>
      <c r="B1547" s="2" t="s">
        <v>50</v>
      </c>
      <c r="C1547" s="149">
        <v>778.0</v>
      </c>
    </row>
    <row r="1548">
      <c r="A1548" s="2" t="s">
        <v>21</v>
      </c>
      <c r="B1548" s="2" t="s">
        <v>51</v>
      </c>
      <c r="C1548" s="149">
        <v>1570.0</v>
      </c>
    </row>
    <row r="1549">
      <c r="A1549" s="2" t="s">
        <v>21</v>
      </c>
      <c r="B1549" s="2" t="s">
        <v>23</v>
      </c>
      <c r="C1549" s="149">
        <v>154.0</v>
      </c>
    </row>
    <row r="1550">
      <c r="A1550" s="2" t="s">
        <v>21</v>
      </c>
      <c r="B1550" s="2" t="s">
        <v>47</v>
      </c>
      <c r="C1550" s="149">
        <v>1218.0</v>
      </c>
    </row>
    <row r="1551">
      <c r="A1551" s="2" t="s">
        <v>21</v>
      </c>
      <c r="B1551" s="2" t="s">
        <v>62</v>
      </c>
      <c r="C1551" s="149">
        <v>1080.0</v>
      </c>
    </row>
    <row r="1552">
      <c r="A1552" s="2" t="s">
        <v>21</v>
      </c>
      <c r="B1552" s="2" t="s">
        <v>30</v>
      </c>
      <c r="C1552" s="149">
        <v>1600.0</v>
      </c>
    </row>
    <row r="1553">
      <c r="A1553" s="2" t="s">
        <v>21</v>
      </c>
      <c r="B1553" s="2" t="s">
        <v>32</v>
      </c>
      <c r="C1553" s="149">
        <v>1676.0</v>
      </c>
    </row>
    <row r="1554">
      <c r="A1554" s="2" t="s">
        <v>21</v>
      </c>
      <c r="B1554" s="2" t="s">
        <v>46</v>
      </c>
      <c r="C1554" s="149">
        <v>1272.0</v>
      </c>
    </row>
    <row r="1555">
      <c r="A1555" s="2" t="s">
        <v>21</v>
      </c>
      <c r="B1555" s="2" t="s">
        <v>54</v>
      </c>
      <c r="C1555" s="149">
        <v>308.0</v>
      </c>
    </row>
    <row r="1556">
      <c r="A1556" s="2" t="s">
        <v>21</v>
      </c>
      <c r="B1556" s="2" t="s">
        <v>34</v>
      </c>
      <c r="C1556" s="149">
        <v>864.0</v>
      </c>
    </row>
    <row r="1557">
      <c r="A1557" s="2" t="s">
        <v>21</v>
      </c>
      <c r="B1557" s="2" t="s">
        <v>20</v>
      </c>
      <c r="C1557" s="149">
        <v>132.0</v>
      </c>
    </row>
    <row r="1558">
      <c r="A1558" s="2" t="s">
        <v>21</v>
      </c>
      <c r="B1558" s="2" t="s">
        <v>24</v>
      </c>
      <c r="C1558" s="149">
        <v>1740.0</v>
      </c>
    </row>
    <row r="1559">
      <c r="A1559" s="2" t="s">
        <v>21</v>
      </c>
      <c r="B1559" s="2" t="s">
        <v>63</v>
      </c>
      <c r="C1559" s="149">
        <v>1314.0</v>
      </c>
    </row>
    <row r="1560">
      <c r="A1560" s="2" t="s">
        <v>21</v>
      </c>
      <c r="B1560" s="2" t="s">
        <v>58</v>
      </c>
      <c r="C1560" s="149">
        <v>2034.0</v>
      </c>
    </row>
    <row r="1561">
      <c r="A1561" s="2" t="s">
        <v>21</v>
      </c>
      <c r="B1561" s="2" t="s">
        <v>42</v>
      </c>
      <c r="C1561" s="149">
        <v>1578.0</v>
      </c>
    </row>
    <row r="1562">
      <c r="A1562" s="2" t="s">
        <v>21</v>
      </c>
      <c r="B1562" s="2" t="s">
        <v>21</v>
      </c>
      <c r="C1562" s="149">
        <v>0.0</v>
      </c>
    </row>
    <row r="1563">
      <c r="A1563" s="2" t="s">
        <v>21</v>
      </c>
      <c r="B1563" s="2" t="s">
        <v>33</v>
      </c>
      <c r="C1563" s="149">
        <v>658.0</v>
      </c>
    </row>
    <row r="1564">
      <c r="A1564" s="2" t="s">
        <v>21</v>
      </c>
      <c r="B1564" s="2" t="s">
        <v>66</v>
      </c>
      <c r="C1564" s="149">
        <v>1788.0</v>
      </c>
    </row>
    <row r="1565">
      <c r="A1565" s="2" t="s">
        <v>21</v>
      </c>
      <c r="B1565" s="2" t="s">
        <v>29</v>
      </c>
      <c r="C1565" s="149">
        <v>1166.0</v>
      </c>
    </row>
    <row r="1566">
      <c r="A1566" s="2" t="s">
        <v>21</v>
      </c>
      <c r="B1566" s="2" t="s">
        <v>60</v>
      </c>
      <c r="C1566" s="149">
        <v>620.0</v>
      </c>
    </row>
    <row r="1567">
      <c r="A1567" s="2" t="s">
        <v>21</v>
      </c>
      <c r="B1567" s="2" t="s">
        <v>38</v>
      </c>
      <c r="C1567" s="149">
        <v>1282.0</v>
      </c>
    </row>
    <row r="1568">
      <c r="A1568" s="2" t="s">
        <v>21</v>
      </c>
      <c r="B1568" s="2" t="s">
        <v>61</v>
      </c>
      <c r="C1568" s="149">
        <v>978.0</v>
      </c>
    </row>
    <row r="1569">
      <c r="A1569" s="2" t="s">
        <v>21</v>
      </c>
      <c r="B1569" s="2" t="s">
        <v>52</v>
      </c>
      <c r="C1569" s="149">
        <v>1518.0</v>
      </c>
    </row>
    <row r="1570">
      <c r="A1570" s="2" t="s">
        <v>21</v>
      </c>
      <c r="B1570" s="2" t="s">
        <v>25</v>
      </c>
      <c r="C1570" s="149">
        <v>1648.0</v>
      </c>
    </row>
    <row r="1571">
      <c r="A1571" s="2" t="s">
        <v>21</v>
      </c>
      <c r="B1571" s="2" t="s">
        <v>67</v>
      </c>
      <c r="C1571" s="149">
        <v>1696.0</v>
      </c>
    </row>
    <row r="1572">
      <c r="A1572" s="2" t="s">
        <v>21</v>
      </c>
      <c r="B1572" s="2" t="s">
        <v>45</v>
      </c>
      <c r="C1572" s="149">
        <v>1234.0</v>
      </c>
    </row>
    <row r="1573">
      <c r="A1573" s="2" t="s">
        <v>21</v>
      </c>
      <c r="B1573" s="2" t="s">
        <v>53</v>
      </c>
      <c r="C1573" s="149">
        <v>1994.0</v>
      </c>
    </row>
    <row r="1574">
      <c r="A1574" s="2" t="s">
        <v>21</v>
      </c>
      <c r="B1574" s="2" t="s">
        <v>26</v>
      </c>
      <c r="C1574" s="149">
        <v>1774.0</v>
      </c>
    </row>
    <row r="1575">
      <c r="A1575" s="2" t="s">
        <v>21</v>
      </c>
      <c r="B1575" s="2" t="s">
        <v>28</v>
      </c>
      <c r="C1575" s="149">
        <v>1122.0</v>
      </c>
    </row>
    <row r="1576">
      <c r="A1576" s="2" t="s">
        <v>21</v>
      </c>
      <c r="B1576" s="2" t="s">
        <v>55</v>
      </c>
      <c r="C1576" s="149">
        <v>722.0</v>
      </c>
    </row>
    <row r="1577">
      <c r="A1577" s="2" t="s">
        <v>21</v>
      </c>
      <c r="B1577" s="2" t="s">
        <v>48</v>
      </c>
      <c r="C1577" s="149">
        <v>1330.0</v>
      </c>
    </row>
    <row r="1578">
      <c r="A1578" s="2" t="s">
        <v>21</v>
      </c>
      <c r="B1578" s="2" t="s">
        <v>2035</v>
      </c>
      <c r="C1578" s="149">
        <v>952.0</v>
      </c>
    </row>
    <row r="1579">
      <c r="A1579" s="2" t="s">
        <v>21</v>
      </c>
      <c r="B1579" s="2" t="s">
        <v>59</v>
      </c>
      <c r="C1579" s="149">
        <v>1936.0</v>
      </c>
    </row>
    <row r="1580">
      <c r="A1580" s="2" t="s">
        <v>21</v>
      </c>
      <c r="B1580" s="2" t="s">
        <v>44</v>
      </c>
      <c r="C1580" s="149">
        <v>1268.0</v>
      </c>
    </row>
    <row r="1581">
      <c r="A1581" s="2" t="s">
        <v>21</v>
      </c>
      <c r="B1581" s="2" t="s">
        <v>2036</v>
      </c>
      <c r="C1581" s="149">
        <v>872.0</v>
      </c>
    </row>
    <row r="1582">
      <c r="A1582" s="2" t="s">
        <v>21</v>
      </c>
      <c r="B1582" s="2" t="s">
        <v>2037</v>
      </c>
      <c r="C1582" s="149">
        <v>880.0</v>
      </c>
    </row>
    <row r="1583">
      <c r="A1583" s="2" t="s">
        <v>33</v>
      </c>
      <c r="B1583" s="2" t="s">
        <v>18</v>
      </c>
      <c r="C1583" s="149">
        <v>834.0</v>
      </c>
    </row>
    <row r="1584">
      <c r="A1584" s="2" t="s">
        <v>33</v>
      </c>
      <c r="B1584" s="2" t="s">
        <v>49</v>
      </c>
      <c r="C1584" s="149">
        <v>1234.0</v>
      </c>
    </row>
    <row r="1585">
      <c r="A1585" s="2" t="s">
        <v>33</v>
      </c>
      <c r="B1585" s="2" t="s">
        <v>22</v>
      </c>
      <c r="C1585" s="149">
        <v>618.0</v>
      </c>
    </row>
    <row r="1586">
      <c r="A1586" s="2" t="s">
        <v>33</v>
      </c>
      <c r="B1586" s="2" t="s">
        <v>27</v>
      </c>
      <c r="C1586" s="149">
        <v>772.0</v>
      </c>
    </row>
    <row r="1587">
      <c r="A1587" s="2" t="s">
        <v>33</v>
      </c>
      <c r="B1587" s="2" t="s">
        <v>35</v>
      </c>
      <c r="C1587" s="149">
        <v>1604.0</v>
      </c>
    </row>
    <row r="1588">
      <c r="A1588" s="2" t="s">
        <v>33</v>
      </c>
      <c r="B1588" s="2" t="s">
        <v>41</v>
      </c>
      <c r="C1588" s="149">
        <v>1472.0</v>
      </c>
    </row>
    <row r="1589">
      <c r="A1589" s="2" t="s">
        <v>33</v>
      </c>
      <c r="B1589" s="2" t="s">
        <v>57</v>
      </c>
      <c r="C1589" s="149">
        <v>1330.0</v>
      </c>
    </row>
    <row r="1590">
      <c r="A1590" s="2" t="s">
        <v>33</v>
      </c>
      <c r="B1590" s="2" t="s">
        <v>37</v>
      </c>
      <c r="C1590" s="149">
        <v>574.0</v>
      </c>
    </row>
    <row r="1591">
      <c r="A1591" s="2" t="s">
        <v>33</v>
      </c>
      <c r="B1591" s="2" t="s">
        <v>39</v>
      </c>
      <c r="C1591" s="149">
        <v>448.0</v>
      </c>
    </row>
    <row r="1592">
      <c r="A1592" s="2" t="s">
        <v>33</v>
      </c>
      <c r="B1592" s="2" t="s">
        <v>64</v>
      </c>
      <c r="C1592" s="149">
        <v>1238.0</v>
      </c>
    </row>
    <row r="1593">
      <c r="A1593" s="2" t="s">
        <v>33</v>
      </c>
      <c r="B1593" s="2" t="s">
        <v>65</v>
      </c>
      <c r="C1593" s="149">
        <v>1096.0</v>
      </c>
    </row>
    <row r="1594">
      <c r="A1594" s="2" t="s">
        <v>33</v>
      </c>
      <c r="B1594" s="2" t="s">
        <v>36</v>
      </c>
      <c r="C1594" s="149">
        <v>1596.0</v>
      </c>
    </row>
    <row r="1595">
      <c r="A1595" s="2" t="s">
        <v>33</v>
      </c>
      <c r="B1595" s="2" t="s">
        <v>31</v>
      </c>
      <c r="C1595" s="149">
        <v>1282.0</v>
      </c>
    </row>
    <row r="1596">
      <c r="A1596" s="2" t="s">
        <v>33</v>
      </c>
      <c r="B1596" s="2" t="s">
        <v>43</v>
      </c>
      <c r="C1596" s="149">
        <v>1282.0</v>
      </c>
    </row>
    <row r="1597">
      <c r="A1597" s="2" t="s">
        <v>33</v>
      </c>
      <c r="B1597" s="2" t="s">
        <v>40</v>
      </c>
      <c r="C1597" s="149">
        <v>396.0</v>
      </c>
    </row>
    <row r="1598">
      <c r="A1598" s="2" t="s">
        <v>33</v>
      </c>
      <c r="B1598" s="2" t="s">
        <v>50</v>
      </c>
      <c r="C1598" s="149">
        <v>1364.0</v>
      </c>
    </row>
    <row r="1599">
      <c r="A1599" s="2" t="s">
        <v>33</v>
      </c>
      <c r="B1599" s="2" t="s">
        <v>51</v>
      </c>
      <c r="C1599" s="149">
        <v>904.0</v>
      </c>
    </row>
    <row r="1600">
      <c r="A1600" s="2" t="s">
        <v>33</v>
      </c>
      <c r="B1600" s="2" t="s">
        <v>23</v>
      </c>
      <c r="C1600" s="149">
        <v>696.0</v>
      </c>
    </row>
    <row r="1601">
      <c r="A1601" s="2" t="s">
        <v>33</v>
      </c>
      <c r="B1601" s="2" t="s">
        <v>47</v>
      </c>
      <c r="C1601" s="149">
        <v>952.0</v>
      </c>
    </row>
    <row r="1602">
      <c r="A1602" s="2" t="s">
        <v>33</v>
      </c>
      <c r="B1602" s="2" t="s">
        <v>62</v>
      </c>
      <c r="C1602" s="149">
        <v>814.0</v>
      </c>
    </row>
    <row r="1603">
      <c r="A1603" s="2" t="s">
        <v>33</v>
      </c>
      <c r="B1603" s="2" t="s">
        <v>30</v>
      </c>
      <c r="C1603" s="149">
        <v>970.0</v>
      </c>
    </row>
    <row r="1604">
      <c r="A1604" s="2" t="s">
        <v>33</v>
      </c>
      <c r="B1604" s="2" t="s">
        <v>32</v>
      </c>
      <c r="C1604" s="149">
        <v>1046.0</v>
      </c>
    </row>
    <row r="1605">
      <c r="A1605" s="2" t="s">
        <v>33</v>
      </c>
      <c r="B1605" s="2" t="s">
        <v>46</v>
      </c>
      <c r="C1605" s="149">
        <v>1004.0</v>
      </c>
    </row>
    <row r="1606">
      <c r="A1606" s="2" t="s">
        <v>33</v>
      </c>
      <c r="B1606" s="2" t="s">
        <v>54</v>
      </c>
      <c r="C1606" s="149">
        <v>896.0</v>
      </c>
    </row>
    <row r="1607">
      <c r="A1607" s="2" t="s">
        <v>33</v>
      </c>
      <c r="B1607" s="2" t="s">
        <v>34</v>
      </c>
      <c r="C1607" s="149">
        <v>780.0</v>
      </c>
    </row>
    <row r="1608">
      <c r="A1608" s="2" t="s">
        <v>33</v>
      </c>
      <c r="B1608" s="2" t="s">
        <v>20</v>
      </c>
      <c r="C1608" s="149">
        <v>534.0</v>
      </c>
    </row>
    <row r="1609">
      <c r="A1609" s="2" t="s">
        <v>33</v>
      </c>
      <c r="B1609" s="2" t="s">
        <v>24</v>
      </c>
      <c r="C1609" s="149">
        <v>1076.0</v>
      </c>
    </row>
    <row r="1610">
      <c r="A1610" s="2" t="s">
        <v>33</v>
      </c>
      <c r="B1610" s="2" t="s">
        <v>63</v>
      </c>
      <c r="C1610" s="149">
        <v>684.0</v>
      </c>
    </row>
    <row r="1611">
      <c r="A1611" s="2" t="s">
        <v>33</v>
      </c>
      <c r="B1611" s="2" t="s">
        <v>58</v>
      </c>
      <c r="C1611" s="149">
        <v>1370.0</v>
      </c>
    </row>
    <row r="1612">
      <c r="A1612" s="2" t="s">
        <v>33</v>
      </c>
      <c r="B1612" s="2" t="s">
        <v>42</v>
      </c>
      <c r="C1612" s="149">
        <v>1312.0</v>
      </c>
    </row>
    <row r="1613">
      <c r="A1613" s="2" t="s">
        <v>33</v>
      </c>
      <c r="B1613" s="2" t="s">
        <v>21</v>
      </c>
      <c r="C1613" s="149">
        <v>658.0</v>
      </c>
    </row>
    <row r="1614">
      <c r="A1614" s="2" t="s">
        <v>33</v>
      </c>
      <c r="B1614" s="2" t="s">
        <v>33</v>
      </c>
      <c r="C1614" s="149">
        <v>0.0</v>
      </c>
    </row>
    <row r="1615">
      <c r="A1615" s="2" t="s">
        <v>33</v>
      </c>
      <c r="B1615" s="2" t="s">
        <v>66</v>
      </c>
      <c r="C1615" s="149">
        <v>1576.0</v>
      </c>
    </row>
    <row r="1616">
      <c r="A1616" s="2" t="s">
        <v>33</v>
      </c>
      <c r="B1616" s="2" t="s">
        <v>29</v>
      </c>
      <c r="C1616" s="149">
        <v>1380.0</v>
      </c>
    </row>
    <row r="1617">
      <c r="A1617" s="2" t="s">
        <v>33</v>
      </c>
      <c r="B1617" s="2" t="s">
        <v>60</v>
      </c>
      <c r="C1617" s="149">
        <v>560.0</v>
      </c>
    </row>
    <row r="1618">
      <c r="A1618" s="2" t="s">
        <v>33</v>
      </c>
      <c r="B1618" s="2" t="s">
        <v>38</v>
      </c>
      <c r="C1618" s="149">
        <v>820.0</v>
      </c>
    </row>
    <row r="1619">
      <c r="A1619" s="2" t="s">
        <v>33</v>
      </c>
      <c r="B1619" s="2" t="s">
        <v>61</v>
      </c>
      <c r="C1619" s="149">
        <v>730.0</v>
      </c>
    </row>
    <row r="1620">
      <c r="A1620" s="2" t="s">
        <v>33</v>
      </c>
      <c r="B1620" s="2" t="s">
        <v>52</v>
      </c>
      <c r="C1620" s="149">
        <v>1056.0</v>
      </c>
    </row>
    <row r="1621">
      <c r="A1621" s="2" t="s">
        <v>33</v>
      </c>
      <c r="B1621" s="2" t="s">
        <v>25</v>
      </c>
      <c r="C1621" s="149">
        <v>1184.0</v>
      </c>
    </row>
    <row r="1622">
      <c r="A1622" s="2" t="s">
        <v>33</v>
      </c>
      <c r="B1622" s="2" t="s">
        <v>67</v>
      </c>
      <c r="C1622" s="149">
        <v>1234.0</v>
      </c>
    </row>
    <row r="1623">
      <c r="A1623" s="2" t="s">
        <v>33</v>
      </c>
      <c r="B1623" s="2" t="s">
        <v>45</v>
      </c>
      <c r="C1623" s="149">
        <v>966.0</v>
      </c>
    </row>
    <row r="1624">
      <c r="A1624" s="2" t="s">
        <v>33</v>
      </c>
      <c r="B1624" s="2" t="s">
        <v>53</v>
      </c>
      <c r="C1624" s="149">
        <v>1532.0</v>
      </c>
    </row>
    <row r="1625">
      <c r="A1625" s="2" t="s">
        <v>33</v>
      </c>
      <c r="B1625" s="2" t="s">
        <v>26</v>
      </c>
      <c r="C1625" s="149">
        <v>1312.0</v>
      </c>
    </row>
    <row r="1626">
      <c r="A1626" s="2" t="s">
        <v>33</v>
      </c>
      <c r="B1626" s="2" t="s">
        <v>28</v>
      </c>
      <c r="C1626" s="149">
        <v>660.0</v>
      </c>
    </row>
    <row r="1627">
      <c r="A1627" s="2" t="s">
        <v>33</v>
      </c>
      <c r="B1627" s="2" t="s">
        <v>55</v>
      </c>
      <c r="C1627" s="149">
        <v>1334.0</v>
      </c>
    </row>
    <row r="1628">
      <c r="A1628" s="2" t="s">
        <v>33</v>
      </c>
      <c r="B1628" s="2" t="s">
        <v>48</v>
      </c>
      <c r="C1628" s="149">
        <v>884.0</v>
      </c>
    </row>
    <row r="1629">
      <c r="A1629" s="2" t="s">
        <v>33</v>
      </c>
      <c r="B1629" s="2" t="s">
        <v>2035</v>
      </c>
      <c r="C1629" s="149">
        <v>1566.0</v>
      </c>
    </row>
    <row r="1630">
      <c r="A1630" s="2" t="s">
        <v>33</v>
      </c>
      <c r="B1630" s="2" t="s">
        <v>59</v>
      </c>
      <c r="C1630" s="149">
        <v>1270.0</v>
      </c>
    </row>
    <row r="1631">
      <c r="A1631" s="2" t="s">
        <v>33</v>
      </c>
      <c r="B1631" s="2" t="s">
        <v>44</v>
      </c>
      <c r="C1631" s="149">
        <v>1002.0</v>
      </c>
    </row>
    <row r="1632">
      <c r="A1632" s="2" t="s">
        <v>33</v>
      </c>
      <c r="B1632" s="2" t="s">
        <v>2036</v>
      </c>
      <c r="C1632" s="149">
        <v>1508.0</v>
      </c>
    </row>
    <row r="1633">
      <c r="A1633" s="2" t="s">
        <v>33</v>
      </c>
      <c r="B1633" s="2" t="s">
        <v>2037</v>
      </c>
      <c r="C1633" s="149">
        <v>1450.0</v>
      </c>
    </row>
    <row r="1634">
      <c r="A1634" s="2" t="s">
        <v>66</v>
      </c>
      <c r="B1634" s="2" t="s">
        <v>18</v>
      </c>
      <c r="C1634" s="149">
        <v>740.0</v>
      </c>
    </row>
    <row r="1635">
      <c r="A1635" s="2" t="s">
        <v>66</v>
      </c>
      <c r="B1635" s="2" t="s">
        <v>49</v>
      </c>
      <c r="C1635" s="149">
        <v>2488.0</v>
      </c>
    </row>
    <row r="1636">
      <c r="A1636" s="2" t="s">
        <v>66</v>
      </c>
      <c r="B1636" s="2" t="s">
        <v>22</v>
      </c>
      <c r="C1636" s="149">
        <v>1736.0</v>
      </c>
    </row>
    <row r="1637">
      <c r="A1637" s="2" t="s">
        <v>66</v>
      </c>
      <c r="B1637" s="2" t="s">
        <v>27</v>
      </c>
      <c r="C1637" s="149">
        <v>1532.0</v>
      </c>
    </row>
    <row r="1638">
      <c r="A1638" s="2" t="s">
        <v>66</v>
      </c>
      <c r="B1638" s="2" t="s">
        <v>35</v>
      </c>
      <c r="C1638" s="149">
        <v>562.0</v>
      </c>
    </row>
    <row r="1639">
      <c r="A1639" s="2" t="s">
        <v>66</v>
      </c>
      <c r="B1639" s="2" t="s">
        <v>41</v>
      </c>
      <c r="C1639" s="149">
        <v>356.0</v>
      </c>
    </row>
    <row r="1640">
      <c r="A1640" s="2" t="s">
        <v>66</v>
      </c>
      <c r="B1640" s="2" t="s">
        <v>57</v>
      </c>
      <c r="C1640" s="149">
        <v>1976.0</v>
      </c>
    </row>
    <row r="1641">
      <c r="A1641" s="2" t="s">
        <v>66</v>
      </c>
      <c r="B1641" s="2" t="s">
        <v>37</v>
      </c>
      <c r="C1641" s="149">
        <v>1418.0</v>
      </c>
    </row>
    <row r="1642">
      <c r="A1642" s="2" t="s">
        <v>66</v>
      </c>
      <c r="B1642" s="2" t="s">
        <v>39</v>
      </c>
      <c r="C1642" s="149">
        <v>1396.0</v>
      </c>
    </row>
    <row r="1643">
      <c r="A1643" s="2" t="s">
        <v>66</v>
      </c>
      <c r="B1643" s="2" t="s">
        <v>64</v>
      </c>
      <c r="C1643" s="149">
        <v>478.0</v>
      </c>
    </row>
    <row r="1644">
      <c r="A1644" s="2" t="s">
        <v>66</v>
      </c>
      <c r="B1644" s="2" t="s">
        <v>65</v>
      </c>
      <c r="C1644" s="149">
        <v>586.0</v>
      </c>
    </row>
    <row r="1645">
      <c r="A1645" s="2" t="s">
        <v>66</v>
      </c>
      <c r="B1645" s="2" t="s">
        <v>36</v>
      </c>
      <c r="C1645" s="149">
        <v>554.0</v>
      </c>
    </row>
    <row r="1646">
      <c r="A1646" s="2" t="s">
        <v>66</v>
      </c>
      <c r="B1646" s="2" t="s">
        <v>31</v>
      </c>
      <c r="C1646" s="149">
        <v>1850.0</v>
      </c>
    </row>
    <row r="1647">
      <c r="A1647" s="2" t="s">
        <v>66</v>
      </c>
      <c r="B1647" s="2" t="s">
        <v>43</v>
      </c>
      <c r="C1647" s="149">
        <v>380.0</v>
      </c>
    </row>
    <row r="1648">
      <c r="A1648" s="2" t="s">
        <v>66</v>
      </c>
      <c r="B1648" s="2" t="s">
        <v>40</v>
      </c>
      <c r="C1648" s="149">
        <v>1210.0</v>
      </c>
    </row>
    <row r="1649">
      <c r="A1649" s="2" t="s">
        <v>66</v>
      </c>
      <c r="B1649" s="2" t="s">
        <v>50</v>
      </c>
      <c r="C1649" s="149">
        <v>2482.0</v>
      </c>
    </row>
    <row r="1650">
      <c r="A1650" s="2" t="s">
        <v>66</v>
      </c>
      <c r="B1650" s="2" t="s">
        <v>51</v>
      </c>
      <c r="C1650" s="149">
        <v>1550.0</v>
      </c>
    </row>
    <row r="1651">
      <c r="A1651" s="2" t="s">
        <v>66</v>
      </c>
      <c r="B1651" s="2" t="s">
        <v>23</v>
      </c>
      <c r="C1651" s="149">
        <v>1814.0</v>
      </c>
    </row>
    <row r="1652">
      <c r="A1652" s="2" t="s">
        <v>66</v>
      </c>
      <c r="B1652" s="2" t="s">
        <v>47</v>
      </c>
      <c r="C1652" s="149">
        <v>866.0</v>
      </c>
    </row>
    <row r="1653">
      <c r="A1653" s="2" t="s">
        <v>66</v>
      </c>
      <c r="B1653" s="2" t="s">
        <v>62</v>
      </c>
      <c r="C1653" s="149">
        <v>840.0</v>
      </c>
    </row>
    <row r="1654">
      <c r="A1654" s="2" t="s">
        <v>66</v>
      </c>
      <c r="B1654" s="2" t="s">
        <v>30</v>
      </c>
      <c r="C1654" s="149">
        <v>1538.0</v>
      </c>
    </row>
    <row r="1655">
      <c r="A1655" s="2" t="s">
        <v>66</v>
      </c>
      <c r="B1655" s="2" t="s">
        <v>32</v>
      </c>
      <c r="C1655" s="149">
        <v>1612.0</v>
      </c>
    </row>
    <row r="1656">
      <c r="A1656" s="2" t="s">
        <v>66</v>
      </c>
      <c r="B1656" s="2" t="s">
        <v>46</v>
      </c>
      <c r="C1656" s="149">
        <v>656.0</v>
      </c>
    </row>
    <row r="1657">
      <c r="A1657" s="2" t="s">
        <v>66</v>
      </c>
      <c r="B1657" s="2" t="s">
        <v>54</v>
      </c>
      <c r="C1657" s="149">
        <v>2014.0</v>
      </c>
    </row>
    <row r="1658">
      <c r="A1658" s="2" t="s">
        <v>66</v>
      </c>
      <c r="B1658" s="2" t="s">
        <v>34</v>
      </c>
      <c r="C1658" s="149">
        <v>1026.0</v>
      </c>
    </row>
    <row r="1659">
      <c r="A1659" s="2" t="s">
        <v>66</v>
      </c>
      <c r="B1659" s="2" t="s">
        <v>20</v>
      </c>
      <c r="C1659" s="149">
        <v>1814.0</v>
      </c>
    </row>
    <row r="1660">
      <c r="A1660" s="2" t="s">
        <v>66</v>
      </c>
      <c r="B1660" s="2" t="s">
        <v>24</v>
      </c>
      <c r="C1660" s="149">
        <v>1720.0</v>
      </c>
    </row>
    <row r="1661">
      <c r="A1661" s="2" t="s">
        <v>66</v>
      </c>
      <c r="B1661" s="2" t="s">
        <v>63</v>
      </c>
      <c r="C1661" s="149">
        <v>1190.0</v>
      </c>
    </row>
    <row r="1662">
      <c r="A1662" s="2" t="s">
        <v>66</v>
      </c>
      <c r="B1662" s="2" t="s">
        <v>58</v>
      </c>
      <c r="C1662" s="149">
        <v>2014.0</v>
      </c>
    </row>
    <row r="1663">
      <c r="A1663" s="2" t="s">
        <v>66</v>
      </c>
      <c r="B1663" s="2" t="s">
        <v>42</v>
      </c>
      <c r="C1663" s="149">
        <v>554.0</v>
      </c>
    </row>
    <row r="1664">
      <c r="A1664" s="2" t="s">
        <v>66</v>
      </c>
      <c r="B1664" s="2" t="s">
        <v>21</v>
      </c>
      <c r="C1664" s="149">
        <v>1788.0</v>
      </c>
    </row>
    <row r="1665">
      <c r="A1665" s="2" t="s">
        <v>66</v>
      </c>
      <c r="B1665" s="2" t="s">
        <v>33</v>
      </c>
      <c r="C1665" s="149">
        <v>1576.0</v>
      </c>
    </row>
    <row r="1666">
      <c r="A1666" s="2" t="s">
        <v>66</v>
      </c>
      <c r="B1666" s="2" t="s">
        <v>66</v>
      </c>
      <c r="C1666" s="149">
        <v>0.0</v>
      </c>
    </row>
    <row r="1667">
      <c r="A1667" s="2" t="s">
        <v>66</v>
      </c>
      <c r="B1667" s="2" t="s">
        <v>29</v>
      </c>
      <c r="C1667" s="149">
        <v>2250.0</v>
      </c>
    </row>
    <row r="1668">
      <c r="A1668" s="2" t="s">
        <v>66</v>
      </c>
      <c r="B1668" s="2" t="s">
        <v>60</v>
      </c>
      <c r="C1668" s="149">
        <v>1178.0</v>
      </c>
    </row>
    <row r="1669">
      <c r="A1669" s="2" t="s">
        <v>66</v>
      </c>
      <c r="B1669" s="2" t="s">
        <v>38</v>
      </c>
      <c r="C1669" s="149">
        <v>1690.0</v>
      </c>
    </row>
    <row r="1670">
      <c r="A1670" s="2" t="s">
        <v>66</v>
      </c>
      <c r="B1670" s="2" t="s">
        <v>61</v>
      </c>
      <c r="C1670" s="149">
        <v>900.0</v>
      </c>
    </row>
    <row r="1671">
      <c r="A1671" s="2" t="s">
        <v>66</v>
      </c>
      <c r="B1671" s="2" t="s">
        <v>52</v>
      </c>
      <c r="C1671" s="149">
        <v>1726.0</v>
      </c>
    </row>
    <row r="1672">
      <c r="A1672" s="2" t="s">
        <v>66</v>
      </c>
      <c r="B1672" s="2" t="s">
        <v>25</v>
      </c>
      <c r="C1672" s="149">
        <v>1856.0</v>
      </c>
    </row>
    <row r="1673">
      <c r="A1673" s="2" t="s">
        <v>66</v>
      </c>
      <c r="B1673" s="2" t="s">
        <v>67</v>
      </c>
      <c r="C1673" s="149">
        <v>1950.0</v>
      </c>
    </row>
    <row r="1674">
      <c r="A1674" s="2" t="s">
        <v>66</v>
      </c>
      <c r="B1674" s="2" t="s">
        <v>45</v>
      </c>
      <c r="C1674" s="149">
        <v>650.0</v>
      </c>
    </row>
    <row r="1675">
      <c r="A1675" s="2" t="s">
        <v>66</v>
      </c>
      <c r="B1675" s="2" t="s">
        <v>53</v>
      </c>
      <c r="C1675" s="149">
        <v>2128.0</v>
      </c>
    </row>
    <row r="1676">
      <c r="A1676" s="2" t="s">
        <v>66</v>
      </c>
      <c r="B1676" s="2" t="s">
        <v>26</v>
      </c>
      <c r="C1676" s="149">
        <v>1982.0</v>
      </c>
    </row>
    <row r="1677">
      <c r="A1677" s="2" t="s">
        <v>66</v>
      </c>
      <c r="B1677" s="2" t="s">
        <v>28</v>
      </c>
      <c r="C1677" s="149">
        <v>1530.0</v>
      </c>
    </row>
    <row r="1678">
      <c r="A1678" s="2" t="s">
        <v>66</v>
      </c>
      <c r="B1678" s="2" t="s">
        <v>55</v>
      </c>
      <c r="C1678" s="149">
        <v>2454.0</v>
      </c>
    </row>
    <row r="1679">
      <c r="A1679" s="2" t="s">
        <v>66</v>
      </c>
      <c r="B1679" s="2" t="s">
        <v>48</v>
      </c>
      <c r="C1679" s="149">
        <v>950.0</v>
      </c>
    </row>
    <row r="1680">
      <c r="A1680" s="2" t="s">
        <v>66</v>
      </c>
      <c r="B1680" s="2" t="s">
        <v>2035</v>
      </c>
      <c r="C1680" s="149">
        <v>2686.0</v>
      </c>
    </row>
    <row r="1681">
      <c r="A1681" s="2" t="s">
        <v>66</v>
      </c>
      <c r="B1681" s="2" t="s">
        <v>59</v>
      </c>
      <c r="C1681" s="149">
        <v>1914.0</v>
      </c>
    </row>
    <row r="1682">
      <c r="A1682" s="2" t="s">
        <v>66</v>
      </c>
      <c r="B1682" s="2" t="s">
        <v>44</v>
      </c>
      <c r="C1682" s="149">
        <v>610.0</v>
      </c>
    </row>
    <row r="1683">
      <c r="A1683" s="2" t="s">
        <v>66</v>
      </c>
      <c r="B1683" s="2" t="s">
        <v>2036</v>
      </c>
      <c r="C1683" s="149">
        <v>2614.0</v>
      </c>
    </row>
    <row r="1684">
      <c r="A1684" s="2" t="s">
        <v>66</v>
      </c>
      <c r="B1684" s="2" t="s">
        <v>2037</v>
      </c>
      <c r="C1684" s="149">
        <v>2682.0</v>
      </c>
    </row>
    <row r="1685">
      <c r="A1685" s="2" t="s">
        <v>29</v>
      </c>
      <c r="B1685" s="2" t="s">
        <v>18</v>
      </c>
      <c r="C1685" s="149">
        <v>1470.0</v>
      </c>
    </row>
    <row r="1686">
      <c r="A1686" s="2" t="s">
        <v>29</v>
      </c>
      <c r="B1686" s="2" t="s">
        <v>49</v>
      </c>
      <c r="C1686" s="149">
        <v>1424.0</v>
      </c>
    </row>
    <row r="1687">
      <c r="A1687" s="2" t="s">
        <v>29</v>
      </c>
      <c r="B1687" s="2" t="s">
        <v>22</v>
      </c>
      <c r="C1687" s="149">
        <v>1160.0</v>
      </c>
    </row>
    <row r="1688">
      <c r="A1688" s="2" t="s">
        <v>29</v>
      </c>
      <c r="B1688" s="2" t="s">
        <v>27</v>
      </c>
      <c r="C1688" s="149">
        <v>1036.0</v>
      </c>
    </row>
    <row r="1689">
      <c r="A1689" s="2" t="s">
        <v>29</v>
      </c>
      <c r="B1689" s="2" t="s">
        <v>35</v>
      </c>
      <c r="C1689" s="149">
        <v>2254.0</v>
      </c>
    </row>
    <row r="1690">
      <c r="A1690" s="2" t="s">
        <v>29</v>
      </c>
      <c r="B1690" s="2" t="s">
        <v>41</v>
      </c>
      <c r="C1690" s="149">
        <v>2120.0</v>
      </c>
    </row>
    <row r="1691">
      <c r="A1691" s="2" t="s">
        <v>29</v>
      </c>
      <c r="B1691" s="2" t="s">
        <v>57</v>
      </c>
      <c r="C1691" s="149">
        <v>1596.0</v>
      </c>
    </row>
    <row r="1692">
      <c r="A1692" s="2" t="s">
        <v>29</v>
      </c>
      <c r="B1692" s="2" t="s">
        <v>37</v>
      </c>
      <c r="C1692" s="149">
        <v>830.0</v>
      </c>
    </row>
    <row r="1693">
      <c r="A1693" s="2" t="s">
        <v>29</v>
      </c>
      <c r="B1693" s="2" t="s">
        <v>39</v>
      </c>
      <c r="C1693" s="149">
        <v>958.0</v>
      </c>
    </row>
    <row r="1694">
      <c r="A1694" s="2" t="s">
        <v>29</v>
      </c>
      <c r="B1694" s="2" t="s">
        <v>64</v>
      </c>
      <c r="C1694" s="149">
        <v>1886.0</v>
      </c>
    </row>
    <row r="1695">
      <c r="A1695" s="2" t="s">
        <v>29</v>
      </c>
      <c r="B1695" s="2" t="s">
        <v>65</v>
      </c>
      <c r="C1695" s="149">
        <v>1746.0</v>
      </c>
    </row>
    <row r="1696">
      <c r="A1696" s="2" t="s">
        <v>29</v>
      </c>
      <c r="B1696" s="2" t="s">
        <v>36</v>
      </c>
      <c r="C1696" s="149">
        <v>2246.0</v>
      </c>
    </row>
    <row r="1697">
      <c r="A1697" s="2" t="s">
        <v>29</v>
      </c>
      <c r="B1697" s="2" t="s">
        <v>31</v>
      </c>
      <c r="C1697" s="149">
        <v>1642.0</v>
      </c>
    </row>
    <row r="1698">
      <c r="A1698" s="2" t="s">
        <v>29</v>
      </c>
      <c r="B1698" s="2" t="s">
        <v>43</v>
      </c>
      <c r="C1698" s="149">
        <v>1932.0</v>
      </c>
    </row>
    <row r="1699">
      <c r="A1699" s="2" t="s">
        <v>29</v>
      </c>
      <c r="B1699" s="2" t="s">
        <v>40</v>
      </c>
      <c r="C1699" s="149">
        <v>1138.0</v>
      </c>
    </row>
    <row r="1700">
      <c r="A1700" s="2" t="s">
        <v>29</v>
      </c>
      <c r="B1700" s="2" t="s">
        <v>50</v>
      </c>
      <c r="C1700" s="149">
        <v>1906.0</v>
      </c>
    </row>
    <row r="1701">
      <c r="A1701" s="2" t="s">
        <v>29</v>
      </c>
      <c r="B1701" s="2" t="s">
        <v>51</v>
      </c>
      <c r="C1701" s="149">
        <v>1170.0</v>
      </c>
    </row>
    <row r="1702">
      <c r="A1702" s="2" t="s">
        <v>29</v>
      </c>
      <c r="B1702" s="2" t="s">
        <v>23</v>
      </c>
      <c r="C1702" s="149">
        <v>1236.0</v>
      </c>
    </row>
    <row r="1703">
      <c r="A1703" s="2" t="s">
        <v>29</v>
      </c>
      <c r="B1703" s="2" t="s">
        <v>47</v>
      </c>
      <c r="C1703" s="149">
        <v>1600.0</v>
      </c>
    </row>
    <row r="1704">
      <c r="A1704" s="2" t="s">
        <v>29</v>
      </c>
      <c r="B1704" s="2" t="s">
        <v>62</v>
      </c>
      <c r="C1704" s="149">
        <v>1462.0</v>
      </c>
    </row>
    <row r="1705">
      <c r="A1705" s="2" t="s">
        <v>29</v>
      </c>
      <c r="B1705" s="2" t="s">
        <v>30</v>
      </c>
      <c r="C1705" s="149">
        <v>1618.0</v>
      </c>
    </row>
    <row r="1706">
      <c r="A1706" s="2" t="s">
        <v>29</v>
      </c>
      <c r="B1706" s="2" t="s">
        <v>32</v>
      </c>
      <c r="C1706" s="149">
        <v>1542.0</v>
      </c>
    </row>
    <row r="1707">
      <c r="A1707" s="2" t="s">
        <v>29</v>
      </c>
      <c r="B1707" s="2" t="s">
        <v>46</v>
      </c>
      <c r="C1707" s="149">
        <v>1654.0</v>
      </c>
    </row>
    <row r="1708">
      <c r="A1708" s="2" t="s">
        <v>29</v>
      </c>
      <c r="B1708" s="2" t="s">
        <v>54</v>
      </c>
      <c r="C1708" s="149">
        <v>1436.0</v>
      </c>
    </row>
    <row r="1709">
      <c r="A1709" s="2" t="s">
        <v>29</v>
      </c>
      <c r="B1709" s="2" t="s">
        <v>34</v>
      </c>
      <c r="C1709" s="149">
        <v>1600.0</v>
      </c>
    </row>
    <row r="1710">
      <c r="A1710" s="2" t="s">
        <v>29</v>
      </c>
      <c r="B1710" s="2" t="s">
        <v>20</v>
      </c>
      <c r="C1710" s="149">
        <v>1044.0</v>
      </c>
    </row>
    <row r="1711">
      <c r="A1711" s="2" t="s">
        <v>29</v>
      </c>
      <c r="B1711" s="2" t="s">
        <v>24</v>
      </c>
      <c r="C1711" s="149">
        <v>1340.0</v>
      </c>
    </row>
    <row r="1712">
      <c r="A1712" s="2" t="s">
        <v>29</v>
      </c>
      <c r="B1712" s="2" t="s">
        <v>63</v>
      </c>
      <c r="C1712" s="149">
        <v>1334.0</v>
      </c>
    </row>
    <row r="1713">
      <c r="A1713" s="2" t="s">
        <v>29</v>
      </c>
      <c r="B1713" s="2" t="s">
        <v>58</v>
      </c>
      <c r="C1713" s="149">
        <v>1634.0</v>
      </c>
    </row>
    <row r="1714">
      <c r="A1714" s="2" t="s">
        <v>29</v>
      </c>
      <c r="B1714" s="2" t="s">
        <v>42</v>
      </c>
      <c r="C1714" s="149">
        <v>1960.0</v>
      </c>
    </row>
    <row r="1715">
      <c r="A1715" s="2" t="s">
        <v>29</v>
      </c>
      <c r="B1715" s="2" t="s">
        <v>21</v>
      </c>
      <c r="C1715" s="149">
        <v>1166.0</v>
      </c>
    </row>
    <row r="1716">
      <c r="A1716" s="2" t="s">
        <v>29</v>
      </c>
      <c r="B1716" s="2" t="s">
        <v>33</v>
      </c>
      <c r="C1716" s="149">
        <v>1380.0</v>
      </c>
    </row>
    <row r="1717">
      <c r="A1717" s="2" t="s">
        <v>29</v>
      </c>
      <c r="B1717" s="2" t="s">
        <v>66</v>
      </c>
      <c r="C1717" s="149">
        <v>2250.0</v>
      </c>
    </row>
    <row r="1718">
      <c r="A1718" s="2" t="s">
        <v>29</v>
      </c>
      <c r="B1718" s="2" t="s">
        <v>29</v>
      </c>
      <c r="C1718" s="149">
        <v>0.0</v>
      </c>
    </row>
    <row r="1719">
      <c r="A1719" s="2" t="s">
        <v>29</v>
      </c>
      <c r="B1719" s="2" t="s">
        <v>60</v>
      </c>
      <c r="C1719" s="149">
        <v>1536.0</v>
      </c>
    </row>
    <row r="1720">
      <c r="A1720" s="2" t="s">
        <v>29</v>
      </c>
      <c r="B1720" s="2" t="s">
        <v>38</v>
      </c>
      <c r="C1720" s="149">
        <v>606.0</v>
      </c>
    </row>
    <row r="1721">
      <c r="A1721" s="2" t="s">
        <v>29</v>
      </c>
      <c r="B1721" s="2" t="s">
        <v>61</v>
      </c>
      <c r="C1721" s="149">
        <v>1366.0</v>
      </c>
    </row>
    <row r="1722">
      <c r="A1722" s="2" t="s">
        <v>29</v>
      </c>
      <c r="B1722" s="2" t="s">
        <v>52</v>
      </c>
      <c r="C1722" s="149">
        <v>1328.0</v>
      </c>
    </row>
    <row r="1723">
      <c r="A1723" s="2" t="s">
        <v>29</v>
      </c>
      <c r="B1723" s="2" t="s">
        <v>25</v>
      </c>
      <c r="C1723" s="149">
        <v>1458.0</v>
      </c>
    </row>
    <row r="1724">
      <c r="A1724" s="2" t="s">
        <v>29</v>
      </c>
      <c r="B1724" s="2" t="s">
        <v>67</v>
      </c>
      <c r="C1724" s="149">
        <v>1086.0</v>
      </c>
    </row>
    <row r="1725">
      <c r="A1725" s="2" t="s">
        <v>29</v>
      </c>
      <c r="B1725" s="2" t="s">
        <v>45</v>
      </c>
      <c r="C1725" s="149">
        <v>1602.0</v>
      </c>
    </row>
    <row r="1726">
      <c r="A1726" s="2" t="s">
        <v>29</v>
      </c>
      <c r="B1726" s="2" t="s">
        <v>53</v>
      </c>
      <c r="C1726" s="149">
        <v>1804.0</v>
      </c>
    </row>
    <row r="1727">
      <c r="A1727" s="2" t="s">
        <v>29</v>
      </c>
      <c r="B1727" s="2" t="s">
        <v>26</v>
      </c>
      <c r="C1727" s="149">
        <v>1584.0</v>
      </c>
    </row>
    <row r="1728">
      <c r="A1728" s="2" t="s">
        <v>29</v>
      </c>
      <c r="B1728" s="2" t="s">
        <v>28</v>
      </c>
      <c r="C1728" s="149">
        <v>932.0</v>
      </c>
    </row>
    <row r="1729">
      <c r="A1729" s="2" t="s">
        <v>29</v>
      </c>
      <c r="B1729" s="2" t="s">
        <v>55</v>
      </c>
      <c r="C1729" s="149">
        <v>1864.0</v>
      </c>
    </row>
    <row r="1730">
      <c r="A1730" s="2" t="s">
        <v>29</v>
      </c>
      <c r="B1730" s="2" t="s">
        <v>48</v>
      </c>
      <c r="C1730" s="149">
        <v>1520.0</v>
      </c>
    </row>
    <row r="1731">
      <c r="A1731" s="2" t="s">
        <v>29</v>
      </c>
      <c r="B1731" s="2" t="s">
        <v>2035</v>
      </c>
      <c r="C1731" s="149">
        <v>2096.0</v>
      </c>
    </row>
    <row r="1732">
      <c r="A1732" s="2" t="s">
        <v>29</v>
      </c>
      <c r="B1732" s="2" t="s">
        <v>59</v>
      </c>
      <c r="C1732" s="149">
        <v>1534.0</v>
      </c>
    </row>
    <row r="1733">
      <c r="A1733" s="2" t="s">
        <v>29</v>
      </c>
      <c r="B1733" s="2" t="s">
        <v>44</v>
      </c>
      <c r="C1733" s="149">
        <v>1650.0</v>
      </c>
    </row>
    <row r="1734">
      <c r="A1734" s="2" t="s">
        <v>29</v>
      </c>
      <c r="B1734" s="2" t="s">
        <v>2036</v>
      </c>
      <c r="C1734" s="149">
        <v>2112.0</v>
      </c>
    </row>
    <row r="1735">
      <c r="A1735" s="2" t="s">
        <v>29</v>
      </c>
      <c r="B1735" s="2" t="s">
        <v>2037</v>
      </c>
      <c r="C1735" s="149">
        <v>1484.0</v>
      </c>
    </row>
    <row r="1736">
      <c r="A1736" s="2" t="s">
        <v>60</v>
      </c>
      <c r="B1736" s="2" t="s">
        <v>18</v>
      </c>
      <c r="C1736" s="149">
        <v>492.0</v>
      </c>
    </row>
    <row r="1737">
      <c r="A1737" s="2" t="s">
        <v>60</v>
      </c>
      <c r="B1737" s="2" t="s">
        <v>49</v>
      </c>
      <c r="C1737" s="149">
        <v>1318.0</v>
      </c>
    </row>
    <row r="1738">
      <c r="A1738" s="2" t="s">
        <v>60</v>
      </c>
      <c r="B1738" s="2" t="s">
        <v>22</v>
      </c>
      <c r="C1738" s="149">
        <v>566.0</v>
      </c>
    </row>
    <row r="1739">
      <c r="A1739" s="2" t="s">
        <v>60</v>
      </c>
      <c r="B1739" s="2" t="s">
        <v>27</v>
      </c>
      <c r="C1739" s="149">
        <v>942.0</v>
      </c>
    </row>
    <row r="1740">
      <c r="A1740" s="2" t="s">
        <v>60</v>
      </c>
      <c r="B1740" s="2" t="s">
        <v>35</v>
      </c>
      <c r="C1740" s="149">
        <v>1242.0</v>
      </c>
    </row>
    <row r="1741">
      <c r="A1741" s="2" t="s">
        <v>60</v>
      </c>
      <c r="B1741" s="2" t="s">
        <v>41</v>
      </c>
      <c r="C1741" s="149">
        <v>1108.0</v>
      </c>
    </row>
    <row r="1742">
      <c r="A1742" s="2" t="s">
        <v>60</v>
      </c>
      <c r="B1742" s="2" t="s">
        <v>57</v>
      </c>
      <c r="C1742" s="149">
        <v>1452.0</v>
      </c>
    </row>
    <row r="1743">
      <c r="A1743" s="2" t="s">
        <v>60</v>
      </c>
      <c r="B1743" s="2" t="s">
        <v>37</v>
      </c>
      <c r="C1743" s="149">
        <v>744.0</v>
      </c>
    </row>
    <row r="1744">
      <c r="A1744" s="2" t="s">
        <v>60</v>
      </c>
      <c r="B1744" s="2" t="s">
        <v>39</v>
      </c>
      <c r="C1744" s="149">
        <v>624.0</v>
      </c>
    </row>
    <row r="1745">
      <c r="A1745" s="2" t="s">
        <v>60</v>
      </c>
      <c r="B1745" s="2" t="s">
        <v>64</v>
      </c>
      <c r="C1745" s="149">
        <v>874.0</v>
      </c>
    </row>
    <row r="1746">
      <c r="A1746" s="2" t="s">
        <v>60</v>
      </c>
      <c r="B1746" s="2" t="s">
        <v>65</v>
      </c>
      <c r="C1746" s="149">
        <v>734.0</v>
      </c>
    </row>
    <row r="1747">
      <c r="A1747" s="2" t="s">
        <v>60</v>
      </c>
      <c r="B1747" s="2" t="s">
        <v>36</v>
      </c>
      <c r="C1747" s="149">
        <v>1232.0</v>
      </c>
    </row>
    <row r="1748">
      <c r="A1748" s="2" t="s">
        <v>60</v>
      </c>
      <c r="B1748" s="2" t="s">
        <v>31</v>
      </c>
      <c r="C1748" s="149">
        <v>1328.0</v>
      </c>
    </row>
    <row r="1749">
      <c r="A1749" s="2" t="s">
        <v>60</v>
      </c>
      <c r="B1749" s="2" t="s">
        <v>43</v>
      </c>
      <c r="C1749" s="149">
        <v>920.0</v>
      </c>
    </row>
    <row r="1750">
      <c r="A1750" s="2" t="s">
        <v>60</v>
      </c>
      <c r="B1750" s="2" t="s">
        <v>40</v>
      </c>
      <c r="C1750" s="149">
        <v>442.0</v>
      </c>
    </row>
    <row r="1751">
      <c r="A1751" s="2" t="s">
        <v>60</v>
      </c>
      <c r="B1751" s="2" t="s">
        <v>50</v>
      </c>
      <c r="C1751" s="149">
        <v>1314.0</v>
      </c>
    </row>
    <row r="1752">
      <c r="A1752" s="2" t="s">
        <v>60</v>
      </c>
      <c r="B1752" s="2" t="s">
        <v>51</v>
      </c>
      <c r="C1752" s="149">
        <v>1028.0</v>
      </c>
    </row>
    <row r="1753">
      <c r="A1753" s="2" t="s">
        <v>60</v>
      </c>
      <c r="B1753" s="2" t="s">
        <v>23</v>
      </c>
      <c r="C1753" s="149">
        <v>644.0</v>
      </c>
    </row>
    <row r="1754">
      <c r="A1754" s="2" t="s">
        <v>60</v>
      </c>
      <c r="B1754" s="2" t="s">
        <v>47</v>
      </c>
      <c r="C1754" s="149">
        <v>588.0</v>
      </c>
    </row>
    <row r="1755">
      <c r="A1755" s="2" t="s">
        <v>60</v>
      </c>
      <c r="B1755" s="2" t="s">
        <v>62</v>
      </c>
      <c r="C1755" s="149">
        <v>450.0</v>
      </c>
    </row>
    <row r="1756">
      <c r="A1756" s="2" t="s">
        <v>60</v>
      </c>
      <c r="B1756" s="2" t="s">
        <v>30</v>
      </c>
      <c r="C1756" s="149">
        <v>1016.0</v>
      </c>
    </row>
    <row r="1757">
      <c r="A1757" s="2" t="s">
        <v>60</v>
      </c>
      <c r="B1757" s="2" t="s">
        <v>32</v>
      </c>
      <c r="C1757" s="149">
        <v>1090.0</v>
      </c>
    </row>
    <row r="1758">
      <c r="A1758" s="2" t="s">
        <v>60</v>
      </c>
      <c r="B1758" s="2" t="s">
        <v>46</v>
      </c>
      <c r="C1758" s="149">
        <v>642.0</v>
      </c>
    </row>
    <row r="1759">
      <c r="A1759" s="2" t="s">
        <v>60</v>
      </c>
      <c r="B1759" s="2" t="s">
        <v>54</v>
      </c>
      <c r="C1759" s="149">
        <v>844.0</v>
      </c>
    </row>
    <row r="1760">
      <c r="A1760" s="2" t="s">
        <v>60</v>
      </c>
      <c r="B1760" s="2" t="s">
        <v>34</v>
      </c>
      <c r="C1760" s="149">
        <v>234.0</v>
      </c>
    </row>
    <row r="1761">
      <c r="A1761" s="2" t="s">
        <v>60</v>
      </c>
      <c r="B1761" s="2" t="s">
        <v>20</v>
      </c>
      <c r="C1761" s="149">
        <v>644.0</v>
      </c>
    </row>
    <row r="1762">
      <c r="A1762" s="2" t="s">
        <v>60</v>
      </c>
      <c r="B1762" s="2" t="s">
        <v>24</v>
      </c>
      <c r="C1762" s="149">
        <v>1198.0</v>
      </c>
    </row>
    <row r="1763">
      <c r="A1763" s="2" t="s">
        <v>60</v>
      </c>
      <c r="B1763" s="2" t="s">
        <v>63</v>
      </c>
      <c r="C1763" s="149">
        <v>730.0</v>
      </c>
    </row>
    <row r="1764">
      <c r="A1764" s="2" t="s">
        <v>60</v>
      </c>
      <c r="B1764" s="2" t="s">
        <v>58</v>
      </c>
      <c r="C1764" s="149">
        <v>1492.0</v>
      </c>
    </row>
    <row r="1765">
      <c r="A1765" s="2" t="s">
        <v>60</v>
      </c>
      <c r="B1765" s="2" t="s">
        <v>42</v>
      </c>
      <c r="C1765" s="149">
        <v>948.0</v>
      </c>
    </row>
    <row r="1766">
      <c r="A1766" s="2" t="s">
        <v>60</v>
      </c>
      <c r="B1766" s="2" t="s">
        <v>21</v>
      </c>
      <c r="C1766" s="149">
        <v>620.0</v>
      </c>
    </row>
    <row r="1767">
      <c r="A1767" s="2" t="s">
        <v>60</v>
      </c>
      <c r="B1767" s="2" t="s">
        <v>33</v>
      </c>
      <c r="C1767" s="149">
        <v>560.0</v>
      </c>
    </row>
    <row r="1768">
      <c r="A1768" s="2" t="s">
        <v>60</v>
      </c>
      <c r="B1768" s="2" t="s">
        <v>66</v>
      </c>
      <c r="C1768" s="149">
        <v>1178.0</v>
      </c>
    </row>
    <row r="1769">
      <c r="A1769" s="2" t="s">
        <v>60</v>
      </c>
      <c r="B1769" s="2" t="s">
        <v>29</v>
      </c>
      <c r="C1769" s="149">
        <v>1536.0</v>
      </c>
    </row>
    <row r="1770">
      <c r="A1770" s="2" t="s">
        <v>60</v>
      </c>
      <c r="B1770" s="2" t="s">
        <v>60</v>
      </c>
      <c r="C1770" s="149">
        <v>0.0</v>
      </c>
    </row>
    <row r="1771">
      <c r="A1771" s="2" t="s">
        <v>60</v>
      </c>
      <c r="B1771" s="2" t="s">
        <v>38</v>
      </c>
      <c r="C1771" s="149">
        <v>998.0</v>
      </c>
    </row>
    <row r="1772">
      <c r="A1772" s="2" t="s">
        <v>60</v>
      </c>
      <c r="B1772" s="2" t="s">
        <v>61</v>
      </c>
      <c r="C1772" s="149">
        <v>368.0</v>
      </c>
    </row>
    <row r="1773">
      <c r="A1773" s="2" t="s">
        <v>60</v>
      </c>
      <c r="B1773" s="2" t="s">
        <v>52</v>
      </c>
      <c r="C1773" s="149">
        <v>1188.0</v>
      </c>
    </row>
    <row r="1774">
      <c r="A1774" s="2" t="s">
        <v>60</v>
      </c>
      <c r="B1774" s="2" t="s">
        <v>25</v>
      </c>
      <c r="C1774" s="149">
        <v>1318.0</v>
      </c>
    </row>
    <row r="1775">
      <c r="A1775" s="2" t="s">
        <v>60</v>
      </c>
      <c r="B1775" s="2" t="s">
        <v>67</v>
      </c>
      <c r="C1775" s="149">
        <v>1412.0</v>
      </c>
    </row>
    <row r="1776">
      <c r="A1776" s="2" t="s">
        <v>60</v>
      </c>
      <c r="B1776" s="2" t="s">
        <v>45</v>
      </c>
      <c r="C1776" s="149">
        <v>624.0</v>
      </c>
    </row>
    <row r="1777">
      <c r="A1777" s="2" t="s">
        <v>60</v>
      </c>
      <c r="B1777" s="2" t="s">
        <v>53</v>
      </c>
      <c r="C1777" s="149">
        <v>1588.0</v>
      </c>
    </row>
    <row r="1778">
      <c r="A1778" s="2" t="s">
        <v>60</v>
      </c>
      <c r="B1778" s="2" t="s">
        <v>26</v>
      </c>
      <c r="C1778" s="149">
        <v>1444.0</v>
      </c>
    </row>
    <row r="1779">
      <c r="A1779" s="2" t="s">
        <v>60</v>
      </c>
      <c r="B1779" s="2" t="s">
        <v>28</v>
      </c>
      <c r="C1779" s="149">
        <v>838.0</v>
      </c>
    </row>
    <row r="1780">
      <c r="A1780" s="2" t="s">
        <v>60</v>
      </c>
      <c r="B1780" s="2" t="s">
        <v>55</v>
      </c>
      <c r="C1780" s="149">
        <v>1284.0</v>
      </c>
    </row>
    <row r="1781">
      <c r="A1781" s="2" t="s">
        <v>60</v>
      </c>
      <c r="B1781" s="2" t="s">
        <v>48</v>
      </c>
      <c r="C1781" s="149">
        <v>720.0</v>
      </c>
    </row>
    <row r="1782">
      <c r="A1782" s="2" t="s">
        <v>60</v>
      </c>
      <c r="B1782" s="2" t="s">
        <v>2035</v>
      </c>
      <c r="C1782" s="149">
        <v>1516.0</v>
      </c>
    </row>
    <row r="1783">
      <c r="A1783" s="2" t="s">
        <v>60</v>
      </c>
      <c r="B1783" s="2" t="s">
        <v>59</v>
      </c>
      <c r="C1783" s="149">
        <v>1392.0</v>
      </c>
    </row>
    <row r="1784">
      <c r="A1784" s="2" t="s">
        <v>60</v>
      </c>
      <c r="B1784" s="2" t="s">
        <v>44</v>
      </c>
      <c r="C1784" s="149">
        <v>638.0</v>
      </c>
    </row>
    <row r="1785">
      <c r="A1785" s="2" t="s">
        <v>60</v>
      </c>
      <c r="B1785" s="2" t="s">
        <v>2036</v>
      </c>
      <c r="C1785" s="149">
        <v>1420.0</v>
      </c>
    </row>
    <row r="1786">
      <c r="A1786" s="2" t="s">
        <v>60</v>
      </c>
      <c r="B1786" s="2" t="s">
        <v>2037</v>
      </c>
      <c r="C1786" s="149">
        <v>1488.0</v>
      </c>
    </row>
    <row r="1787">
      <c r="A1787" s="2" t="s">
        <v>38</v>
      </c>
      <c r="B1787" s="2" t="s">
        <v>18</v>
      </c>
      <c r="C1787" s="149">
        <v>928.0</v>
      </c>
    </row>
    <row r="1788">
      <c r="A1788" s="2" t="s">
        <v>38</v>
      </c>
      <c r="B1788" s="2" t="s">
        <v>49</v>
      </c>
      <c r="C1788" s="149">
        <v>1860.0</v>
      </c>
    </row>
    <row r="1789">
      <c r="A1789" s="2" t="s">
        <v>38</v>
      </c>
      <c r="B1789" s="2" t="s">
        <v>22</v>
      </c>
      <c r="C1789" s="149">
        <v>1244.0</v>
      </c>
    </row>
    <row r="1790">
      <c r="A1790" s="2" t="s">
        <v>38</v>
      </c>
      <c r="B1790" s="2" t="s">
        <v>27</v>
      </c>
      <c r="C1790" s="149">
        <v>476.0</v>
      </c>
    </row>
    <row r="1791">
      <c r="A1791" s="2" t="s">
        <v>38</v>
      </c>
      <c r="B1791" s="2" t="s">
        <v>35</v>
      </c>
      <c r="C1791" s="149">
        <v>1692.0</v>
      </c>
    </row>
    <row r="1792">
      <c r="A1792" s="2" t="s">
        <v>38</v>
      </c>
      <c r="B1792" s="2" t="s">
        <v>41</v>
      </c>
      <c r="C1792" s="149">
        <v>1560.0</v>
      </c>
    </row>
    <row r="1793">
      <c r="A1793" s="2" t="s">
        <v>38</v>
      </c>
      <c r="B1793" s="2" t="s">
        <v>57</v>
      </c>
      <c r="C1793" s="149">
        <v>1034.0</v>
      </c>
    </row>
    <row r="1794">
      <c r="A1794" s="2" t="s">
        <v>38</v>
      </c>
      <c r="B1794" s="2" t="s">
        <v>37</v>
      </c>
      <c r="C1794" s="149">
        <v>270.0</v>
      </c>
    </row>
    <row r="1795">
      <c r="A1795" s="2" t="s">
        <v>38</v>
      </c>
      <c r="B1795" s="2" t="s">
        <v>39</v>
      </c>
      <c r="C1795" s="149">
        <v>396.0</v>
      </c>
    </row>
    <row r="1796">
      <c r="A1796" s="2" t="s">
        <v>38</v>
      </c>
      <c r="B1796" s="2" t="s">
        <v>64</v>
      </c>
      <c r="C1796" s="149">
        <v>1324.0</v>
      </c>
    </row>
    <row r="1797">
      <c r="A1797" s="2" t="s">
        <v>38</v>
      </c>
      <c r="B1797" s="2" t="s">
        <v>65</v>
      </c>
      <c r="C1797" s="149">
        <v>1184.0</v>
      </c>
    </row>
    <row r="1798">
      <c r="A1798" s="2" t="s">
        <v>38</v>
      </c>
      <c r="B1798" s="2" t="s">
        <v>36</v>
      </c>
      <c r="C1798" s="149">
        <v>1684.0</v>
      </c>
    </row>
    <row r="1799">
      <c r="A1799" s="2" t="s">
        <v>38</v>
      </c>
      <c r="B1799" s="2" t="s">
        <v>31</v>
      </c>
      <c r="C1799" s="149">
        <v>1080.0</v>
      </c>
    </row>
    <row r="1800">
      <c r="A1800" s="2" t="s">
        <v>38</v>
      </c>
      <c r="B1800" s="2" t="s">
        <v>43</v>
      </c>
      <c r="C1800" s="149">
        <v>1370.0</v>
      </c>
    </row>
    <row r="1801">
      <c r="A1801" s="2" t="s">
        <v>38</v>
      </c>
      <c r="B1801" s="2" t="s">
        <v>40</v>
      </c>
      <c r="C1801" s="149">
        <v>578.0</v>
      </c>
    </row>
    <row r="1802">
      <c r="A1802" s="2" t="s">
        <v>38</v>
      </c>
      <c r="B1802" s="2" t="s">
        <v>50</v>
      </c>
      <c r="C1802" s="149">
        <v>1990.0</v>
      </c>
    </row>
    <row r="1803">
      <c r="A1803" s="2" t="s">
        <v>38</v>
      </c>
      <c r="B1803" s="2" t="s">
        <v>51</v>
      </c>
      <c r="C1803" s="149">
        <v>608.0</v>
      </c>
    </row>
    <row r="1804">
      <c r="A1804" s="2" t="s">
        <v>38</v>
      </c>
      <c r="B1804" s="2" t="s">
        <v>23</v>
      </c>
      <c r="C1804" s="149">
        <v>1322.0</v>
      </c>
    </row>
    <row r="1805">
      <c r="A1805" s="2" t="s">
        <v>38</v>
      </c>
      <c r="B1805" s="2" t="s">
        <v>47</v>
      </c>
      <c r="C1805" s="149">
        <v>1040.0</v>
      </c>
    </row>
    <row r="1806">
      <c r="A1806" s="2" t="s">
        <v>38</v>
      </c>
      <c r="B1806" s="2" t="s">
        <v>62</v>
      </c>
      <c r="C1806" s="149">
        <v>900.0</v>
      </c>
    </row>
    <row r="1807">
      <c r="A1807" s="2" t="s">
        <v>38</v>
      </c>
      <c r="B1807" s="2" t="s">
        <v>30</v>
      </c>
      <c r="C1807" s="149">
        <v>1058.0</v>
      </c>
    </row>
    <row r="1808">
      <c r="A1808" s="2" t="s">
        <v>38</v>
      </c>
      <c r="B1808" s="2" t="s">
        <v>32</v>
      </c>
      <c r="C1808" s="149">
        <v>980.0</v>
      </c>
    </row>
    <row r="1809">
      <c r="A1809" s="2" t="s">
        <v>38</v>
      </c>
      <c r="B1809" s="2" t="s">
        <v>46</v>
      </c>
      <c r="C1809" s="149">
        <v>1092.0</v>
      </c>
    </row>
    <row r="1810">
      <c r="A1810" s="2" t="s">
        <v>38</v>
      </c>
      <c r="B1810" s="2" t="s">
        <v>54</v>
      </c>
      <c r="C1810" s="149">
        <v>1522.0</v>
      </c>
    </row>
    <row r="1811">
      <c r="A1811" s="2" t="s">
        <v>38</v>
      </c>
      <c r="B1811" s="2" t="s">
        <v>34</v>
      </c>
      <c r="C1811" s="149">
        <v>1040.0</v>
      </c>
    </row>
    <row r="1812">
      <c r="A1812" s="2" t="s">
        <v>38</v>
      </c>
      <c r="B1812" s="2" t="s">
        <v>20</v>
      </c>
      <c r="C1812" s="149">
        <v>1160.0</v>
      </c>
    </row>
    <row r="1813">
      <c r="A1813" s="2" t="s">
        <v>38</v>
      </c>
      <c r="B1813" s="2" t="s">
        <v>24</v>
      </c>
      <c r="C1813" s="149">
        <v>780.0</v>
      </c>
    </row>
    <row r="1814">
      <c r="A1814" s="2" t="s">
        <v>38</v>
      </c>
      <c r="B1814" s="2" t="s">
        <v>63</v>
      </c>
      <c r="C1814" s="149">
        <v>772.0</v>
      </c>
    </row>
    <row r="1815">
      <c r="A1815" s="2" t="s">
        <v>38</v>
      </c>
      <c r="B1815" s="2" t="s">
        <v>58</v>
      </c>
      <c r="C1815" s="149">
        <v>1074.0</v>
      </c>
    </row>
    <row r="1816">
      <c r="A1816" s="2" t="s">
        <v>38</v>
      </c>
      <c r="B1816" s="2" t="s">
        <v>42</v>
      </c>
      <c r="C1816" s="149">
        <v>1398.0</v>
      </c>
    </row>
    <row r="1817">
      <c r="A1817" s="2" t="s">
        <v>38</v>
      </c>
      <c r="B1817" s="2" t="s">
        <v>21</v>
      </c>
      <c r="C1817" s="149">
        <v>1282.0</v>
      </c>
    </row>
    <row r="1818">
      <c r="A1818" s="2" t="s">
        <v>38</v>
      </c>
      <c r="B1818" s="2" t="s">
        <v>33</v>
      </c>
      <c r="C1818" s="149">
        <v>820.0</v>
      </c>
    </row>
    <row r="1819">
      <c r="A1819" s="2" t="s">
        <v>38</v>
      </c>
      <c r="B1819" s="2" t="s">
        <v>66</v>
      </c>
      <c r="C1819" s="149">
        <v>1690.0</v>
      </c>
    </row>
    <row r="1820">
      <c r="A1820" s="2" t="s">
        <v>38</v>
      </c>
      <c r="B1820" s="2" t="s">
        <v>29</v>
      </c>
      <c r="C1820" s="149">
        <v>606.0</v>
      </c>
    </row>
    <row r="1821">
      <c r="A1821" s="2" t="s">
        <v>38</v>
      </c>
      <c r="B1821" s="2" t="s">
        <v>60</v>
      </c>
      <c r="C1821" s="149">
        <v>998.0</v>
      </c>
    </row>
    <row r="1822">
      <c r="A1822" s="2" t="s">
        <v>38</v>
      </c>
      <c r="B1822" s="2" t="s">
        <v>38</v>
      </c>
      <c r="C1822" s="149">
        <v>0.0</v>
      </c>
    </row>
    <row r="1823">
      <c r="A1823" s="2" t="s">
        <v>38</v>
      </c>
      <c r="B1823" s="2" t="s">
        <v>61</v>
      </c>
      <c r="C1823" s="149">
        <v>824.0</v>
      </c>
    </row>
    <row r="1824">
      <c r="A1824" s="2" t="s">
        <v>38</v>
      </c>
      <c r="B1824" s="2" t="s">
        <v>52</v>
      </c>
      <c r="C1824" s="149">
        <v>786.0</v>
      </c>
    </row>
    <row r="1825">
      <c r="A1825" s="2" t="s">
        <v>38</v>
      </c>
      <c r="B1825" s="2" t="s">
        <v>25</v>
      </c>
      <c r="C1825" s="149">
        <v>916.0</v>
      </c>
    </row>
    <row r="1826">
      <c r="A1826" s="2" t="s">
        <v>38</v>
      </c>
      <c r="B1826" s="2" t="s">
        <v>67</v>
      </c>
      <c r="C1826" s="149">
        <v>518.0</v>
      </c>
    </row>
    <row r="1827">
      <c r="A1827" s="2" t="s">
        <v>38</v>
      </c>
      <c r="B1827" s="2" t="s">
        <v>45</v>
      </c>
      <c r="C1827" s="149">
        <v>1060.0</v>
      </c>
    </row>
    <row r="1828">
      <c r="A1828" s="2" t="s">
        <v>38</v>
      </c>
      <c r="B1828" s="2" t="s">
        <v>53</v>
      </c>
      <c r="C1828" s="149">
        <v>1262.0</v>
      </c>
    </row>
    <row r="1829">
      <c r="A1829" s="2" t="s">
        <v>38</v>
      </c>
      <c r="B1829" s="2" t="s">
        <v>26</v>
      </c>
      <c r="C1829" s="149">
        <v>1042.0</v>
      </c>
    </row>
    <row r="1830">
      <c r="A1830" s="2" t="s">
        <v>38</v>
      </c>
      <c r="B1830" s="2" t="s">
        <v>28</v>
      </c>
      <c r="C1830" s="149">
        <v>390.0</v>
      </c>
    </row>
    <row r="1831">
      <c r="A1831" s="2" t="s">
        <v>38</v>
      </c>
      <c r="B1831" s="2" t="s">
        <v>55</v>
      </c>
      <c r="C1831" s="149">
        <v>2146.0</v>
      </c>
    </row>
    <row r="1832">
      <c r="A1832" s="2" t="s">
        <v>38</v>
      </c>
      <c r="B1832" s="2" t="s">
        <v>48</v>
      </c>
      <c r="C1832" s="149">
        <v>978.0</v>
      </c>
    </row>
    <row r="1833">
      <c r="A1833" s="2" t="s">
        <v>38</v>
      </c>
      <c r="B1833" s="2" t="s">
        <v>2035</v>
      </c>
      <c r="C1833" s="149">
        <v>2378.0</v>
      </c>
    </row>
    <row r="1834">
      <c r="A1834" s="2" t="s">
        <v>38</v>
      </c>
      <c r="B1834" s="2" t="s">
        <v>59</v>
      </c>
      <c r="C1834" s="149">
        <v>974.0</v>
      </c>
    </row>
    <row r="1835">
      <c r="A1835" s="2" t="s">
        <v>38</v>
      </c>
      <c r="B1835" s="2" t="s">
        <v>44</v>
      </c>
      <c r="C1835" s="149">
        <v>1090.0</v>
      </c>
    </row>
    <row r="1836">
      <c r="A1836" s="2" t="s">
        <v>38</v>
      </c>
      <c r="B1836" s="2" t="s">
        <v>2036</v>
      </c>
      <c r="C1836" s="149">
        <v>2396.0</v>
      </c>
    </row>
    <row r="1837">
      <c r="A1837" s="2" t="s">
        <v>38</v>
      </c>
      <c r="B1837" s="2" t="s">
        <v>2037</v>
      </c>
      <c r="C1837" s="149">
        <v>2092.0</v>
      </c>
    </row>
    <row r="1838">
      <c r="A1838" s="2" t="s">
        <v>61</v>
      </c>
      <c r="B1838" s="2" t="s">
        <v>18</v>
      </c>
      <c r="C1838" s="149">
        <v>166.0</v>
      </c>
    </row>
    <row r="1839">
      <c r="A1839" s="2" t="s">
        <v>61</v>
      </c>
      <c r="B1839" s="2" t="s">
        <v>49</v>
      </c>
      <c r="C1839" s="149">
        <v>1676.0</v>
      </c>
    </row>
    <row r="1840">
      <c r="A1840" s="2" t="s">
        <v>61</v>
      </c>
      <c r="B1840" s="2" t="s">
        <v>22</v>
      </c>
      <c r="C1840" s="149">
        <v>924.0</v>
      </c>
    </row>
    <row r="1841">
      <c r="A1841" s="2" t="s">
        <v>61</v>
      </c>
      <c r="B1841" s="2" t="s">
        <v>27</v>
      </c>
      <c r="C1841" s="149">
        <v>686.0</v>
      </c>
    </row>
    <row r="1842">
      <c r="A1842" s="2" t="s">
        <v>61</v>
      </c>
      <c r="B1842" s="2" t="s">
        <v>35</v>
      </c>
      <c r="C1842" s="149">
        <v>904.0</v>
      </c>
    </row>
    <row r="1843">
      <c r="A1843" s="2" t="s">
        <v>61</v>
      </c>
      <c r="B1843" s="2" t="s">
        <v>41</v>
      </c>
      <c r="C1843" s="149">
        <v>770.0</v>
      </c>
    </row>
    <row r="1844">
      <c r="A1844" s="2" t="s">
        <v>61</v>
      </c>
      <c r="B1844" s="2" t="s">
        <v>57</v>
      </c>
      <c r="C1844" s="149">
        <v>1130.0</v>
      </c>
    </row>
    <row r="1845">
      <c r="A1845" s="2" t="s">
        <v>61</v>
      </c>
      <c r="B1845" s="2" t="s">
        <v>37</v>
      </c>
      <c r="C1845" s="149">
        <v>572.0</v>
      </c>
    </row>
    <row r="1846">
      <c r="A1846" s="2" t="s">
        <v>61</v>
      </c>
      <c r="B1846" s="2" t="s">
        <v>39</v>
      </c>
      <c r="C1846" s="149">
        <v>550.0</v>
      </c>
    </row>
    <row r="1847">
      <c r="A1847" s="2" t="s">
        <v>61</v>
      </c>
      <c r="B1847" s="2" t="s">
        <v>64</v>
      </c>
      <c r="C1847" s="149">
        <v>536.0</v>
      </c>
    </row>
    <row r="1848">
      <c r="A1848" s="2" t="s">
        <v>61</v>
      </c>
      <c r="B1848" s="2" t="s">
        <v>65</v>
      </c>
      <c r="C1848" s="149">
        <v>396.0</v>
      </c>
    </row>
    <row r="1849">
      <c r="A1849" s="2" t="s">
        <v>61</v>
      </c>
      <c r="B1849" s="2" t="s">
        <v>36</v>
      </c>
      <c r="C1849" s="149">
        <v>896.0</v>
      </c>
    </row>
    <row r="1850">
      <c r="A1850" s="2" t="s">
        <v>61</v>
      </c>
      <c r="B1850" s="2" t="s">
        <v>31</v>
      </c>
      <c r="C1850" s="149">
        <v>1004.0</v>
      </c>
    </row>
    <row r="1851">
      <c r="A1851" s="2" t="s">
        <v>61</v>
      </c>
      <c r="B1851" s="2" t="s">
        <v>43</v>
      </c>
      <c r="C1851" s="149">
        <v>582.0</v>
      </c>
    </row>
    <row r="1852">
      <c r="A1852" s="2" t="s">
        <v>61</v>
      </c>
      <c r="B1852" s="2" t="s">
        <v>40</v>
      </c>
      <c r="C1852" s="149">
        <v>364.0</v>
      </c>
    </row>
    <row r="1853">
      <c r="A1853" s="2" t="s">
        <v>61</v>
      </c>
      <c r="B1853" s="2" t="s">
        <v>50</v>
      </c>
      <c r="C1853" s="149">
        <v>1672.0</v>
      </c>
    </row>
    <row r="1854">
      <c r="A1854" s="2" t="s">
        <v>61</v>
      </c>
      <c r="B1854" s="2" t="s">
        <v>51</v>
      </c>
      <c r="C1854" s="149">
        <v>704.0</v>
      </c>
    </row>
    <row r="1855">
      <c r="A1855" s="2" t="s">
        <v>61</v>
      </c>
      <c r="B1855" s="2" t="s">
        <v>23</v>
      </c>
      <c r="C1855" s="149">
        <v>1004.0</v>
      </c>
    </row>
    <row r="1856">
      <c r="A1856" s="2" t="s">
        <v>61</v>
      </c>
      <c r="B1856" s="2" t="s">
        <v>47</v>
      </c>
      <c r="C1856" s="149">
        <v>250.0</v>
      </c>
    </row>
    <row r="1857">
      <c r="A1857" s="2" t="s">
        <v>61</v>
      </c>
      <c r="B1857" s="2" t="s">
        <v>62</v>
      </c>
      <c r="C1857" s="149">
        <v>112.0</v>
      </c>
    </row>
    <row r="1858">
      <c r="A1858" s="2" t="s">
        <v>61</v>
      </c>
      <c r="B1858" s="2" t="s">
        <v>30</v>
      </c>
      <c r="C1858" s="149">
        <v>692.0</v>
      </c>
    </row>
    <row r="1859">
      <c r="A1859" s="2" t="s">
        <v>61</v>
      </c>
      <c r="B1859" s="2" t="s">
        <v>32</v>
      </c>
      <c r="C1859" s="149">
        <v>766.0</v>
      </c>
    </row>
    <row r="1860">
      <c r="A1860" s="2" t="s">
        <v>61</v>
      </c>
      <c r="B1860" s="2" t="s">
        <v>46</v>
      </c>
      <c r="C1860" s="149">
        <v>304.0</v>
      </c>
    </row>
    <row r="1861">
      <c r="A1861" s="2" t="s">
        <v>61</v>
      </c>
      <c r="B1861" s="2" t="s">
        <v>54</v>
      </c>
      <c r="C1861" s="149">
        <v>1202.0</v>
      </c>
    </row>
    <row r="1862">
      <c r="A1862" s="2" t="s">
        <v>61</v>
      </c>
      <c r="B1862" s="2" t="s">
        <v>34</v>
      </c>
      <c r="C1862" s="149">
        <v>230.0</v>
      </c>
    </row>
    <row r="1863">
      <c r="A1863" s="2" t="s">
        <v>61</v>
      </c>
      <c r="B1863" s="2" t="s">
        <v>20</v>
      </c>
      <c r="C1863" s="149">
        <v>1004.0</v>
      </c>
    </row>
    <row r="1864">
      <c r="A1864" s="2" t="s">
        <v>61</v>
      </c>
      <c r="B1864" s="2" t="s">
        <v>24</v>
      </c>
      <c r="C1864" s="149">
        <v>874.0</v>
      </c>
    </row>
    <row r="1865">
      <c r="A1865" s="2" t="s">
        <v>61</v>
      </c>
      <c r="B1865" s="2" t="s">
        <v>63</v>
      </c>
      <c r="C1865" s="149">
        <v>406.0</v>
      </c>
    </row>
    <row r="1866">
      <c r="A1866" s="2" t="s">
        <v>61</v>
      </c>
      <c r="B1866" s="2" t="s">
        <v>58</v>
      </c>
      <c r="C1866" s="149">
        <v>1168.0</v>
      </c>
    </row>
    <row r="1867">
      <c r="A1867" s="2" t="s">
        <v>61</v>
      </c>
      <c r="B1867" s="2" t="s">
        <v>42</v>
      </c>
      <c r="C1867" s="149">
        <v>610.0</v>
      </c>
    </row>
    <row r="1868">
      <c r="A1868" s="2" t="s">
        <v>61</v>
      </c>
      <c r="B1868" s="2" t="s">
        <v>21</v>
      </c>
      <c r="C1868" s="149">
        <v>978.0</v>
      </c>
    </row>
    <row r="1869">
      <c r="A1869" s="2" t="s">
        <v>61</v>
      </c>
      <c r="B1869" s="2" t="s">
        <v>33</v>
      </c>
      <c r="C1869" s="149">
        <v>730.0</v>
      </c>
    </row>
    <row r="1870">
      <c r="A1870" s="2" t="s">
        <v>61</v>
      </c>
      <c r="B1870" s="2" t="s">
        <v>66</v>
      </c>
      <c r="C1870" s="149">
        <v>900.0</v>
      </c>
    </row>
    <row r="1871">
      <c r="A1871" s="2" t="s">
        <v>61</v>
      </c>
      <c r="B1871" s="2" t="s">
        <v>29</v>
      </c>
      <c r="C1871" s="149">
        <v>1366.0</v>
      </c>
    </row>
    <row r="1872">
      <c r="A1872" s="2" t="s">
        <v>61</v>
      </c>
      <c r="B1872" s="2" t="s">
        <v>60</v>
      </c>
      <c r="C1872" s="149">
        <v>368.0</v>
      </c>
    </row>
    <row r="1873">
      <c r="A1873" s="2" t="s">
        <v>61</v>
      </c>
      <c r="B1873" s="2" t="s">
        <v>38</v>
      </c>
      <c r="C1873" s="149">
        <v>824.0</v>
      </c>
    </row>
    <row r="1874">
      <c r="A1874" s="2" t="s">
        <v>61</v>
      </c>
      <c r="B1874" s="2" t="s">
        <v>61</v>
      </c>
      <c r="C1874" s="149">
        <v>0.0</v>
      </c>
    </row>
    <row r="1875">
      <c r="A1875" s="2" t="s">
        <v>61</v>
      </c>
      <c r="B1875" s="2" t="s">
        <v>52</v>
      </c>
      <c r="C1875" s="149">
        <v>888.0</v>
      </c>
    </row>
    <row r="1876">
      <c r="A1876" s="2" t="s">
        <v>61</v>
      </c>
      <c r="B1876" s="2" t="s">
        <v>25</v>
      </c>
      <c r="C1876" s="149">
        <v>1018.0</v>
      </c>
    </row>
    <row r="1877">
      <c r="A1877" s="2" t="s">
        <v>61</v>
      </c>
      <c r="B1877" s="2" t="s">
        <v>67</v>
      </c>
      <c r="C1877" s="149">
        <v>1110.0</v>
      </c>
    </row>
    <row r="1878">
      <c r="A1878" s="2" t="s">
        <v>61</v>
      </c>
      <c r="B1878" s="2" t="s">
        <v>45</v>
      </c>
      <c r="C1878" s="149">
        <v>298.0</v>
      </c>
    </row>
    <row r="1879">
      <c r="A1879" s="2" t="s">
        <v>61</v>
      </c>
      <c r="B1879" s="2" t="s">
        <v>53</v>
      </c>
      <c r="C1879" s="149">
        <v>1288.0</v>
      </c>
    </row>
    <row r="1880">
      <c r="A1880" s="2" t="s">
        <v>61</v>
      </c>
      <c r="B1880" s="2" t="s">
        <v>26</v>
      </c>
      <c r="C1880" s="149">
        <v>1144.0</v>
      </c>
    </row>
    <row r="1881">
      <c r="A1881" s="2" t="s">
        <v>61</v>
      </c>
      <c r="B1881" s="2" t="s">
        <v>28</v>
      </c>
      <c r="C1881" s="149">
        <v>692.0</v>
      </c>
    </row>
    <row r="1882">
      <c r="A1882" s="2" t="s">
        <v>61</v>
      </c>
      <c r="B1882" s="2" t="s">
        <v>55</v>
      </c>
      <c r="C1882" s="149">
        <v>1656.0</v>
      </c>
    </row>
    <row r="1883">
      <c r="A1883" s="2" t="s">
        <v>61</v>
      </c>
      <c r="B1883" s="2" t="s">
        <v>48</v>
      </c>
      <c r="C1883" s="149">
        <v>394.0</v>
      </c>
    </row>
    <row r="1884">
      <c r="A1884" s="2" t="s">
        <v>61</v>
      </c>
      <c r="B1884" s="2" t="s">
        <v>2035</v>
      </c>
      <c r="C1884" s="149">
        <v>1886.0</v>
      </c>
    </row>
    <row r="1885">
      <c r="A1885" s="2" t="s">
        <v>61</v>
      </c>
      <c r="B1885" s="2" t="s">
        <v>59</v>
      </c>
      <c r="C1885" s="149">
        <v>1068.0</v>
      </c>
    </row>
    <row r="1886">
      <c r="A1886" s="2" t="s">
        <v>61</v>
      </c>
      <c r="B1886" s="2" t="s">
        <v>44</v>
      </c>
      <c r="C1886" s="149">
        <v>300.0</v>
      </c>
    </row>
    <row r="1887">
      <c r="A1887" s="2" t="s">
        <v>61</v>
      </c>
      <c r="B1887" s="2" t="s">
        <v>2036</v>
      </c>
      <c r="C1887" s="149">
        <v>1802.0</v>
      </c>
    </row>
    <row r="1888">
      <c r="A1888" s="2" t="s">
        <v>61</v>
      </c>
      <c r="B1888" s="2" t="s">
        <v>2037</v>
      </c>
      <c r="C1888" s="149">
        <v>1870.0</v>
      </c>
    </row>
    <row r="1889">
      <c r="A1889" s="2" t="s">
        <v>52</v>
      </c>
      <c r="B1889" s="2" t="s">
        <v>18</v>
      </c>
      <c r="C1889" s="149">
        <v>984.0</v>
      </c>
    </row>
    <row r="1890">
      <c r="A1890" s="2" t="s">
        <v>52</v>
      </c>
      <c r="B1890" s="2" t="s">
        <v>49</v>
      </c>
      <c r="C1890" s="149">
        <v>2096.0</v>
      </c>
    </row>
    <row r="1891">
      <c r="A1891" s="2" t="s">
        <v>52</v>
      </c>
      <c r="B1891" s="2" t="s">
        <v>22</v>
      </c>
      <c r="C1891" s="149">
        <v>1478.0</v>
      </c>
    </row>
    <row r="1892">
      <c r="A1892" s="2" t="s">
        <v>52</v>
      </c>
      <c r="B1892" s="2" t="s">
        <v>27</v>
      </c>
      <c r="C1892" s="149">
        <v>336.0</v>
      </c>
    </row>
    <row r="1893">
      <c r="A1893" s="2" t="s">
        <v>52</v>
      </c>
      <c r="B1893" s="2" t="s">
        <v>35</v>
      </c>
      <c r="C1893" s="149">
        <v>1730.0</v>
      </c>
    </row>
    <row r="1894">
      <c r="A1894" s="2" t="s">
        <v>52</v>
      </c>
      <c r="B1894" s="2" t="s">
        <v>41</v>
      </c>
      <c r="C1894" s="149">
        <v>1596.0</v>
      </c>
    </row>
    <row r="1895">
      <c r="A1895" s="2" t="s">
        <v>52</v>
      </c>
      <c r="B1895" s="2" t="s">
        <v>57</v>
      </c>
      <c r="C1895" s="149">
        <v>386.0</v>
      </c>
    </row>
    <row r="1896">
      <c r="A1896" s="2" t="s">
        <v>52</v>
      </c>
      <c r="B1896" s="2" t="s">
        <v>37</v>
      </c>
      <c r="C1896" s="149">
        <v>564.0</v>
      </c>
    </row>
    <row r="1897">
      <c r="A1897" s="2" t="s">
        <v>52</v>
      </c>
      <c r="B1897" s="2" t="s">
        <v>39</v>
      </c>
      <c r="C1897" s="149">
        <v>632.0</v>
      </c>
    </row>
    <row r="1898">
      <c r="A1898" s="2" t="s">
        <v>52</v>
      </c>
      <c r="B1898" s="2" t="s">
        <v>64</v>
      </c>
      <c r="C1898" s="149">
        <v>1362.0</v>
      </c>
    </row>
    <row r="1899">
      <c r="A1899" s="2" t="s">
        <v>52</v>
      </c>
      <c r="B1899" s="2" t="s">
        <v>65</v>
      </c>
      <c r="C1899" s="149">
        <v>1222.0</v>
      </c>
    </row>
    <row r="1900">
      <c r="A1900" s="2" t="s">
        <v>52</v>
      </c>
      <c r="B1900" s="2" t="s">
        <v>36</v>
      </c>
      <c r="C1900" s="149">
        <v>1720.0</v>
      </c>
    </row>
    <row r="1901">
      <c r="A1901" s="2" t="s">
        <v>52</v>
      </c>
      <c r="B1901" s="2" t="s">
        <v>31</v>
      </c>
      <c r="C1901" s="149">
        <v>300.0</v>
      </c>
    </row>
    <row r="1902">
      <c r="A1902" s="2" t="s">
        <v>52</v>
      </c>
      <c r="B1902" s="2" t="s">
        <v>43</v>
      </c>
      <c r="C1902" s="149">
        <v>1408.0</v>
      </c>
    </row>
    <row r="1903">
      <c r="A1903" s="2" t="s">
        <v>52</v>
      </c>
      <c r="B1903" s="2" t="s">
        <v>40</v>
      </c>
      <c r="C1903" s="149">
        <v>768.0</v>
      </c>
    </row>
    <row r="1904">
      <c r="A1904" s="2" t="s">
        <v>52</v>
      </c>
      <c r="B1904" s="2" t="s">
        <v>50</v>
      </c>
      <c r="C1904" s="149">
        <v>2226.0</v>
      </c>
    </row>
    <row r="1905">
      <c r="A1905" s="2" t="s">
        <v>52</v>
      </c>
      <c r="B1905" s="2" t="s">
        <v>51</v>
      </c>
      <c r="C1905" s="150">
        <v>10000.0</v>
      </c>
    </row>
    <row r="1906">
      <c r="A1906" s="2" t="s">
        <v>52</v>
      </c>
      <c r="B1906" s="2" t="s">
        <v>23</v>
      </c>
      <c r="C1906" s="149">
        <v>1558.0</v>
      </c>
    </row>
    <row r="1907">
      <c r="A1907" s="2" t="s">
        <v>52</v>
      </c>
      <c r="B1907" s="2" t="s">
        <v>47</v>
      </c>
      <c r="C1907" s="149">
        <v>968.0</v>
      </c>
    </row>
    <row r="1908">
      <c r="A1908" s="2" t="s">
        <v>52</v>
      </c>
      <c r="B1908" s="2" t="s">
        <v>62</v>
      </c>
      <c r="C1908" s="149">
        <v>938.0</v>
      </c>
    </row>
    <row r="1909">
      <c r="A1909" s="2" t="s">
        <v>52</v>
      </c>
      <c r="B1909" s="2" t="s">
        <v>30</v>
      </c>
      <c r="C1909" s="149">
        <v>322.0</v>
      </c>
    </row>
    <row r="1910">
      <c r="A1910" s="2" t="s">
        <v>52</v>
      </c>
      <c r="B1910" s="2" t="s">
        <v>32</v>
      </c>
      <c r="C1910" s="149">
        <v>196.0</v>
      </c>
    </row>
    <row r="1911">
      <c r="A1911" s="2" t="s">
        <v>52</v>
      </c>
      <c r="B1911" s="2" t="s">
        <v>46</v>
      </c>
      <c r="C1911" s="149">
        <v>1130.0</v>
      </c>
    </row>
    <row r="1912">
      <c r="A1912" s="2" t="s">
        <v>52</v>
      </c>
      <c r="B1912" s="2" t="s">
        <v>54</v>
      </c>
      <c r="C1912" s="149">
        <v>1756.0</v>
      </c>
    </row>
    <row r="1913">
      <c r="A1913" s="2" t="s">
        <v>52</v>
      </c>
      <c r="B1913" s="2" t="s">
        <v>34</v>
      </c>
      <c r="C1913" s="149">
        <v>1076.0</v>
      </c>
    </row>
    <row r="1914">
      <c r="A1914" s="2" t="s">
        <v>52</v>
      </c>
      <c r="B1914" s="2" t="s">
        <v>20</v>
      </c>
      <c r="C1914" s="149">
        <v>1394.0</v>
      </c>
    </row>
    <row r="1915">
      <c r="A1915" s="2" t="s">
        <v>52</v>
      </c>
      <c r="B1915" s="2" t="s">
        <v>24</v>
      </c>
      <c r="C1915" s="149">
        <v>340.0</v>
      </c>
    </row>
    <row r="1916">
      <c r="A1916" s="2" t="s">
        <v>52</v>
      </c>
      <c r="B1916" s="2" t="s">
        <v>63</v>
      </c>
      <c r="C1916" s="149">
        <v>620.0</v>
      </c>
    </row>
    <row r="1917">
      <c r="A1917" s="2" t="s">
        <v>52</v>
      </c>
      <c r="B1917" s="2" t="s">
        <v>58</v>
      </c>
      <c r="C1917" s="149">
        <v>424.0</v>
      </c>
    </row>
    <row r="1918">
      <c r="A1918" s="2" t="s">
        <v>52</v>
      </c>
      <c r="B1918" s="2" t="s">
        <v>42</v>
      </c>
      <c r="C1918" s="149">
        <v>1436.0</v>
      </c>
    </row>
    <row r="1919">
      <c r="A1919" s="2" t="s">
        <v>52</v>
      </c>
      <c r="B1919" s="2" t="s">
        <v>21</v>
      </c>
      <c r="C1919" s="149">
        <v>1518.0</v>
      </c>
    </row>
    <row r="1920">
      <c r="A1920" s="2" t="s">
        <v>52</v>
      </c>
      <c r="B1920" s="2" t="s">
        <v>33</v>
      </c>
      <c r="C1920" s="149">
        <v>1056.0</v>
      </c>
    </row>
    <row r="1921">
      <c r="A1921" s="2" t="s">
        <v>52</v>
      </c>
      <c r="B1921" s="2" t="s">
        <v>66</v>
      </c>
      <c r="C1921" s="149">
        <v>1726.0</v>
      </c>
    </row>
    <row r="1922">
      <c r="A1922" s="2" t="s">
        <v>52</v>
      </c>
      <c r="B1922" s="2" t="s">
        <v>29</v>
      </c>
      <c r="C1922" s="149">
        <v>1328.0</v>
      </c>
    </row>
    <row r="1923">
      <c r="A1923" s="2" t="s">
        <v>52</v>
      </c>
      <c r="B1923" s="2" t="s">
        <v>60</v>
      </c>
      <c r="C1923" s="149">
        <v>1188.0</v>
      </c>
    </row>
    <row r="1924">
      <c r="A1924" s="2" t="s">
        <v>52</v>
      </c>
      <c r="B1924" s="2" t="s">
        <v>38</v>
      </c>
      <c r="C1924" s="149">
        <v>786.0</v>
      </c>
    </row>
    <row r="1925">
      <c r="A1925" s="2" t="s">
        <v>52</v>
      </c>
      <c r="B1925" s="2" t="s">
        <v>61</v>
      </c>
      <c r="C1925" s="149">
        <v>888.0</v>
      </c>
    </row>
    <row r="1926">
      <c r="A1926" s="2" t="s">
        <v>52</v>
      </c>
      <c r="B1926" s="2" t="s">
        <v>52</v>
      </c>
      <c r="C1926" s="149">
        <v>0.0</v>
      </c>
    </row>
    <row r="1927">
      <c r="A1927" s="2" t="s">
        <v>52</v>
      </c>
      <c r="B1927" s="2" t="s">
        <v>25</v>
      </c>
      <c r="C1927" s="149">
        <v>332.0</v>
      </c>
    </row>
    <row r="1928">
      <c r="A1928" s="2" t="s">
        <v>52</v>
      </c>
      <c r="B1928" s="2" t="s">
        <v>67</v>
      </c>
      <c r="C1928" s="149">
        <v>566.0</v>
      </c>
    </row>
    <row r="1929">
      <c r="A1929" s="2" t="s">
        <v>52</v>
      </c>
      <c r="B1929" s="2" t="s">
        <v>45</v>
      </c>
      <c r="C1929" s="149">
        <v>1116.0</v>
      </c>
    </row>
    <row r="1930">
      <c r="A1930" s="2" t="s">
        <v>52</v>
      </c>
      <c r="B1930" s="2" t="s">
        <v>53</v>
      </c>
      <c r="C1930" s="149">
        <v>562.0</v>
      </c>
    </row>
    <row r="1931">
      <c r="A1931" s="2" t="s">
        <v>52</v>
      </c>
      <c r="B1931" s="2" t="s">
        <v>26</v>
      </c>
      <c r="C1931" s="149">
        <v>430.0</v>
      </c>
    </row>
    <row r="1932">
      <c r="A1932" s="2" t="s">
        <v>52</v>
      </c>
      <c r="B1932" s="2" t="s">
        <v>28</v>
      </c>
      <c r="C1932" s="149">
        <v>424.0</v>
      </c>
    </row>
    <row r="1933">
      <c r="A1933" s="2" t="s">
        <v>52</v>
      </c>
      <c r="B1933" s="2" t="s">
        <v>55</v>
      </c>
      <c r="C1933" s="149">
        <v>2402.0</v>
      </c>
    </row>
    <row r="1934">
      <c r="A1934" s="2" t="s">
        <v>52</v>
      </c>
      <c r="B1934" s="2" t="s">
        <v>48</v>
      </c>
      <c r="C1934" s="149">
        <v>868.0</v>
      </c>
    </row>
    <row r="1935">
      <c r="A1935" s="2" t="s">
        <v>52</v>
      </c>
      <c r="B1935" s="2" t="s">
        <v>2035</v>
      </c>
      <c r="C1935" s="149">
        <v>2634.0</v>
      </c>
    </row>
    <row r="1936">
      <c r="A1936" s="2" t="s">
        <v>52</v>
      </c>
      <c r="B1936" s="2" t="s">
        <v>59</v>
      </c>
      <c r="C1936" s="149">
        <v>324.0</v>
      </c>
    </row>
    <row r="1937">
      <c r="A1937" s="2" t="s">
        <v>52</v>
      </c>
      <c r="B1937" s="2" t="s">
        <v>44</v>
      </c>
      <c r="C1937" s="149">
        <v>1126.0</v>
      </c>
    </row>
    <row r="1938">
      <c r="A1938" s="2" t="s">
        <v>52</v>
      </c>
      <c r="B1938" s="2" t="s">
        <v>2036</v>
      </c>
      <c r="C1938" s="149">
        <v>2582.0</v>
      </c>
    </row>
    <row r="1939">
      <c r="A1939" s="2" t="s">
        <v>52</v>
      </c>
      <c r="B1939" s="2" t="s">
        <v>2037</v>
      </c>
      <c r="C1939" s="149">
        <v>2548.0</v>
      </c>
    </row>
    <row r="1940">
      <c r="A1940" s="2" t="s">
        <v>25</v>
      </c>
      <c r="B1940" s="2" t="s">
        <v>18</v>
      </c>
      <c r="C1940" s="149">
        <v>1092.0</v>
      </c>
    </row>
    <row r="1941">
      <c r="A1941" s="2" t="s">
        <v>25</v>
      </c>
      <c r="B1941" s="2" t="s">
        <v>49</v>
      </c>
      <c r="C1941" s="149">
        <v>2224.0</v>
      </c>
    </row>
    <row r="1942">
      <c r="A1942" s="2" t="s">
        <v>25</v>
      </c>
      <c r="B1942" s="2" t="s">
        <v>22</v>
      </c>
      <c r="C1942" s="149">
        <v>1608.0</v>
      </c>
    </row>
    <row r="1943">
      <c r="A1943" s="2" t="s">
        <v>25</v>
      </c>
      <c r="B1943" s="2" t="s">
        <v>27</v>
      </c>
      <c r="C1943" s="149">
        <v>466.0</v>
      </c>
    </row>
    <row r="1944">
      <c r="A1944" s="2" t="s">
        <v>25</v>
      </c>
      <c r="B1944" s="2" t="s">
        <v>35</v>
      </c>
      <c r="C1944" s="149">
        <v>1858.0</v>
      </c>
    </row>
    <row r="1945">
      <c r="A1945" s="2" t="s">
        <v>25</v>
      </c>
      <c r="B1945" s="2" t="s">
        <v>41</v>
      </c>
      <c r="C1945" s="149">
        <v>1726.0</v>
      </c>
    </row>
    <row r="1946">
      <c r="A1946" s="2" t="s">
        <v>25</v>
      </c>
      <c r="B1946" s="2" t="s">
        <v>57</v>
      </c>
      <c r="C1946" s="149">
        <v>158.0</v>
      </c>
    </row>
    <row r="1947">
      <c r="A1947" s="2" t="s">
        <v>25</v>
      </c>
      <c r="B1947" s="2" t="s">
        <v>37</v>
      </c>
      <c r="C1947" s="149">
        <v>694.0</v>
      </c>
    </row>
    <row r="1948">
      <c r="A1948" s="2" t="s">
        <v>25</v>
      </c>
      <c r="B1948" s="2" t="s">
        <v>39</v>
      </c>
      <c r="C1948" s="149">
        <v>762.0</v>
      </c>
    </row>
    <row r="1949">
      <c r="A1949" s="2" t="s">
        <v>25</v>
      </c>
      <c r="B1949" s="2" t="s">
        <v>64</v>
      </c>
      <c r="C1949" s="149">
        <v>1492.0</v>
      </c>
    </row>
    <row r="1950">
      <c r="A1950" s="2" t="s">
        <v>25</v>
      </c>
      <c r="B1950" s="2" t="s">
        <v>65</v>
      </c>
      <c r="C1950" s="149">
        <v>1350.0</v>
      </c>
    </row>
    <row r="1951">
      <c r="A1951" s="2" t="s">
        <v>25</v>
      </c>
      <c r="B1951" s="2" t="s">
        <v>36</v>
      </c>
      <c r="C1951" s="149">
        <v>1850.0</v>
      </c>
    </row>
    <row r="1952">
      <c r="A1952" s="2" t="s">
        <v>25</v>
      </c>
      <c r="B1952" s="2" t="s">
        <v>31</v>
      </c>
      <c r="C1952" s="149">
        <v>230.0</v>
      </c>
    </row>
    <row r="1953">
      <c r="A1953" s="2" t="s">
        <v>25</v>
      </c>
      <c r="B1953" s="2" t="s">
        <v>43</v>
      </c>
      <c r="C1953" s="149">
        <v>1536.0</v>
      </c>
    </row>
    <row r="1954">
      <c r="A1954" s="2" t="s">
        <v>25</v>
      </c>
      <c r="B1954" s="2" t="s">
        <v>40</v>
      </c>
      <c r="C1954" s="149">
        <v>896.0</v>
      </c>
    </row>
    <row r="1955">
      <c r="A1955" s="2" t="s">
        <v>25</v>
      </c>
      <c r="B1955" s="2" t="s">
        <v>50</v>
      </c>
      <c r="C1955" s="149">
        <v>2356.0</v>
      </c>
    </row>
    <row r="1956">
      <c r="A1956" s="2" t="s">
        <v>25</v>
      </c>
      <c r="B1956" s="2" t="s">
        <v>51</v>
      </c>
      <c r="C1956" s="149">
        <v>318.0</v>
      </c>
    </row>
    <row r="1957">
      <c r="A1957" s="2" t="s">
        <v>25</v>
      </c>
      <c r="B1957" s="2" t="s">
        <v>23</v>
      </c>
      <c r="C1957" s="149">
        <v>1686.0</v>
      </c>
    </row>
    <row r="1958">
      <c r="A1958" s="2" t="s">
        <v>25</v>
      </c>
      <c r="B1958" s="2" t="s">
        <v>47</v>
      </c>
      <c r="C1958" s="149">
        <v>1098.0</v>
      </c>
    </row>
    <row r="1959">
      <c r="A1959" s="2" t="s">
        <v>25</v>
      </c>
      <c r="B1959" s="2" t="s">
        <v>62</v>
      </c>
      <c r="C1959" s="149">
        <v>1068.0</v>
      </c>
    </row>
    <row r="1960">
      <c r="A1960" s="2" t="s">
        <v>25</v>
      </c>
      <c r="B1960" s="2" t="s">
        <v>30</v>
      </c>
      <c r="C1960" s="149">
        <v>524.0</v>
      </c>
    </row>
    <row r="1961">
      <c r="A1961" s="2" t="s">
        <v>25</v>
      </c>
      <c r="B1961" s="2" t="s">
        <v>32</v>
      </c>
      <c r="C1961" s="149">
        <v>382.0</v>
      </c>
    </row>
    <row r="1962">
      <c r="A1962" s="2" t="s">
        <v>25</v>
      </c>
      <c r="B1962" s="2" t="s">
        <v>46</v>
      </c>
      <c r="C1962" s="149">
        <v>1258.0</v>
      </c>
    </row>
    <row r="1963">
      <c r="A1963" s="2" t="s">
        <v>25</v>
      </c>
      <c r="B1963" s="2" t="s">
        <v>54</v>
      </c>
      <c r="C1963" s="149">
        <v>1886.0</v>
      </c>
    </row>
    <row r="1964">
      <c r="A1964" s="2" t="s">
        <v>25</v>
      </c>
      <c r="B1964" s="2" t="s">
        <v>34</v>
      </c>
      <c r="C1964" s="149">
        <v>1206.0</v>
      </c>
    </row>
    <row r="1965">
      <c r="A1965" s="2" t="s">
        <v>25</v>
      </c>
      <c r="B1965" s="2" t="s">
        <v>20</v>
      </c>
      <c r="C1965" s="149">
        <v>1524.0</v>
      </c>
    </row>
    <row r="1966">
      <c r="A1966" s="2" t="s">
        <v>25</v>
      </c>
      <c r="B1966" s="2" t="s">
        <v>24</v>
      </c>
      <c r="C1966" s="149">
        <v>134.0</v>
      </c>
    </row>
    <row r="1967">
      <c r="A1967" s="2" t="s">
        <v>25</v>
      </c>
      <c r="B1967" s="2" t="s">
        <v>63</v>
      </c>
      <c r="C1967" s="149">
        <v>776.0</v>
      </c>
    </row>
    <row r="1968">
      <c r="A1968" s="2" t="s">
        <v>25</v>
      </c>
      <c r="B1968" s="2" t="s">
        <v>58</v>
      </c>
      <c r="C1968" s="149">
        <v>196.0</v>
      </c>
    </row>
    <row r="1969">
      <c r="A1969" s="2" t="s">
        <v>25</v>
      </c>
      <c r="B1969" s="2" t="s">
        <v>42</v>
      </c>
      <c r="C1969" s="149">
        <v>1566.0</v>
      </c>
    </row>
    <row r="1970">
      <c r="A1970" s="2" t="s">
        <v>25</v>
      </c>
      <c r="B1970" s="2" t="s">
        <v>21</v>
      </c>
      <c r="C1970" s="149">
        <v>1648.0</v>
      </c>
    </row>
    <row r="1971">
      <c r="A1971" s="2" t="s">
        <v>25</v>
      </c>
      <c r="B1971" s="2" t="s">
        <v>33</v>
      </c>
      <c r="C1971" s="149">
        <v>1184.0</v>
      </c>
    </row>
    <row r="1972">
      <c r="A1972" s="2" t="s">
        <v>25</v>
      </c>
      <c r="B1972" s="2" t="s">
        <v>66</v>
      </c>
      <c r="C1972" s="149">
        <v>1856.0</v>
      </c>
    </row>
    <row r="1973">
      <c r="A1973" s="2" t="s">
        <v>25</v>
      </c>
      <c r="B1973" s="2" t="s">
        <v>29</v>
      </c>
      <c r="C1973" s="149">
        <v>1458.0</v>
      </c>
    </row>
    <row r="1974">
      <c r="A1974" s="2" t="s">
        <v>25</v>
      </c>
      <c r="B1974" s="2" t="s">
        <v>60</v>
      </c>
      <c r="C1974" s="149">
        <v>1318.0</v>
      </c>
    </row>
    <row r="1975">
      <c r="A1975" s="2" t="s">
        <v>25</v>
      </c>
      <c r="B1975" s="2" t="s">
        <v>38</v>
      </c>
      <c r="C1975" s="149">
        <v>916.0</v>
      </c>
    </row>
    <row r="1976">
      <c r="A1976" s="2" t="s">
        <v>25</v>
      </c>
      <c r="B1976" s="2" t="s">
        <v>61</v>
      </c>
      <c r="C1976" s="149">
        <v>1018.0</v>
      </c>
    </row>
    <row r="1977">
      <c r="A1977" s="2" t="s">
        <v>25</v>
      </c>
      <c r="B1977" s="2" t="s">
        <v>52</v>
      </c>
      <c r="C1977" s="149">
        <v>332.0</v>
      </c>
    </row>
    <row r="1978">
      <c r="A1978" s="2" t="s">
        <v>25</v>
      </c>
      <c r="B1978" s="2" t="s">
        <v>25</v>
      </c>
      <c r="C1978" s="149">
        <v>0.0</v>
      </c>
    </row>
    <row r="1979">
      <c r="A1979" s="2" t="s">
        <v>25</v>
      </c>
      <c r="B1979" s="2" t="s">
        <v>67</v>
      </c>
      <c r="C1979" s="149">
        <v>520.0</v>
      </c>
    </row>
    <row r="1980">
      <c r="A1980" s="2" t="s">
        <v>25</v>
      </c>
      <c r="B1980" s="2" t="s">
        <v>45</v>
      </c>
      <c r="C1980" s="149">
        <v>1224.0</v>
      </c>
    </row>
    <row r="1981">
      <c r="A1981" s="2" t="s">
        <v>25</v>
      </c>
      <c r="B1981" s="2" t="s">
        <v>53</v>
      </c>
      <c r="C1981" s="149">
        <v>382.0</v>
      </c>
    </row>
    <row r="1982">
      <c r="A1982" s="2" t="s">
        <v>25</v>
      </c>
      <c r="B1982" s="2" t="s">
        <v>26</v>
      </c>
      <c r="C1982" s="149">
        <v>140.0</v>
      </c>
    </row>
    <row r="1983">
      <c r="A1983" s="2" t="s">
        <v>25</v>
      </c>
      <c r="B1983" s="2" t="s">
        <v>28</v>
      </c>
      <c r="C1983" s="149">
        <v>532.0</v>
      </c>
    </row>
    <row r="1984">
      <c r="A1984" s="2" t="s">
        <v>25</v>
      </c>
      <c r="B1984" s="2" t="s">
        <v>55</v>
      </c>
      <c r="C1984" s="149">
        <v>2510.0</v>
      </c>
    </row>
    <row r="1985">
      <c r="A1985" s="2" t="s">
        <v>25</v>
      </c>
      <c r="B1985" s="2" t="s">
        <v>48</v>
      </c>
      <c r="C1985" s="149">
        <v>976.0</v>
      </c>
    </row>
    <row r="1986">
      <c r="A1986" s="2" t="s">
        <v>25</v>
      </c>
      <c r="B1986" s="2" t="s">
        <v>2035</v>
      </c>
      <c r="C1986" s="149">
        <v>2742.0</v>
      </c>
    </row>
    <row r="1987">
      <c r="A1987" s="2" t="s">
        <v>25</v>
      </c>
      <c r="B1987" s="2" t="s">
        <v>59</v>
      </c>
      <c r="C1987" s="149">
        <v>92.0</v>
      </c>
    </row>
    <row r="1988">
      <c r="A1988" s="2" t="s">
        <v>25</v>
      </c>
      <c r="B1988" s="2" t="s">
        <v>44</v>
      </c>
      <c r="C1988" s="149">
        <v>1256.0</v>
      </c>
    </row>
    <row r="1989">
      <c r="A1989" s="2" t="s">
        <v>25</v>
      </c>
      <c r="B1989" s="2" t="s">
        <v>2036</v>
      </c>
      <c r="C1989" s="149">
        <v>2682.0</v>
      </c>
    </row>
    <row r="1990">
      <c r="A1990" s="2" t="s">
        <v>25</v>
      </c>
      <c r="B1990" s="2" t="s">
        <v>2037</v>
      </c>
      <c r="C1990" s="149">
        <v>2646.0</v>
      </c>
    </row>
    <row r="1991">
      <c r="A1991" s="2" t="s">
        <v>67</v>
      </c>
      <c r="B1991" s="2" t="s">
        <v>18</v>
      </c>
      <c r="C1991" s="149">
        <v>1200.0</v>
      </c>
    </row>
    <row r="1992">
      <c r="A1992" s="2" t="s">
        <v>67</v>
      </c>
      <c r="B1992" s="2" t="s">
        <v>49</v>
      </c>
      <c r="C1992" s="149">
        <v>2274.0</v>
      </c>
    </row>
    <row r="1993">
      <c r="A1993" s="2" t="s">
        <v>67</v>
      </c>
      <c r="B1993" s="2" t="s">
        <v>22</v>
      </c>
      <c r="C1993" s="149">
        <v>1658.0</v>
      </c>
    </row>
    <row r="1994">
      <c r="A1994" s="2" t="s">
        <v>67</v>
      </c>
      <c r="B1994" s="2" t="s">
        <v>27</v>
      </c>
      <c r="C1994" s="149">
        <v>566.0</v>
      </c>
    </row>
    <row r="1995">
      <c r="A1995" s="2" t="s">
        <v>67</v>
      </c>
      <c r="B1995" s="2" t="s">
        <v>35</v>
      </c>
      <c r="C1995" s="149">
        <v>1952.0</v>
      </c>
    </row>
    <row r="1996">
      <c r="A1996" s="2" t="s">
        <v>67</v>
      </c>
      <c r="B1996" s="2" t="s">
        <v>41</v>
      </c>
      <c r="C1996" s="149">
        <v>1820.0</v>
      </c>
    </row>
    <row r="1997">
      <c r="A1997" s="2" t="s">
        <v>67</v>
      </c>
      <c r="B1997" s="2" t="s">
        <v>57</v>
      </c>
      <c r="C1997" s="149">
        <v>662.0</v>
      </c>
    </row>
    <row r="1998">
      <c r="A1998" s="2" t="s">
        <v>67</v>
      </c>
      <c r="B1998" s="2" t="s">
        <v>37</v>
      </c>
      <c r="C1998" s="149">
        <v>684.0</v>
      </c>
    </row>
    <row r="1999">
      <c r="A1999" s="2" t="s">
        <v>67</v>
      </c>
      <c r="B1999" s="2" t="s">
        <v>39</v>
      </c>
      <c r="C1999" s="149">
        <v>810.0</v>
      </c>
    </row>
    <row r="2000">
      <c r="A2000" s="2" t="s">
        <v>67</v>
      </c>
      <c r="B2000" s="2" t="s">
        <v>64</v>
      </c>
      <c r="C2000" s="149">
        <v>1584.0</v>
      </c>
    </row>
    <row r="2001">
      <c r="A2001" s="2" t="s">
        <v>67</v>
      </c>
      <c r="B2001" s="2" t="s">
        <v>65</v>
      </c>
      <c r="C2001" s="149">
        <v>1444.0</v>
      </c>
    </row>
    <row r="2002">
      <c r="A2002" s="2" t="s">
        <v>67</v>
      </c>
      <c r="B2002" s="2" t="s">
        <v>36</v>
      </c>
      <c r="C2002" s="149">
        <v>1944.0</v>
      </c>
    </row>
    <row r="2003">
      <c r="A2003" s="2" t="s">
        <v>67</v>
      </c>
      <c r="B2003" s="2" t="s">
        <v>31</v>
      </c>
      <c r="C2003" s="149">
        <v>734.0</v>
      </c>
    </row>
    <row r="2004">
      <c r="A2004" s="2" t="s">
        <v>67</v>
      </c>
      <c r="B2004" s="2" t="s">
        <v>43</v>
      </c>
      <c r="C2004" s="149">
        <v>1630.0</v>
      </c>
    </row>
    <row r="2005">
      <c r="A2005" s="2" t="s">
        <v>67</v>
      </c>
      <c r="B2005" s="2" t="s">
        <v>40</v>
      </c>
      <c r="C2005" s="149">
        <v>992.0</v>
      </c>
    </row>
    <row r="2006">
      <c r="A2006" s="2" t="s">
        <v>67</v>
      </c>
      <c r="B2006" s="2" t="s">
        <v>50</v>
      </c>
      <c r="C2006" s="149">
        <v>2404.0</v>
      </c>
    </row>
    <row r="2007">
      <c r="A2007" s="2" t="s">
        <v>67</v>
      </c>
      <c r="B2007" s="2" t="s">
        <v>51</v>
      </c>
      <c r="C2007" s="149">
        <v>412.0</v>
      </c>
    </row>
    <row r="2008">
      <c r="A2008" s="2" t="s">
        <v>67</v>
      </c>
      <c r="B2008" s="2" t="s">
        <v>23</v>
      </c>
      <c r="C2008" s="149">
        <v>1736.0</v>
      </c>
    </row>
    <row r="2009">
      <c r="A2009" s="2" t="s">
        <v>67</v>
      </c>
      <c r="B2009" s="2" t="s">
        <v>47</v>
      </c>
      <c r="C2009" s="149">
        <v>1192.0</v>
      </c>
    </row>
    <row r="2010">
      <c r="A2010" s="2" t="s">
        <v>67</v>
      </c>
      <c r="B2010" s="2" t="s">
        <v>62</v>
      </c>
      <c r="C2010" s="149">
        <v>1160.0</v>
      </c>
    </row>
    <row r="2011">
      <c r="A2011" s="2" t="s">
        <v>67</v>
      </c>
      <c r="B2011" s="2" t="s">
        <v>30</v>
      </c>
      <c r="C2011" s="149">
        <v>888.0</v>
      </c>
    </row>
    <row r="2012">
      <c r="A2012" s="2" t="s">
        <v>67</v>
      </c>
      <c r="B2012" s="2" t="s">
        <v>32</v>
      </c>
      <c r="C2012" s="149">
        <v>762.0</v>
      </c>
    </row>
    <row r="2013">
      <c r="A2013" s="2" t="s">
        <v>67</v>
      </c>
      <c r="B2013" s="2" t="s">
        <v>46</v>
      </c>
      <c r="C2013" s="149">
        <v>1352.0</v>
      </c>
    </row>
    <row r="2014">
      <c r="A2014" s="2" t="s">
        <v>67</v>
      </c>
      <c r="B2014" s="2" t="s">
        <v>54</v>
      </c>
      <c r="C2014" s="149">
        <v>1934.0</v>
      </c>
    </row>
    <row r="2015">
      <c r="A2015" s="2" t="s">
        <v>67</v>
      </c>
      <c r="B2015" s="2" t="s">
        <v>34</v>
      </c>
      <c r="C2015" s="149">
        <v>1300.0</v>
      </c>
    </row>
    <row r="2016">
      <c r="A2016" s="2" t="s">
        <v>67</v>
      </c>
      <c r="B2016" s="2" t="s">
        <v>20</v>
      </c>
      <c r="C2016" s="149">
        <v>1574.0</v>
      </c>
    </row>
    <row r="2017">
      <c r="A2017" s="2" t="s">
        <v>67</v>
      </c>
      <c r="B2017" s="2" t="s">
        <v>24</v>
      </c>
      <c r="C2017" s="149">
        <v>428.0</v>
      </c>
    </row>
    <row r="2018">
      <c r="A2018" s="2" t="s">
        <v>67</v>
      </c>
      <c r="B2018" s="2" t="s">
        <v>63</v>
      </c>
      <c r="C2018" s="149">
        <v>868.0</v>
      </c>
    </row>
    <row r="2019">
      <c r="A2019" s="2" t="s">
        <v>67</v>
      </c>
      <c r="B2019" s="2" t="s">
        <v>58</v>
      </c>
      <c r="C2019" s="149">
        <v>702.0</v>
      </c>
    </row>
    <row r="2020">
      <c r="A2020" s="2" t="s">
        <v>67</v>
      </c>
      <c r="B2020" s="2" t="s">
        <v>42</v>
      </c>
      <c r="C2020" s="149">
        <v>1660.0</v>
      </c>
    </row>
    <row r="2021">
      <c r="A2021" s="2" t="s">
        <v>67</v>
      </c>
      <c r="B2021" s="2" t="s">
        <v>21</v>
      </c>
      <c r="C2021" s="149">
        <v>1696.0</v>
      </c>
    </row>
    <row r="2022">
      <c r="A2022" s="2" t="s">
        <v>67</v>
      </c>
      <c r="B2022" s="2" t="s">
        <v>33</v>
      </c>
      <c r="C2022" s="149">
        <v>1234.0</v>
      </c>
    </row>
    <row r="2023">
      <c r="A2023" s="2" t="s">
        <v>67</v>
      </c>
      <c r="B2023" s="2" t="s">
        <v>66</v>
      </c>
      <c r="C2023" s="149">
        <v>1950.0</v>
      </c>
    </row>
    <row r="2024">
      <c r="A2024" s="2" t="s">
        <v>67</v>
      </c>
      <c r="B2024" s="2" t="s">
        <v>29</v>
      </c>
      <c r="C2024" s="149">
        <v>1086.0</v>
      </c>
    </row>
    <row r="2025">
      <c r="A2025" s="2" t="s">
        <v>67</v>
      </c>
      <c r="B2025" s="2" t="s">
        <v>60</v>
      </c>
      <c r="C2025" s="149">
        <v>1412.0</v>
      </c>
    </row>
    <row r="2026">
      <c r="A2026" s="2" t="s">
        <v>67</v>
      </c>
      <c r="B2026" s="2" t="s">
        <v>38</v>
      </c>
      <c r="C2026" s="149">
        <v>518.0</v>
      </c>
    </row>
    <row r="2027">
      <c r="A2027" s="2" t="s">
        <v>67</v>
      </c>
      <c r="B2027" s="2" t="s">
        <v>61</v>
      </c>
      <c r="C2027" s="149">
        <v>1110.0</v>
      </c>
    </row>
    <row r="2028">
      <c r="A2028" s="2" t="s">
        <v>67</v>
      </c>
      <c r="B2028" s="2" t="s">
        <v>52</v>
      </c>
      <c r="C2028" s="149">
        <v>566.0</v>
      </c>
    </row>
    <row r="2029">
      <c r="A2029" s="2" t="s">
        <v>67</v>
      </c>
      <c r="B2029" s="2" t="s">
        <v>25</v>
      </c>
      <c r="C2029" s="149">
        <v>520.0</v>
      </c>
    </row>
    <row r="2030">
      <c r="A2030" s="2" t="s">
        <v>67</v>
      </c>
      <c r="B2030" s="2" t="s">
        <v>67</v>
      </c>
      <c r="C2030" s="149">
        <v>0.0</v>
      </c>
    </row>
    <row r="2031">
      <c r="A2031" s="2" t="s">
        <v>67</v>
      </c>
      <c r="B2031" s="2" t="s">
        <v>45</v>
      </c>
      <c r="C2031" s="149">
        <v>1332.0</v>
      </c>
    </row>
    <row r="2032">
      <c r="A2032" s="2" t="s">
        <v>67</v>
      </c>
      <c r="B2032" s="2" t="s">
        <v>53</v>
      </c>
      <c r="C2032" s="149">
        <v>882.0</v>
      </c>
    </row>
    <row r="2033">
      <c r="A2033" s="2" t="s">
        <v>67</v>
      </c>
      <c r="B2033" s="2" t="s">
        <v>26</v>
      </c>
      <c r="C2033" s="149">
        <v>664.0</v>
      </c>
    </row>
    <row r="2034">
      <c r="A2034" s="2" t="s">
        <v>67</v>
      </c>
      <c r="B2034" s="2" t="s">
        <v>28</v>
      </c>
      <c r="C2034" s="149">
        <v>564.0</v>
      </c>
    </row>
    <row r="2035">
      <c r="A2035" s="2" t="s">
        <v>67</v>
      </c>
      <c r="B2035" s="2" t="s">
        <v>55</v>
      </c>
      <c r="C2035" s="149">
        <v>2568.0</v>
      </c>
    </row>
    <row r="2036">
      <c r="A2036" s="2" t="s">
        <v>67</v>
      </c>
      <c r="B2036" s="2" t="s">
        <v>48</v>
      </c>
      <c r="C2036" s="149">
        <v>1084.0</v>
      </c>
    </row>
    <row r="2037">
      <c r="A2037" s="2" t="s">
        <v>67</v>
      </c>
      <c r="B2037" s="2" t="s">
        <v>2035</v>
      </c>
      <c r="C2037" s="149">
        <v>2800.0</v>
      </c>
    </row>
    <row r="2038">
      <c r="A2038" s="2" t="s">
        <v>67</v>
      </c>
      <c r="B2038" s="2" t="s">
        <v>59</v>
      </c>
      <c r="C2038" s="149">
        <v>602.0</v>
      </c>
    </row>
    <row r="2039">
      <c r="A2039" s="2" t="s">
        <v>67</v>
      </c>
      <c r="B2039" s="2" t="s">
        <v>44</v>
      </c>
      <c r="C2039" s="149">
        <v>1350.0</v>
      </c>
    </row>
    <row r="2040">
      <c r="A2040" s="2" t="s">
        <v>67</v>
      </c>
      <c r="B2040" s="2" t="s">
        <v>2036</v>
      </c>
      <c r="C2040" s="149">
        <v>2798.0</v>
      </c>
    </row>
    <row r="2041">
      <c r="A2041" s="2" t="s">
        <v>67</v>
      </c>
      <c r="B2041" s="2" t="s">
        <v>2037</v>
      </c>
      <c r="C2041" s="149">
        <v>2598.0</v>
      </c>
    </row>
    <row r="2042">
      <c r="A2042" s="2" t="s">
        <v>45</v>
      </c>
      <c r="B2042" s="2" t="s">
        <v>18</v>
      </c>
      <c r="C2042" s="149">
        <v>274.0</v>
      </c>
    </row>
    <row r="2043">
      <c r="A2043" s="2" t="s">
        <v>45</v>
      </c>
      <c r="B2043" s="2" t="s">
        <v>49</v>
      </c>
      <c r="C2043" s="149">
        <v>1934.0</v>
      </c>
    </row>
    <row r="2044">
      <c r="A2044" s="2" t="s">
        <v>45</v>
      </c>
      <c r="B2044" s="2" t="s">
        <v>22</v>
      </c>
      <c r="C2044" s="149">
        <v>1182.0</v>
      </c>
    </row>
    <row r="2045">
      <c r="A2045" s="2" t="s">
        <v>45</v>
      </c>
      <c r="B2045" s="2" t="s">
        <v>27</v>
      </c>
      <c r="C2045" s="149">
        <v>922.0</v>
      </c>
    </row>
    <row r="2046">
      <c r="A2046" s="2" t="s">
        <v>45</v>
      </c>
      <c r="B2046" s="2" t="s">
        <v>35</v>
      </c>
      <c r="C2046" s="149">
        <v>602.0</v>
      </c>
    </row>
    <row r="2047">
      <c r="A2047" s="2" t="s">
        <v>45</v>
      </c>
      <c r="B2047" s="2" t="s">
        <v>41</v>
      </c>
      <c r="C2047" s="149">
        <v>468.0</v>
      </c>
    </row>
    <row r="2048">
      <c r="A2048" s="2" t="s">
        <v>45</v>
      </c>
      <c r="B2048" s="2" t="s">
        <v>57</v>
      </c>
      <c r="C2048" s="149">
        <v>1366.0</v>
      </c>
    </row>
    <row r="2049">
      <c r="A2049" s="2" t="s">
        <v>45</v>
      </c>
      <c r="B2049" s="2" t="s">
        <v>37</v>
      </c>
      <c r="C2049" s="149">
        <v>808.0</v>
      </c>
    </row>
    <row r="2050">
      <c r="A2050" s="2" t="s">
        <v>45</v>
      </c>
      <c r="B2050" s="2" t="s">
        <v>39</v>
      </c>
      <c r="C2050" s="149">
        <v>786.0</v>
      </c>
    </row>
    <row r="2051">
      <c r="A2051" s="2" t="s">
        <v>45</v>
      </c>
      <c r="B2051" s="2" t="s">
        <v>64</v>
      </c>
      <c r="C2051" s="149">
        <v>234.0</v>
      </c>
    </row>
    <row r="2052">
      <c r="A2052" s="2" t="s">
        <v>45</v>
      </c>
      <c r="B2052" s="2" t="s">
        <v>65</v>
      </c>
      <c r="C2052" s="149">
        <v>108.0</v>
      </c>
    </row>
    <row r="2053">
      <c r="A2053" s="2" t="s">
        <v>45</v>
      </c>
      <c r="B2053" s="2" t="s">
        <v>36</v>
      </c>
      <c r="C2053" s="149">
        <v>594.0</v>
      </c>
    </row>
    <row r="2054">
      <c r="A2054" s="2" t="s">
        <v>45</v>
      </c>
      <c r="B2054" s="2" t="s">
        <v>31</v>
      </c>
      <c r="C2054" s="149">
        <v>1202.0</v>
      </c>
    </row>
    <row r="2055">
      <c r="A2055" s="2" t="s">
        <v>45</v>
      </c>
      <c r="B2055" s="2" t="s">
        <v>43</v>
      </c>
      <c r="C2055" s="149">
        <v>286.0</v>
      </c>
    </row>
    <row r="2056">
      <c r="A2056" s="2" t="s">
        <v>45</v>
      </c>
      <c r="B2056" s="2" t="s">
        <v>40</v>
      </c>
      <c r="C2056" s="149">
        <v>600.0</v>
      </c>
    </row>
    <row r="2057">
      <c r="A2057" s="2" t="s">
        <v>45</v>
      </c>
      <c r="B2057" s="2" t="s">
        <v>50</v>
      </c>
      <c r="C2057" s="149">
        <v>1928.0</v>
      </c>
    </row>
    <row r="2058">
      <c r="A2058" s="2" t="s">
        <v>45</v>
      </c>
      <c r="B2058" s="2" t="s">
        <v>51</v>
      </c>
      <c r="C2058" s="149">
        <v>940.0</v>
      </c>
    </row>
    <row r="2059">
      <c r="A2059" s="2" t="s">
        <v>45</v>
      </c>
      <c r="B2059" s="2" t="s">
        <v>23</v>
      </c>
      <c r="C2059" s="149">
        <v>1260.0</v>
      </c>
    </row>
    <row r="2060">
      <c r="A2060" s="2" t="s">
        <v>45</v>
      </c>
      <c r="B2060" s="2" t="s">
        <v>47</v>
      </c>
      <c r="C2060" s="149">
        <v>218.0</v>
      </c>
    </row>
    <row r="2061">
      <c r="A2061" s="2" t="s">
        <v>45</v>
      </c>
      <c r="B2061" s="2" t="s">
        <v>62</v>
      </c>
      <c r="C2061" s="149">
        <v>232.0</v>
      </c>
    </row>
    <row r="2062">
      <c r="A2062" s="2" t="s">
        <v>45</v>
      </c>
      <c r="B2062" s="2" t="s">
        <v>30</v>
      </c>
      <c r="C2062" s="149">
        <v>888.0</v>
      </c>
    </row>
    <row r="2063">
      <c r="A2063" s="2" t="s">
        <v>45</v>
      </c>
      <c r="B2063" s="2" t="s">
        <v>32</v>
      </c>
      <c r="C2063" s="149">
        <v>964.0</v>
      </c>
    </row>
    <row r="2064">
      <c r="A2064" s="2" t="s">
        <v>45</v>
      </c>
      <c r="B2064" s="2" t="s">
        <v>46</v>
      </c>
      <c r="C2064" s="149">
        <v>2.0</v>
      </c>
    </row>
    <row r="2065">
      <c r="A2065" s="2" t="s">
        <v>45</v>
      </c>
      <c r="B2065" s="2" t="s">
        <v>54</v>
      </c>
      <c r="C2065" s="149">
        <v>1460.0</v>
      </c>
    </row>
    <row r="2066">
      <c r="A2066" s="2" t="s">
        <v>45</v>
      </c>
      <c r="B2066" s="2" t="s">
        <v>34</v>
      </c>
      <c r="C2066" s="149">
        <v>488.0</v>
      </c>
    </row>
    <row r="2067">
      <c r="A2067" s="2" t="s">
        <v>45</v>
      </c>
      <c r="B2067" s="2" t="s">
        <v>20</v>
      </c>
      <c r="C2067" s="149">
        <v>1260.0</v>
      </c>
    </row>
    <row r="2068">
      <c r="A2068" s="2" t="s">
        <v>45</v>
      </c>
      <c r="B2068" s="2" t="s">
        <v>24</v>
      </c>
      <c r="C2068" s="149">
        <v>1110.0</v>
      </c>
    </row>
    <row r="2069">
      <c r="A2069" s="2" t="s">
        <v>45</v>
      </c>
      <c r="B2069" s="2" t="s">
        <v>63</v>
      </c>
      <c r="C2069" s="149">
        <v>542.0</v>
      </c>
    </row>
    <row r="2070">
      <c r="A2070" s="2" t="s">
        <v>45</v>
      </c>
      <c r="B2070" s="2" t="s">
        <v>58</v>
      </c>
      <c r="C2070" s="149">
        <v>1404.0</v>
      </c>
    </row>
    <row r="2071">
      <c r="A2071" s="2" t="s">
        <v>45</v>
      </c>
      <c r="B2071" s="2" t="s">
        <v>42</v>
      </c>
      <c r="C2071" s="149">
        <v>308.0</v>
      </c>
    </row>
    <row r="2072">
      <c r="A2072" s="2" t="s">
        <v>45</v>
      </c>
      <c r="B2072" s="2" t="s">
        <v>21</v>
      </c>
      <c r="C2072" s="149">
        <v>1234.0</v>
      </c>
    </row>
    <row r="2073">
      <c r="A2073" s="2" t="s">
        <v>45</v>
      </c>
      <c r="B2073" s="2" t="s">
        <v>33</v>
      </c>
      <c r="C2073" s="149">
        <v>966.0</v>
      </c>
    </row>
    <row r="2074">
      <c r="A2074" s="2" t="s">
        <v>45</v>
      </c>
      <c r="B2074" s="2" t="s">
        <v>66</v>
      </c>
      <c r="C2074" s="149">
        <v>650.0</v>
      </c>
    </row>
    <row r="2075">
      <c r="A2075" s="2" t="s">
        <v>45</v>
      </c>
      <c r="B2075" s="2" t="s">
        <v>29</v>
      </c>
      <c r="C2075" s="149">
        <v>1602.0</v>
      </c>
    </row>
    <row r="2076">
      <c r="A2076" s="2" t="s">
        <v>45</v>
      </c>
      <c r="B2076" s="2" t="s">
        <v>60</v>
      </c>
      <c r="C2076" s="149">
        <v>624.0</v>
      </c>
    </row>
    <row r="2077">
      <c r="A2077" s="2" t="s">
        <v>45</v>
      </c>
      <c r="B2077" s="2" t="s">
        <v>38</v>
      </c>
      <c r="C2077" s="149">
        <v>1060.0</v>
      </c>
    </row>
    <row r="2078">
      <c r="A2078" s="2" t="s">
        <v>45</v>
      </c>
      <c r="B2078" s="2" t="s">
        <v>61</v>
      </c>
      <c r="C2078" s="149">
        <v>298.0</v>
      </c>
    </row>
    <row r="2079">
      <c r="A2079" s="2" t="s">
        <v>45</v>
      </c>
      <c r="B2079" s="2" t="s">
        <v>52</v>
      </c>
      <c r="C2079" s="149">
        <v>1116.0</v>
      </c>
    </row>
    <row r="2080">
      <c r="A2080" s="2" t="s">
        <v>45</v>
      </c>
      <c r="B2080" s="2" t="s">
        <v>25</v>
      </c>
      <c r="C2080" s="149">
        <v>1224.0</v>
      </c>
    </row>
    <row r="2081">
      <c r="A2081" s="2" t="s">
        <v>45</v>
      </c>
      <c r="B2081" s="2" t="s">
        <v>67</v>
      </c>
      <c r="C2081" s="149">
        <v>1332.0</v>
      </c>
    </row>
    <row r="2082">
      <c r="A2082" s="2" t="s">
        <v>45</v>
      </c>
      <c r="B2082" s="2" t="s">
        <v>45</v>
      </c>
      <c r="C2082" s="149">
        <v>0.0</v>
      </c>
    </row>
    <row r="2083">
      <c r="A2083" s="2" t="s">
        <v>45</v>
      </c>
      <c r="B2083" s="2" t="s">
        <v>53</v>
      </c>
      <c r="C2083" s="149">
        <v>1488.0</v>
      </c>
    </row>
    <row r="2084">
      <c r="A2084" s="2" t="s">
        <v>45</v>
      </c>
      <c r="B2084" s="2" t="s">
        <v>26</v>
      </c>
      <c r="C2084" s="149">
        <v>1386.0</v>
      </c>
    </row>
    <row r="2085">
      <c r="A2085" s="2" t="s">
        <v>45</v>
      </c>
      <c r="B2085" s="2" t="s">
        <v>28</v>
      </c>
      <c r="C2085" s="149">
        <v>932.0</v>
      </c>
    </row>
    <row r="2086">
      <c r="A2086" s="2" t="s">
        <v>45</v>
      </c>
      <c r="B2086" s="2" t="s">
        <v>55</v>
      </c>
      <c r="C2086" s="149">
        <v>1916.0</v>
      </c>
    </row>
    <row r="2087">
      <c r="A2087" s="2" t="s">
        <v>45</v>
      </c>
      <c r="B2087" s="2" t="s">
        <v>48</v>
      </c>
      <c r="C2087" s="149">
        <v>302.0</v>
      </c>
    </row>
    <row r="2088">
      <c r="A2088" s="2" t="s">
        <v>45</v>
      </c>
      <c r="B2088" s="2" t="s">
        <v>2035</v>
      </c>
      <c r="C2088" s="149">
        <v>2148.0</v>
      </c>
    </row>
    <row r="2089">
      <c r="A2089" s="2" t="s">
        <v>45</v>
      </c>
      <c r="B2089" s="2" t="s">
        <v>59</v>
      </c>
      <c r="C2089" s="149">
        <v>1306.0</v>
      </c>
    </row>
    <row r="2090">
      <c r="A2090" s="2" t="s">
        <v>45</v>
      </c>
      <c r="B2090" s="2" t="s">
        <v>44</v>
      </c>
      <c r="C2090" s="149">
        <v>394.0</v>
      </c>
    </row>
    <row r="2091">
      <c r="A2091" s="2" t="s">
        <v>45</v>
      </c>
      <c r="B2091" s="2" t="s">
        <v>2036</v>
      </c>
      <c r="C2091" s="149">
        <v>2058.0</v>
      </c>
    </row>
    <row r="2092">
      <c r="A2092" s="2" t="s">
        <v>45</v>
      </c>
      <c r="B2092" s="2" t="s">
        <v>2037</v>
      </c>
      <c r="C2092" s="149">
        <v>2128.0</v>
      </c>
    </row>
    <row r="2093">
      <c r="A2093" s="2" t="s">
        <v>53</v>
      </c>
      <c r="B2093" s="2" t="s">
        <v>18</v>
      </c>
      <c r="C2093" s="149">
        <v>1378.0</v>
      </c>
    </row>
    <row r="2094">
      <c r="A2094" s="2" t="s">
        <v>53</v>
      </c>
      <c r="B2094" s="2" t="s">
        <v>49</v>
      </c>
      <c r="C2094" s="149">
        <v>2572.0</v>
      </c>
    </row>
    <row r="2095">
      <c r="A2095" s="2" t="s">
        <v>53</v>
      </c>
      <c r="B2095" s="2" t="s">
        <v>22</v>
      </c>
      <c r="C2095" s="149">
        <v>1956.0</v>
      </c>
    </row>
    <row r="2096">
      <c r="A2096" s="2" t="s">
        <v>53</v>
      </c>
      <c r="B2096" s="2" t="s">
        <v>27</v>
      </c>
      <c r="C2096" s="149">
        <v>814.0</v>
      </c>
    </row>
    <row r="2097">
      <c r="A2097" s="2" t="s">
        <v>53</v>
      </c>
      <c r="B2097" s="2" t="s">
        <v>35</v>
      </c>
      <c r="C2097" s="149">
        <v>2088.0</v>
      </c>
    </row>
    <row r="2098">
      <c r="A2098" s="2" t="s">
        <v>53</v>
      </c>
      <c r="B2098" s="2" t="s">
        <v>41</v>
      </c>
      <c r="C2098" s="149">
        <v>1954.0</v>
      </c>
    </row>
    <row r="2099">
      <c r="A2099" s="2" t="s">
        <v>53</v>
      </c>
      <c r="B2099" s="2" t="s">
        <v>57</v>
      </c>
      <c r="C2099" s="149">
        <v>434.0</v>
      </c>
    </row>
    <row r="2100">
      <c r="A2100" s="2" t="s">
        <v>53</v>
      </c>
      <c r="B2100" s="2" t="s">
        <v>37</v>
      </c>
      <c r="C2100" s="149">
        <v>1042.0</v>
      </c>
    </row>
    <row r="2101">
      <c r="A2101" s="2" t="s">
        <v>53</v>
      </c>
      <c r="B2101" s="2" t="s">
        <v>39</v>
      </c>
      <c r="C2101" s="149">
        <v>1108.0</v>
      </c>
    </row>
    <row r="2102">
      <c r="A2102" s="2" t="s">
        <v>53</v>
      </c>
      <c r="B2102" s="2" t="s">
        <v>64</v>
      </c>
      <c r="C2102" s="149">
        <v>1720.0</v>
      </c>
    </row>
    <row r="2103">
      <c r="A2103" s="2" t="s">
        <v>53</v>
      </c>
      <c r="B2103" s="2" t="s">
        <v>65</v>
      </c>
      <c r="C2103" s="149">
        <v>1594.0</v>
      </c>
    </row>
    <row r="2104">
      <c r="A2104" s="2" t="s">
        <v>53</v>
      </c>
      <c r="B2104" s="2" t="s">
        <v>36</v>
      </c>
      <c r="C2104" s="149">
        <v>2078.0</v>
      </c>
    </row>
    <row r="2105">
      <c r="A2105" s="2" t="s">
        <v>53</v>
      </c>
      <c r="B2105" s="2" t="s">
        <v>31</v>
      </c>
      <c r="C2105" s="149">
        <v>362.0</v>
      </c>
    </row>
    <row r="2106">
      <c r="A2106" s="2" t="s">
        <v>53</v>
      </c>
      <c r="B2106" s="2" t="s">
        <v>43</v>
      </c>
      <c r="C2106" s="149">
        <v>1772.0</v>
      </c>
    </row>
    <row r="2107">
      <c r="A2107" s="2" t="s">
        <v>53</v>
      </c>
      <c r="B2107" s="2" t="s">
        <v>40</v>
      </c>
      <c r="C2107" s="149">
        <v>1168.0</v>
      </c>
    </row>
    <row r="2108">
      <c r="A2108" s="2" t="s">
        <v>53</v>
      </c>
      <c r="B2108" s="2" t="s">
        <v>50</v>
      </c>
      <c r="C2108" s="149">
        <v>2702.0</v>
      </c>
    </row>
    <row r="2109">
      <c r="A2109" s="2" t="s">
        <v>53</v>
      </c>
      <c r="B2109" s="2" t="s">
        <v>51</v>
      </c>
      <c r="C2109" s="149">
        <v>664.0</v>
      </c>
    </row>
    <row r="2110">
      <c r="A2110" s="2" t="s">
        <v>53</v>
      </c>
      <c r="B2110" s="2" t="s">
        <v>23</v>
      </c>
      <c r="C2110" s="149">
        <v>2034.0</v>
      </c>
    </row>
    <row r="2111">
      <c r="A2111" s="2" t="s">
        <v>53</v>
      </c>
      <c r="B2111" s="2" t="s">
        <v>47</v>
      </c>
      <c r="C2111" s="149">
        <v>1296.0</v>
      </c>
    </row>
    <row r="2112">
      <c r="A2112" s="2" t="s">
        <v>53</v>
      </c>
      <c r="B2112" s="2" t="s">
        <v>62</v>
      </c>
      <c r="C2112" s="149">
        <v>1338.0</v>
      </c>
    </row>
    <row r="2113">
      <c r="A2113" s="2" t="s">
        <v>53</v>
      </c>
      <c r="B2113" s="2" t="s">
        <v>30</v>
      </c>
      <c r="C2113" s="149">
        <v>658.0</v>
      </c>
    </row>
    <row r="2114">
      <c r="A2114" s="2" t="s">
        <v>53</v>
      </c>
      <c r="B2114" s="2" t="s">
        <v>32</v>
      </c>
      <c r="C2114" s="149">
        <v>514.0</v>
      </c>
    </row>
    <row r="2115">
      <c r="A2115" s="2" t="s">
        <v>53</v>
      </c>
      <c r="B2115" s="2" t="s">
        <v>46</v>
      </c>
      <c r="C2115" s="149">
        <v>1488.0</v>
      </c>
    </row>
    <row r="2116">
      <c r="A2116" s="2" t="s">
        <v>53</v>
      </c>
      <c r="B2116" s="2" t="s">
        <v>54</v>
      </c>
      <c r="C2116" s="149">
        <v>2234.0</v>
      </c>
    </row>
    <row r="2117">
      <c r="A2117" s="2" t="s">
        <v>53</v>
      </c>
      <c r="B2117" s="2" t="s">
        <v>34</v>
      </c>
      <c r="C2117" s="149">
        <v>1476.0</v>
      </c>
    </row>
    <row r="2118">
      <c r="A2118" s="2" t="s">
        <v>53</v>
      </c>
      <c r="B2118" s="2" t="s">
        <v>20</v>
      </c>
      <c r="C2118" s="149">
        <v>1872.0</v>
      </c>
    </row>
    <row r="2119">
      <c r="A2119" s="2" t="s">
        <v>53</v>
      </c>
      <c r="B2119" s="2" t="s">
        <v>24</v>
      </c>
      <c r="C2119" s="149">
        <v>482.0</v>
      </c>
    </row>
    <row r="2120">
      <c r="A2120" s="2" t="s">
        <v>53</v>
      </c>
      <c r="B2120" s="2" t="s">
        <v>63</v>
      </c>
      <c r="C2120" s="149">
        <v>956.0</v>
      </c>
    </row>
    <row r="2121">
      <c r="A2121" s="2" t="s">
        <v>53</v>
      </c>
      <c r="B2121" s="2" t="s">
        <v>58</v>
      </c>
      <c r="C2121" s="149">
        <v>434.0</v>
      </c>
    </row>
    <row r="2122">
      <c r="A2122" s="2" t="s">
        <v>53</v>
      </c>
      <c r="B2122" s="2" t="s">
        <v>42</v>
      </c>
      <c r="C2122" s="149">
        <v>1794.0</v>
      </c>
    </row>
    <row r="2123">
      <c r="A2123" s="2" t="s">
        <v>53</v>
      </c>
      <c r="B2123" s="2" t="s">
        <v>21</v>
      </c>
      <c r="C2123" s="149">
        <v>1994.0</v>
      </c>
    </row>
    <row r="2124">
      <c r="A2124" s="2" t="s">
        <v>53</v>
      </c>
      <c r="B2124" s="2" t="s">
        <v>33</v>
      </c>
      <c r="C2124" s="149">
        <v>1532.0</v>
      </c>
    </row>
    <row r="2125">
      <c r="A2125" s="2" t="s">
        <v>53</v>
      </c>
      <c r="B2125" s="2" t="s">
        <v>66</v>
      </c>
      <c r="C2125" s="149">
        <v>2128.0</v>
      </c>
    </row>
    <row r="2126">
      <c r="A2126" s="2" t="s">
        <v>53</v>
      </c>
      <c r="B2126" s="2" t="s">
        <v>29</v>
      </c>
      <c r="C2126" s="149">
        <v>1804.0</v>
      </c>
    </row>
    <row r="2127">
      <c r="A2127" s="2" t="s">
        <v>53</v>
      </c>
      <c r="B2127" s="2" t="s">
        <v>60</v>
      </c>
      <c r="C2127" s="149">
        <v>1588.0</v>
      </c>
    </row>
    <row r="2128">
      <c r="A2128" s="2" t="s">
        <v>53</v>
      </c>
      <c r="B2128" s="2" t="s">
        <v>38</v>
      </c>
      <c r="C2128" s="149">
        <v>1262.0</v>
      </c>
    </row>
    <row r="2129">
      <c r="A2129" s="2" t="s">
        <v>53</v>
      </c>
      <c r="B2129" s="2" t="s">
        <v>61</v>
      </c>
      <c r="C2129" s="149">
        <v>1288.0</v>
      </c>
    </row>
    <row r="2130">
      <c r="A2130" s="2" t="s">
        <v>53</v>
      </c>
      <c r="B2130" s="2" t="s">
        <v>52</v>
      </c>
      <c r="C2130" s="149">
        <v>562.0</v>
      </c>
    </row>
    <row r="2131">
      <c r="A2131" s="2" t="s">
        <v>53</v>
      </c>
      <c r="B2131" s="2" t="s">
        <v>25</v>
      </c>
      <c r="C2131" s="149">
        <v>382.0</v>
      </c>
    </row>
    <row r="2132">
      <c r="A2132" s="2" t="s">
        <v>53</v>
      </c>
      <c r="B2132" s="2" t="s">
        <v>67</v>
      </c>
      <c r="C2132" s="149">
        <v>882.0</v>
      </c>
    </row>
    <row r="2133">
      <c r="A2133" s="2" t="s">
        <v>53</v>
      </c>
      <c r="B2133" s="2" t="s">
        <v>45</v>
      </c>
      <c r="C2133" s="149">
        <v>1488.0</v>
      </c>
    </row>
    <row r="2134">
      <c r="A2134" s="2" t="s">
        <v>53</v>
      </c>
      <c r="B2134" s="2" t="s">
        <v>53</v>
      </c>
      <c r="C2134" s="149">
        <v>0.0</v>
      </c>
    </row>
    <row r="2135">
      <c r="A2135" s="2" t="s">
        <v>53</v>
      </c>
      <c r="B2135" s="2" t="s">
        <v>26</v>
      </c>
      <c r="C2135" s="149">
        <v>478.0</v>
      </c>
    </row>
    <row r="2136">
      <c r="A2136" s="2" t="s">
        <v>53</v>
      </c>
      <c r="B2136" s="2" t="s">
        <v>28</v>
      </c>
      <c r="C2136" s="149">
        <v>896.0</v>
      </c>
    </row>
    <row r="2137">
      <c r="A2137" s="2" t="s">
        <v>53</v>
      </c>
      <c r="B2137" s="2" t="s">
        <v>55</v>
      </c>
      <c r="C2137" s="149">
        <v>2828.0</v>
      </c>
    </row>
    <row r="2138">
      <c r="A2138" s="2" t="s">
        <v>53</v>
      </c>
      <c r="B2138" s="2" t="s">
        <v>48</v>
      </c>
      <c r="C2138" s="149">
        <v>1190.0</v>
      </c>
    </row>
    <row r="2139">
      <c r="A2139" s="2" t="s">
        <v>53</v>
      </c>
      <c r="B2139" s="2" t="s">
        <v>2035</v>
      </c>
      <c r="C2139" s="149">
        <v>120.0</v>
      </c>
    </row>
    <row r="2140">
      <c r="A2140" s="2" t="s">
        <v>53</v>
      </c>
      <c r="B2140" s="2" t="s">
        <v>59</v>
      </c>
      <c r="C2140" s="149">
        <v>374.0</v>
      </c>
    </row>
    <row r="2141">
      <c r="A2141" s="2" t="s">
        <v>53</v>
      </c>
      <c r="B2141" s="2" t="s">
        <v>44</v>
      </c>
      <c r="C2141" s="149">
        <v>1528.0</v>
      </c>
    </row>
    <row r="2142">
      <c r="A2142" s="2" t="s">
        <v>53</v>
      </c>
      <c r="B2142" s="2" t="s">
        <v>2036</v>
      </c>
      <c r="C2142" s="149">
        <v>120.0</v>
      </c>
    </row>
    <row r="2143">
      <c r="A2143" s="2" t="s">
        <v>53</v>
      </c>
      <c r="B2143" s="2" t="s">
        <v>2037</v>
      </c>
      <c r="C2143" s="149">
        <v>120.0</v>
      </c>
    </row>
    <row r="2144">
      <c r="A2144" s="2" t="s">
        <v>26</v>
      </c>
      <c r="B2144" s="2" t="s">
        <v>18</v>
      </c>
      <c r="C2144" s="149">
        <v>1212.0</v>
      </c>
    </row>
    <row r="2145">
      <c r="A2145" s="2" t="s">
        <v>26</v>
      </c>
      <c r="B2145" s="2" t="s">
        <v>49</v>
      </c>
      <c r="C2145" s="149">
        <v>2352.0</v>
      </c>
    </row>
    <row r="2146">
      <c r="A2146" s="2" t="s">
        <v>26</v>
      </c>
      <c r="B2146" s="2" t="s">
        <v>22</v>
      </c>
      <c r="C2146" s="149">
        <v>1734.0</v>
      </c>
    </row>
    <row r="2147">
      <c r="A2147" s="2" t="s">
        <v>26</v>
      </c>
      <c r="B2147" s="2" t="s">
        <v>27</v>
      </c>
      <c r="C2147" s="149">
        <v>592.0</v>
      </c>
    </row>
    <row r="2148">
      <c r="A2148" s="2" t="s">
        <v>26</v>
      </c>
      <c r="B2148" s="2" t="s">
        <v>35</v>
      </c>
      <c r="C2148" s="149">
        <v>1986.0</v>
      </c>
    </row>
    <row r="2149">
      <c r="A2149" s="2" t="s">
        <v>26</v>
      </c>
      <c r="B2149" s="2" t="s">
        <v>41</v>
      </c>
      <c r="C2149" s="149">
        <v>1852.0</v>
      </c>
    </row>
    <row r="2150">
      <c r="A2150" s="2" t="s">
        <v>26</v>
      </c>
      <c r="B2150" s="2" t="s">
        <v>57</v>
      </c>
      <c r="C2150" s="149">
        <v>154.0</v>
      </c>
    </row>
    <row r="2151">
      <c r="A2151" s="2" t="s">
        <v>26</v>
      </c>
      <c r="B2151" s="2" t="s">
        <v>37</v>
      </c>
      <c r="C2151" s="149">
        <v>820.0</v>
      </c>
    </row>
    <row r="2152">
      <c r="A2152" s="2" t="s">
        <v>26</v>
      </c>
      <c r="B2152" s="2" t="s">
        <v>39</v>
      </c>
      <c r="C2152" s="149">
        <v>888.0</v>
      </c>
    </row>
    <row r="2153">
      <c r="A2153" s="2" t="s">
        <v>26</v>
      </c>
      <c r="B2153" s="2" t="s">
        <v>64</v>
      </c>
      <c r="C2153" s="149">
        <v>1618.0</v>
      </c>
    </row>
    <row r="2154">
      <c r="A2154" s="2" t="s">
        <v>26</v>
      </c>
      <c r="B2154" s="2" t="s">
        <v>65</v>
      </c>
      <c r="C2154" s="149">
        <v>1478.0</v>
      </c>
    </row>
    <row r="2155">
      <c r="A2155" s="2" t="s">
        <v>26</v>
      </c>
      <c r="B2155" s="2" t="s">
        <v>36</v>
      </c>
      <c r="C2155" s="149">
        <v>1978.0</v>
      </c>
    </row>
    <row r="2156">
      <c r="A2156" s="2" t="s">
        <v>26</v>
      </c>
      <c r="B2156" s="2" t="s">
        <v>31</v>
      </c>
      <c r="C2156" s="149">
        <v>328.0</v>
      </c>
    </row>
    <row r="2157">
      <c r="A2157" s="2" t="s">
        <v>26</v>
      </c>
      <c r="B2157" s="2" t="s">
        <v>43</v>
      </c>
      <c r="C2157" s="149">
        <v>1664.0</v>
      </c>
    </row>
    <row r="2158">
      <c r="A2158" s="2" t="s">
        <v>26</v>
      </c>
      <c r="B2158" s="2" t="s">
        <v>40</v>
      </c>
      <c r="C2158" s="149">
        <v>1024.0</v>
      </c>
    </row>
    <row r="2159">
      <c r="A2159" s="2" t="s">
        <v>26</v>
      </c>
      <c r="B2159" s="2" t="s">
        <v>50</v>
      </c>
      <c r="C2159" s="149">
        <v>2482.0</v>
      </c>
    </row>
    <row r="2160">
      <c r="A2160" s="2" t="s">
        <v>26</v>
      </c>
      <c r="B2160" s="2" t="s">
        <v>51</v>
      </c>
      <c r="C2160" s="149">
        <v>444.0</v>
      </c>
    </row>
    <row r="2161">
      <c r="A2161" s="2" t="s">
        <v>26</v>
      </c>
      <c r="B2161" s="2" t="s">
        <v>23</v>
      </c>
      <c r="C2161" s="149">
        <v>1814.0</v>
      </c>
    </row>
    <row r="2162">
      <c r="A2162" s="2" t="s">
        <v>26</v>
      </c>
      <c r="B2162" s="2" t="s">
        <v>47</v>
      </c>
      <c r="C2162" s="149">
        <v>1224.0</v>
      </c>
    </row>
    <row r="2163">
      <c r="A2163" s="2" t="s">
        <v>26</v>
      </c>
      <c r="B2163" s="2" t="s">
        <v>62</v>
      </c>
      <c r="C2163" s="149">
        <v>1194.0</v>
      </c>
    </row>
    <row r="2164">
      <c r="A2164" s="2" t="s">
        <v>26</v>
      </c>
      <c r="B2164" s="2" t="s">
        <v>30</v>
      </c>
      <c r="C2164" s="149">
        <v>622.0</v>
      </c>
    </row>
    <row r="2165">
      <c r="A2165" s="2" t="s">
        <v>26</v>
      </c>
      <c r="B2165" s="2" t="s">
        <v>32</v>
      </c>
      <c r="C2165" s="149">
        <v>480.0</v>
      </c>
    </row>
    <row r="2166">
      <c r="A2166" s="2" t="s">
        <v>26</v>
      </c>
      <c r="B2166" s="2" t="s">
        <v>46</v>
      </c>
      <c r="C2166" s="149">
        <v>1386.0</v>
      </c>
    </row>
    <row r="2167">
      <c r="A2167" s="2" t="s">
        <v>26</v>
      </c>
      <c r="B2167" s="2" t="s">
        <v>54</v>
      </c>
      <c r="C2167" s="149">
        <v>2012.0</v>
      </c>
    </row>
    <row r="2168">
      <c r="A2168" s="2" t="s">
        <v>26</v>
      </c>
      <c r="B2168" s="2" t="s">
        <v>34</v>
      </c>
      <c r="C2168" s="149">
        <v>1332.0</v>
      </c>
    </row>
    <row r="2169">
      <c r="A2169" s="2" t="s">
        <v>26</v>
      </c>
      <c r="B2169" s="2" t="s">
        <v>20</v>
      </c>
      <c r="C2169" s="149">
        <v>1652.0</v>
      </c>
    </row>
    <row r="2170">
      <c r="A2170" s="2" t="s">
        <v>26</v>
      </c>
      <c r="B2170" s="2" t="s">
        <v>24</v>
      </c>
      <c r="C2170" s="149">
        <v>262.0</v>
      </c>
    </row>
    <row r="2171">
      <c r="A2171" s="2" t="s">
        <v>26</v>
      </c>
      <c r="B2171" s="2" t="s">
        <v>63</v>
      </c>
      <c r="C2171" s="149">
        <v>902.0</v>
      </c>
    </row>
    <row r="2172">
      <c r="A2172" s="2" t="s">
        <v>26</v>
      </c>
      <c r="B2172" s="2" t="s">
        <v>58</v>
      </c>
      <c r="C2172" s="149">
        <v>162.0</v>
      </c>
    </row>
    <row r="2173">
      <c r="A2173" s="2" t="s">
        <v>26</v>
      </c>
      <c r="B2173" s="2" t="s">
        <v>42</v>
      </c>
      <c r="C2173" s="149">
        <v>1692.0</v>
      </c>
    </row>
    <row r="2174">
      <c r="A2174" s="2" t="s">
        <v>26</v>
      </c>
      <c r="B2174" s="2" t="s">
        <v>21</v>
      </c>
      <c r="C2174" s="149">
        <v>1774.0</v>
      </c>
    </row>
    <row r="2175">
      <c r="A2175" s="2" t="s">
        <v>26</v>
      </c>
      <c r="B2175" s="2" t="s">
        <v>33</v>
      </c>
      <c r="C2175" s="149">
        <v>1312.0</v>
      </c>
    </row>
    <row r="2176">
      <c r="A2176" s="2" t="s">
        <v>26</v>
      </c>
      <c r="B2176" s="2" t="s">
        <v>66</v>
      </c>
      <c r="C2176" s="149">
        <v>1982.0</v>
      </c>
    </row>
    <row r="2177">
      <c r="A2177" s="2" t="s">
        <v>26</v>
      </c>
      <c r="B2177" s="2" t="s">
        <v>29</v>
      </c>
      <c r="C2177" s="149">
        <v>1584.0</v>
      </c>
    </row>
    <row r="2178">
      <c r="A2178" s="2" t="s">
        <v>26</v>
      </c>
      <c r="B2178" s="2" t="s">
        <v>60</v>
      </c>
      <c r="C2178" s="149">
        <v>1444.0</v>
      </c>
    </row>
    <row r="2179">
      <c r="A2179" s="2" t="s">
        <v>26</v>
      </c>
      <c r="B2179" s="2" t="s">
        <v>38</v>
      </c>
      <c r="C2179" s="149">
        <v>1042.0</v>
      </c>
    </row>
    <row r="2180">
      <c r="A2180" s="2" t="s">
        <v>26</v>
      </c>
      <c r="B2180" s="2" t="s">
        <v>61</v>
      </c>
      <c r="C2180" s="149">
        <v>1144.0</v>
      </c>
    </row>
    <row r="2181">
      <c r="A2181" s="2" t="s">
        <v>26</v>
      </c>
      <c r="B2181" s="2" t="s">
        <v>52</v>
      </c>
      <c r="C2181" s="149">
        <v>430.0</v>
      </c>
    </row>
    <row r="2182">
      <c r="A2182" s="2" t="s">
        <v>26</v>
      </c>
      <c r="B2182" s="2" t="s">
        <v>25</v>
      </c>
      <c r="C2182" s="149">
        <v>140.0</v>
      </c>
    </row>
    <row r="2183">
      <c r="A2183" s="2" t="s">
        <v>26</v>
      </c>
      <c r="B2183" s="2" t="s">
        <v>67</v>
      </c>
      <c r="C2183" s="149">
        <v>664.0</v>
      </c>
    </row>
    <row r="2184">
      <c r="A2184" s="2" t="s">
        <v>26</v>
      </c>
      <c r="B2184" s="2" t="s">
        <v>45</v>
      </c>
      <c r="C2184" s="149">
        <v>1386.0</v>
      </c>
    </row>
    <row r="2185">
      <c r="A2185" s="2" t="s">
        <v>26</v>
      </c>
      <c r="B2185" s="2" t="s">
        <v>53</v>
      </c>
      <c r="C2185" s="149">
        <v>478.0</v>
      </c>
    </row>
    <row r="2186">
      <c r="A2186" s="2" t="s">
        <v>26</v>
      </c>
      <c r="B2186" s="2" t="s">
        <v>26</v>
      </c>
      <c r="C2186" s="149">
        <v>0.0</v>
      </c>
    </row>
    <row r="2187">
      <c r="A2187" s="2" t="s">
        <v>26</v>
      </c>
      <c r="B2187" s="2" t="s">
        <v>28</v>
      </c>
      <c r="C2187" s="149">
        <v>652.0</v>
      </c>
    </row>
    <row r="2188">
      <c r="A2188" s="2" t="s">
        <v>26</v>
      </c>
      <c r="B2188" s="2" t="s">
        <v>55</v>
      </c>
      <c r="C2188" s="149">
        <v>2630.0</v>
      </c>
    </row>
    <row r="2189">
      <c r="A2189" s="2" t="s">
        <v>26</v>
      </c>
      <c r="B2189" s="2" t="s">
        <v>48</v>
      </c>
      <c r="C2189" s="149">
        <v>1096.0</v>
      </c>
    </row>
    <row r="2190">
      <c r="A2190" s="2" t="s">
        <v>26</v>
      </c>
      <c r="B2190" s="2" t="s">
        <v>2035</v>
      </c>
      <c r="C2190" s="149">
        <v>2862.0</v>
      </c>
    </row>
    <row r="2191">
      <c r="A2191" s="2" t="s">
        <v>26</v>
      </c>
      <c r="B2191" s="2" t="s">
        <v>59</v>
      </c>
      <c r="C2191" s="149">
        <v>150.0</v>
      </c>
    </row>
    <row r="2192">
      <c r="A2192" s="2" t="s">
        <v>26</v>
      </c>
      <c r="B2192" s="2" t="s">
        <v>44</v>
      </c>
      <c r="C2192" s="149">
        <v>1382.0</v>
      </c>
    </row>
    <row r="2193">
      <c r="A2193" s="2" t="s">
        <v>26</v>
      </c>
      <c r="B2193" s="2" t="s">
        <v>2036</v>
      </c>
      <c r="C2193" s="149">
        <v>2802.0</v>
      </c>
    </row>
    <row r="2194">
      <c r="A2194" s="2" t="s">
        <v>26</v>
      </c>
      <c r="B2194" s="2" t="s">
        <v>2037</v>
      </c>
      <c r="C2194" s="149">
        <v>2766.0</v>
      </c>
    </row>
    <row r="2195">
      <c r="A2195" s="2" t="s">
        <v>28</v>
      </c>
      <c r="B2195" s="2" t="s">
        <v>18</v>
      </c>
      <c r="C2195" s="149">
        <v>786.0</v>
      </c>
    </row>
    <row r="2196">
      <c r="A2196" s="2" t="s">
        <v>28</v>
      </c>
      <c r="B2196" s="2" t="s">
        <v>49</v>
      </c>
      <c r="C2196" s="149">
        <v>1700.0</v>
      </c>
    </row>
    <row r="2197">
      <c r="A2197" s="2" t="s">
        <v>28</v>
      </c>
      <c r="B2197" s="2" t="s">
        <v>22</v>
      </c>
      <c r="C2197" s="149">
        <v>1084.0</v>
      </c>
    </row>
    <row r="2198">
      <c r="A2198" s="2" t="s">
        <v>28</v>
      </c>
      <c r="B2198" s="2" t="s">
        <v>27</v>
      </c>
      <c r="C2198" s="149">
        <v>106.0</v>
      </c>
    </row>
    <row r="2199">
      <c r="A2199" s="2" t="s">
        <v>28</v>
      </c>
      <c r="B2199" s="2" t="s">
        <v>35</v>
      </c>
      <c r="C2199" s="149">
        <v>1532.0</v>
      </c>
    </row>
    <row r="2200">
      <c r="A2200" s="2" t="s">
        <v>28</v>
      </c>
      <c r="B2200" s="2" t="s">
        <v>41</v>
      </c>
      <c r="C2200" s="149">
        <v>1400.0</v>
      </c>
    </row>
    <row r="2201">
      <c r="A2201" s="2" t="s">
        <v>28</v>
      </c>
      <c r="B2201" s="2" t="s">
        <v>57</v>
      </c>
      <c r="C2201" s="149">
        <v>674.0</v>
      </c>
    </row>
    <row r="2202">
      <c r="A2202" s="2" t="s">
        <v>28</v>
      </c>
      <c r="B2202" s="2" t="s">
        <v>37</v>
      </c>
      <c r="C2202" s="149">
        <v>170.0</v>
      </c>
    </row>
    <row r="2203">
      <c r="A2203" s="2" t="s">
        <v>28</v>
      </c>
      <c r="B2203" s="2" t="s">
        <v>39</v>
      </c>
      <c r="C2203" s="149">
        <v>236.0</v>
      </c>
    </row>
    <row r="2204">
      <c r="A2204" s="2" t="s">
        <v>28</v>
      </c>
      <c r="B2204" s="2" t="s">
        <v>64</v>
      </c>
      <c r="C2204" s="149">
        <v>1166.0</v>
      </c>
    </row>
    <row r="2205">
      <c r="A2205" s="2" t="s">
        <v>28</v>
      </c>
      <c r="B2205" s="2" t="s">
        <v>65</v>
      </c>
      <c r="C2205" s="149">
        <v>1024.0</v>
      </c>
    </row>
    <row r="2206">
      <c r="A2206" s="2" t="s">
        <v>28</v>
      </c>
      <c r="B2206" s="2" t="s">
        <v>36</v>
      </c>
      <c r="C2206" s="149">
        <v>1524.0</v>
      </c>
    </row>
    <row r="2207">
      <c r="A2207" s="2" t="s">
        <v>28</v>
      </c>
      <c r="B2207" s="2" t="s">
        <v>31</v>
      </c>
      <c r="C2207" s="149">
        <v>720.0</v>
      </c>
    </row>
    <row r="2208">
      <c r="A2208" s="2" t="s">
        <v>28</v>
      </c>
      <c r="B2208" s="2" t="s">
        <v>43</v>
      </c>
      <c r="C2208" s="149">
        <v>1210.0</v>
      </c>
    </row>
    <row r="2209">
      <c r="A2209" s="2" t="s">
        <v>28</v>
      </c>
      <c r="B2209" s="2" t="s">
        <v>40</v>
      </c>
      <c r="C2209" s="149">
        <v>418.0</v>
      </c>
    </row>
    <row r="2210">
      <c r="A2210" s="2" t="s">
        <v>28</v>
      </c>
      <c r="B2210" s="2" t="s">
        <v>50</v>
      </c>
      <c r="C2210" s="149">
        <v>1830.0</v>
      </c>
    </row>
    <row r="2211">
      <c r="A2211" s="2" t="s">
        <v>28</v>
      </c>
      <c r="B2211" s="2" t="s">
        <v>51</v>
      </c>
      <c r="C2211" s="149">
        <v>248.0</v>
      </c>
    </row>
    <row r="2212">
      <c r="A2212" s="2" t="s">
        <v>28</v>
      </c>
      <c r="B2212" s="2" t="s">
        <v>23</v>
      </c>
      <c r="C2212" s="149">
        <v>1162.0</v>
      </c>
    </row>
    <row r="2213">
      <c r="A2213" s="2" t="s">
        <v>28</v>
      </c>
      <c r="B2213" s="2" t="s">
        <v>47</v>
      </c>
      <c r="C2213" s="149">
        <v>826.0</v>
      </c>
    </row>
    <row r="2214">
      <c r="A2214" s="2" t="s">
        <v>28</v>
      </c>
      <c r="B2214" s="2" t="s">
        <v>62</v>
      </c>
      <c r="C2214" s="149">
        <v>742.0</v>
      </c>
    </row>
    <row r="2215">
      <c r="A2215" s="2" t="s">
        <v>28</v>
      </c>
      <c r="B2215" s="2" t="s">
        <v>30</v>
      </c>
      <c r="C2215" s="149">
        <v>746.0</v>
      </c>
    </row>
    <row r="2216">
      <c r="A2216" s="2" t="s">
        <v>28</v>
      </c>
      <c r="B2216" s="2" t="s">
        <v>32</v>
      </c>
      <c r="C2216" s="149">
        <v>620.0</v>
      </c>
    </row>
    <row r="2217">
      <c r="A2217" s="2" t="s">
        <v>28</v>
      </c>
      <c r="B2217" s="2" t="s">
        <v>46</v>
      </c>
      <c r="C2217" s="149">
        <v>932.0</v>
      </c>
    </row>
    <row r="2218">
      <c r="A2218" s="2" t="s">
        <v>28</v>
      </c>
      <c r="B2218" s="2" t="s">
        <v>54</v>
      </c>
      <c r="C2218" s="149">
        <v>1362.0</v>
      </c>
    </row>
    <row r="2219">
      <c r="A2219" s="2" t="s">
        <v>28</v>
      </c>
      <c r="B2219" s="2" t="s">
        <v>34</v>
      </c>
      <c r="C2219" s="149">
        <v>880.0</v>
      </c>
    </row>
    <row r="2220">
      <c r="A2220" s="2" t="s">
        <v>28</v>
      </c>
      <c r="B2220" s="2" t="s">
        <v>20</v>
      </c>
      <c r="C2220" s="149">
        <v>1000.0</v>
      </c>
    </row>
    <row r="2221">
      <c r="A2221" s="2" t="s">
        <v>28</v>
      </c>
      <c r="B2221" s="2" t="s">
        <v>24</v>
      </c>
      <c r="C2221" s="149">
        <v>418.0</v>
      </c>
    </row>
    <row r="2222">
      <c r="A2222" s="2" t="s">
        <v>28</v>
      </c>
      <c r="B2222" s="2" t="s">
        <v>63</v>
      </c>
      <c r="C2222" s="149">
        <v>504.0</v>
      </c>
    </row>
    <row r="2223">
      <c r="A2223" s="2" t="s">
        <v>28</v>
      </c>
      <c r="B2223" s="2" t="s">
        <v>58</v>
      </c>
      <c r="C2223" s="149">
        <v>712.0</v>
      </c>
    </row>
    <row r="2224">
      <c r="A2224" s="2" t="s">
        <v>28</v>
      </c>
      <c r="B2224" s="2" t="s">
        <v>42</v>
      </c>
      <c r="C2224" s="149">
        <v>1240.0</v>
      </c>
    </row>
    <row r="2225">
      <c r="A2225" s="2" t="s">
        <v>28</v>
      </c>
      <c r="B2225" s="2" t="s">
        <v>21</v>
      </c>
      <c r="C2225" s="149">
        <v>1122.0</v>
      </c>
    </row>
    <row r="2226">
      <c r="A2226" s="2" t="s">
        <v>28</v>
      </c>
      <c r="B2226" s="2" t="s">
        <v>33</v>
      </c>
      <c r="C2226" s="149">
        <v>660.0</v>
      </c>
    </row>
    <row r="2227">
      <c r="A2227" s="2" t="s">
        <v>28</v>
      </c>
      <c r="B2227" s="2" t="s">
        <v>66</v>
      </c>
      <c r="C2227" s="149">
        <v>1530.0</v>
      </c>
    </row>
    <row r="2228">
      <c r="A2228" s="2" t="s">
        <v>28</v>
      </c>
      <c r="B2228" s="2" t="s">
        <v>29</v>
      </c>
      <c r="C2228" s="149">
        <v>932.0</v>
      </c>
    </row>
    <row r="2229">
      <c r="A2229" s="2" t="s">
        <v>28</v>
      </c>
      <c r="B2229" s="2" t="s">
        <v>60</v>
      </c>
      <c r="C2229" s="149">
        <v>838.0</v>
      </c>
    </row>
    <row r="2230">
      <c r="A2230" s="2" t="s">
        <v>28</v>
      </c>
      <c r="B2230" s="2" t="s">
        <v>38</v>
      </c>
      <c r="C2230" s="149">
        <v>390.0</v>
      </c>
    </row>
    <row r="2231">
      <c r="A2231" s="2" t="s">
        <v>28</v>
      </c>
      <c r="B2231" s="2" t="s">
        <v>61</v>
      </c>
      <c r="C2231" s="149">
        <v>692.0</v>
      </c>
    </row>
    <row r="2232">
      <c r="A2232" s="2" t="s">
        <v>28</v>
      </c>
      <c r="B2232" s="2" t="s">
        <v>52</v>
      </c>
      <c r="C2232" s="149">
        <v>424.0</v>
      </c>
    </row>
    <row r="2233">
      <c r="A2233" s="2" t="s">
        <v>28</v>
      </c>
      <c r="B2233" s="2" t="s">
        <v>25</v>
      </c>
      <c r="C2233" s="149">
        <v>532.0</v>
      </c>
    </row>
    <row r="2234">
      <c r="A2234" s="2" t="s">
        <v>28</v>
      </c>
      <c r="B2234" s="2" t="s">
        <v>67</v>
      </c>
      <c r="C2234" s="149">
        <v>564.0</v>
      </c>
    </row>
    <row r="2235">
      <c r="A2235" s="2" t="s">
        <v>28</v>
      </c>
      <c r="B2235" s="2" t="s">
        <v>45</v>
      </c>
      <c r="C2235" s="149">
        <v>932.0</v>
      </c>
    </row>
    <row r="2236">
      <c r="A2236" s="2" t="s">
        <v>28</v>
      </c>
      <c r="B2236" s="2" t="s">
        <v>53</v>
      </c>
      <c r="C2236" s="149">
        <v>896.0</v>
      </c>
    </row>
    <row r="2237">
      <c r="A2237" s="2" t="s">
        <v>28</v>
      </c>
      <c r="B2237" s="2" t="s">
        <v>26</v>
      </c>
      <c r="C2237" s="149">
        <v>652.0</v>
      </c>
    </row>
    <row r="2238">
      <c r="A2238" s="2" t="s">
        <v>28</v>
      </c>
      <c r="B2238" s="2" t="s">
        <v>28</v>
      </c>
      <c r="C2238" s="149">
        <v>0.0</v>
      </c>
    </row>
    <row r="2239">
      <c r="A2239" s="2" t="s">
        <v>28</v>
      </c>
      <c r="B2239" s="2" t="s">
        <v>55</v>
      </c>
      <c r="C2239" s="149">
        <v>2004.0</v>
      </c>
    </row>
    <row r="2240">
      <c r="A2240" s="2" t="s">
        <v>28</v>
      </c>
      <c r="B2240" s="2" t="s">
        <v>48</v>
      </c>
      <c r="C2240" s="149">
        <v>722.0</v>
      </c>
    </row>
    <row r="2241">
      <c r="A2241" s="2" t="s">
        <v>28</v>
      </c>
      <c r="B2241" s="2" t="s">
        <v>2035</v>
      </c>
      <c r="C2241" s="149">
        <v>2236.0</v>
      </c>
    </row>
    <row r="2242">
      <c r="A2242" s="2" t="s">
        <v>28</v>
      </c>
      <c r="B2242" s="2" t="s">
        <v>59</v>
      </c>
      <c r="C2242" s="149">
        <v>614.0</v>
      </c>
    </row>
    <row r="2243">
      <c r="A2243" s="2" t="s">
        <v>28</v>
      </c>
      <c r="B2243" s="2" t="s">
        <v>44</v>
      </c>
      <c r="C2243" s="149">
        <v>930.0</v>
      </c>
    </row>
    <row r="2244">
      <c r="A2244" s="2" t="s">
        <v>28</v>
      </c>
      <c r="B2244" s="2" t="s">
        <v>2036</v>
      </c>
      <c r="C2244" s="149">
        <v>2210.0</v>
      </c>
    </row>
    <row r="2245">
      <c r="A2245" s="2" t="s">
        <v>28</v>
      </c>
      <c r="B2245" s="2" t="s">
        <v>2037</v>
      </c>
      <c r="C2245" s="149">
        <v>2154.0</v>
      </c>
    </row>
    <row r="2246">
      <c r="A2246" s="2" t="s">
        <v>55</v>
      </c>
      <c r="B2246" s="2" t="s">
        <v>18</v>
      </c>
      <c r="C2246" s="149">
        <v>1722.0</v>
      </c>
    </row>
    <row r="2247">
      <c r="A2247" s="2" t="s">
        <v>55</v>
      </c>
      <c r="B2247" s="2" t="s">
        <v>49</v>
      </c>
      <c r="C2247" s="149">
        <v>1158.0</v>
      </c>
    </row>
    <row r="2248">
      <c r="A2248" s="2" t="s">
        <v>55</v>
      </c>
      <c r="B2248" s="2" t="s">
        <v>22</v>
      </c>
      <c r="C2248" s="149">
        <v>726.0</v>
      </c>
    </row>
    <row r="2249">
      <c r="A2249" s="2" t="s">
        <v>55</v>
      </c>
      <c r="B2249" s="2" t="s">
        <v>27</v>
      </c>
      <c r="C2249" s="149">
        <v>2094.0</v>
      </c>
    </row>
    <row r="2250">
      <c r="A2250" s="2" t="s">
        <v>55</v>
      </c>
      <c r="B2250" s="2" t="s">
        <v>35</v>
      </c>
      <c r="C2250" s="149">
        <v>2516.0</v>
      </c>
    </row>
    <row r="2251">
      <c r="A2251" s="2" t="s">
        <v>55</v>
      </c>
      <c r="B2251" s="2" t="s">
        <v>41</v>
      </c>
      <c r="C2251" s="149">
        <v>2384.0</v>
      </c>
    </row>
    <row r="2252">
      <c r="A2252" s="2" t="s">
        <v>55</v>
      </c>
      <c r="B2252" s="2" t="s">
        <v>57</v>
      </c>
      <c r="C2252" s="149">
        <v>2652.0</v>
      </c>
    </row>
    <row r="2253">
      <c r="A2253" s="2" t="s">
        <v>55</v>
      </c>
      <c r="B2253" s="2" t="s">
        <v>37</v>
      </c>
      <c r="C2253" s="149">
        <v>1894.0</v>
      </c>
    </row>
    <row r="2254">
      <c r="A2254" s="2" t="s">
        <v>55</v>
      </c>
      <c r="B2254" s="2" t="s">
        <v>39</v>
      </c>
      <c r="C2254" s="149">
        <v>1770.0</v>
      </c>
    </row>
    <row r="2255">
      <c r="A2255" s="2" t="s">
        <v>55</v>
      </c>
      <c r="B2255" s="2" t="s">
        <v>64</v>
      </c>
      <c r="C2255" s="149">
        <v>2150.0</v>
      </c>
    </row>
    <row r="2256">
      <c r="A2256" s="2" t="s">
        <v>55</v>
      </c>
      <c r="B2256" s="2" t="s">
        <v>65</v>
      </c>
      <c r="C2256" s="149">
        <v>2008.0</v>
      </c>
    </row>
    <row r="2257">
      <c r="A2257" s="2" t="s">
        <v>55</v>
      </c>
      <c r="B2257" s="2" t="s">
        <v>36</v>
      </c>
      <c r="C2257" s="149">
        <v>2508.0</v>
      </c>
    </row>
    <row r="2258">
      <c r="A2258" s="2" t="s">
        <v>55</v>
      </c>
      <c r="B2258" s="2" t="s">
        <v>31</v>
      </c>
      <c r="C2258" s="149">
        <v>2558.0</v>
      </c>
    </row>
    <row r="2259">
      <c r="A2259" s="2" t="s">
        <v>55</v>
      </c>
      <c r="B2259" s="2" t="s">
        <v>43</v>
      </c>
      <c r="C2259" s="149">
        <v>2194.0</v>
      </c>
    </row>
    <row r="2260">
      <c r="A2260" s="2" t="s">
        <v>55</v>
      </c>
      <c r="B2260" s="2" t="s">
        <v>40</v>
      </c>
      <c r="C2260" s="149">
        <v>1672.0</v>
      </c>
    </row>
    <row r="2261">
      <c r="A2261" s="2" t="s">
        <v>55</v>
      </c>
      <c r="B2261" s="2" t="s">
        <v>50</v>
      </c>
      <c r="C2261" s="149">
        <v>154.0</v>
      </c>
    </row>
    <row r="2262">
      <c r="A2262" s="2" t="s">
        <v>55</v>
      </c>
      <c r="B2262" s="2" t="s">
        <v>51</v>
      </c>
      <c r="C2262" s="149">
        <v>2226.0</v>
      </c>
    </row>
    <row r="2263">
      <c r="A2263" s="2" t="s">
        <v>55</v>
      </c>
      <c r="B2263" s="2" t="s">
        <v>23</v>
      </c>
      <c r="C2263" s="149">
        <v>668.0</v>
      </c>
    </row>
    <row r="2264">
      <c r="A2264" s="2" t="s">
        <v>55</v>
      </c>
      <c r="B2264" s="2" t="s">
        <v>47</v>
      </c>
      <c r="C2264" s="149">
        <v>1864.0</v>
      </c>
    </row>
    <row r="2265">
      <c r="A2265" s="2" t="s">
        <v>55</v>
      </c>
      <c r="B2265" s="2" t="s">
        <v>62</v>
      </c>
      <c r="C2265" s="149">
        <v>1726.0</v>
      </c>
    </row>
    <row r="2266">
      <c r="A2266" s="2" t="s">
        <v>55</v>
      </c>
      <c r="B2266" s="2" t="s">
        <v>30</v>
      </c>
      <c r="C2266" s="149">
        <v>2246.0</v>
      </c>
    </row>
    <row r="2267">
      <c r="A2267" s="2" t="s">
        <v>55</v>
      </c>
      <c r="B2267" s="2" t="s">
        <v>32</v>
      </c>
      <c r="C2267" s="149">
        <v>2320.0</v>
      </c>
    </row>
    <row r="2268">
      <c r="A2268" s="2" t="s">
        <v>55</v>
      </c>
      <c r="B2268" s="2" t="s">
        <v>46</v>
      </c>
      <c r="C2268" s="149">
        <v>1916.0</v>
      </c>
    </row>
    <row r="2269">
      <c r="A2269" s="2" t="s">
        <v>55</v>
      </c>
      <c r="B2269" s="2" t="s">
        <v>54</v>
      </c>
      <c r="C2269" s="149">
        <v>422.0</v>
      </c>
    </row>
    <row r="2270">
      <c r="A2270" s="2" t="s">
        <v>55</v>
      </c>
      <c r="B2270" s="2" t="s">
        <v>34</v>
      </c>
      <c r="C2270" s="149">
        <v>1510.0</v>
      </c>
    </row>
    <row r="2271">
      <c r="A2271" s="2" t="s">
        <v>55</v>
      </c>
      <c r="B2271" s="2" t="s">
        <v>20</v>
      </c>
      <c r="C2271" s="149">
        <v>822.0</v>
      </c>
    </row>
    <row r="2272">
      <c r="A2272" s="2" t="s">
        <v>55</v>
      </c>
      <c r="B2272" s="2" t="s">
        <v>24</v>
      </c>
      <c r="C2272" s="149">
        <v>2398.0</v>
      </c>
    </row>
    <row r="2273">
      <c r="A2273" s="2" t="s">
        <v>55</v>
      </c>
      <c r="B2273" s="2" t="s">
        <v>63</v>
      </c>
      <c r="C2273" s="149">
        <v>1960.0</v>
      </c>
    </row>
    <row r="2274">
      <c r="A2274" s="2" t="s">
        <v>55</v>
      </c>
      <c r="B2274" s="2" t="s">
        <v>58</v>
      </c>
      <c r="C2274" s="149">
        <v>2692.0</v>
      </c>
    </row>
    <row r="2275">
      <c r="A2275" s="2" t="s">
        <v>55</v>
      </c>
      <c r="B2275" s="2" t="s">
        <v>42</v>
      </c>
      <c r="C2275" s="149">
        <v>2224.0</v>
      </c>
    </row>
    <row r="2276">
      <c r="A2276" s="2" t="s">
        <v>55</v>
      </c>
      <c r="B2276" s="2" t="s">
        <v>21</v>
      </c>
      <c r="C2276" s="149">
        <v>722.0</v>
      </c>
    </row>
    <row r="2277">
      <c r="A2277" s="2" t="s">
        <v>55</v>
      </c>
      <c r="B2277" s="2" t="s">
        <v>33</v>
      </c>
      <c r="C2277" s="149">
        <v>1334.0</v>
      </c>
    </row>
    <row r="2278">
      <c r="A2278" s="2" t="s">
        <v>55</v>
      </c>
      <c r="B2278" s="2" t="s">
        <v>66</v>
      </c>
      <c r="C2278" s="149">
        <v>2454.0</v>
      </c>
    </row>
    <row r="2279">
      <c r="A2279" s="2" t="s">
        <v>55</v>
      </c>
      <c r="B2279" s="2" t="s">
        <v>29</v>
      </c>
      <c r="C2279" s="149">
        <v>1864.0</v>
      </c>
    </row>
    <row r="2280">
      <c r="A2280" s="2" t="s">
        <v>55</v>
      </c>
      <c r="B2280" s="2" t="s">
        <v>60</v>
      </c>
      <c r="C2280" s="149">
        <v>1284.0</v>
      </c>
    </row>
    <row r="2281">
      <c r="A2281" s="2" t="s">
        <v>55</v>
      </c>
      <c r="B2281" s="2" t="s">
        <v>38</v>
      </c>
      <c r="C2281" s="149">
        <v>2146.0</v>
      </c>
    </row>
    <row r="2282">
      <c r="A2282" s="2" t="s">
        <v>55</v>
      </c>
      <c r="B2282" s="2" t="s">
        <v>61</v>
      </c>
      <c r="C2282" s="149">
        <v>1656.0</v>
      </c>
    </row>
    <row r="2283">
      <c r="A2283" s="2" t="s">
        <v>55</v>
      </c>
      <c r="B2283" s="2" t="s">
        <v>52</v>
      </c>
      <c r="C2283" s="149">
        <v>2402.0</v>
      </c>
    </row>
    <row r="2284">
      <c r="A2284" s="2" t="s">
        <v>55</v>
      </c>
      <c r="B2284" s="2" t="s">
        <v>25</v>
      </c>
      <c r="C2284" s="149">
        <v>2510.0</v>
      </c>
    </row>
    <row r="2285">
      <c r="A2285" s="2" t="s">
        <v>55</v>
      </c>
      <c r="B2285" s="2" t="s">
        <v>67</v>
      </c>
      <c r="C2285" s="149">
        <v>2568.0</v>
      </c>
    </row>
    <row r="2286">
      <c r="A2286" s="2" t="s">
        <v>55</v>
      </c>
      <c r="B2286" s="2" t="s">
        <v>45</v>
      </c>
      <c r="C2286" s="149">
        <v>1916.0</v>
      </c>
    </row>
    <row r="2287">
      <c r="A2287" s="2" t="s">
        <v>55</v>
      </c>
      <c r="B2287" s="2" t="s">
        <v>53</v>
      </c>
      <c r="C2287" s="149">
        <v>2828.0</v>
      </c>
    </row>
    <row r="2288">
      <c r="A2288" s="2" t="s">
        <v>55</v>
      </c>
      <c r="B2288" s="2" t="s">
        <v>26</v>
      </c>
      <c r="C2288" s="149">
        <v>2630.0</v>
      </c>
    </row>
    <row r="2289">
      <c r="A2289" s="2" t="s">
        <v>55</v>
      </c>
      <c r="B2289" s="2" t="s">
        <v>28</v>
      </c>
      <c r="C2289" s="149">
        <v>2004.0</v>
      </c>
    </row>
    <row r="2290">
      <c r="A2290" s="2" t="s">
        <v>55</v>
      </c>
      <c r="B2290" s="2" t="s">
        <v>55</v>
      </c>
      <c r="C2290" s="149">
        <v>0.0</v>
      </c>
    </row>
    <row r="2291">
      <c r="A2291" s="2" t="s">
        <v>55</v>
      </c>
      <c r="B2291" s="2" t="s">
        <v>48</v>
      </c>
      <c r="C2291" s="149">
        <v>1948.0</v>
      </c>
    </row>
    <row r="2292">
      <c r="A2292" s="2" t="s">
        <v>55</v>
      </c>
      <c r="B2292" s="2" t="s">
        <v>2035</v>
      </c>
      <c r="C2292" s="149">
        <v>240.0</v>
      </c>
    </row>
    <row r="2293">
      <c r="A2293" s="2" t="s">
        <v>55</v>
      </c>
      <c r="B2293" s="2" t="s">
        <v>59</v>
      </c>
      <c r="C2293" s="149">
        <v>2592.0</v>
      </c>
    </row>
    <row r="2294">
      <c r="A2294" s="2" t="s">
        <v>55</v>
      </c>
      <c r="B2294" s="2" t="s">
        <v>44</v>
      </c>
      <c r="C2294" s="149">
        <v>1914.0</v>
      </c>
    </row>
    <row r="2295">
      <c r="A2295" s="2" t="s">
        <v>55</v>
      </c>
      <c r="B2295" s="2" t="s">
        <v>2036</v>
      </c>
      <c r="C2295" s="149">
        <v>222.0</v>
      </c>
    </row>
    <row r="2296">
      <c r="A2296" s="2" t="s">
        <v>55</v>
      </c>
      <c r="B2296" s="2" t="s">
        <v>2037</v>
      </c>
      <c r="C2296" s="149">
        <v>1232.0</v>
      </c>
    </row>
    <row r="2297">
      <c r="A2297" s="2" t="s">
        <v>48</v>
      </c>
      <c r="B2297" s="2" t="s">
        <v>18</v>
      </c>
      <c r="C2297" s="149">
        <v>356.0</v>
      </c>
    </row>
    <row r="2298">
      <c r="A2298" s="2" t="s">
        <v>48</v>
      </c>
      <c r="B2298" s="2" t="s">
        <v>49</v>
      </c>
      <c r="C2298" s="149">
        <v>1924.0</v>
      </c>
    </row>
    <row r="2299">
      <c r="A2299" s="2" t="s">
        <v>48</v>
      </c>
      <c r="B2299" s="2" t="s">
        <v>22</v>
      </c>
      <c r="C2299" s="149">
        <v>1276.0</v>
      </c>
    </row>
    <row r="2300">
      <c r="A2300" s="2" t="s">
        <v>48</v>
      </c>
      <c r="B2300" s="2" t="s">
        <v>27</v>
      </c>
      <c r="C2300" s="149">
        <v>674.0</v>
      </c>
    </row>
    <row r="2301">
      <c r="A2301" s="2" t="s">
        <v>48</v>
      </c>
      <c r="B2301" s="2" t="s">
        <v>35</v>
      </c>
      <c r="C2301" s="149">
        <v>902.0</v>
      </c>
    </row>
    <row r="2302">
      <c r="A2302" s="2" t="s">
        <v>48</v>
      </c>
      <c r="B2302" s="2" t="s">
        <v>41</v>
      </c>
      <c r="C2302" s="149">
        <v>770.0</v>
      </c>
    </row>
    <row r="2303">
      <c r="A2303" s="2" t="s">
        <v>48</v>
      </c>
      <c r="B2303" s="2" t="s">
        <v>57</v>
      </c>
      <c r="C2303" s="149">
        <v>1104.0</v>
      </c>
    </row>
    <row r="2304">
      <c r="A2304" s="2" t="s">
        <v>48</v>
      </c>
      <c r="B2304" s="2" t="s">
        <v>37</v>
      </c>
      <c r="C2304" s="149">
        <v>726.0</v>
      </c>
    </row>
    <row r="2305">
      <c r="A2305" s="2" t="s">
        <v>48</v>
      </c>
      <c r="B2305" s="2" t="s">
        <v>39</v>
      </c>
      <c r="C2305" s="149">
        <v>702.0</v>
      </c>
    </row>
    <row r="2306">
      <c r="A2306" s="2" t="s">
        <v>48</v>
      </c>
      <c r="B2306" s="2" t="s">
        <v>64</v>
      </c>
      <c r="C2306" s="149">
        <v>534.0</v>
      </c>
    </row>
    <row r="2307">
      <c r="A2307" s="2" t="s">
        <v>48</v>
      </c>
      <c r="B2307" s="2" t="s">
        <v>65</v>
      </c>
      <c r="C2307" s="149">
        <v>408.0</v>
      </c>
    </row>
    <row r="2308">
      <c r="A2308" s="2" t="s">
        <v>48</v>
      </c>
      <c r="B2308" s="2" t="s">
        <v>36</v>
      </c>
      <c r="C2308" s="149">
        <v>894.0</v>
      </c>
    </row>
    <row r="2309">
      <c r="A2309" s="2" t="s">
        <v>48</v>
      </c>
      <c r="B2309" s="2" t="s">
        <v>31</v>
      </c>
      <c r="C2309" s="149">
        <v>920.0</v>
      </c>
    </row>
    <row r="2310">
      <c r="A2310" s="2" t="s">
        <v>48</v>
      </c>
      <c r="B2310" s="2" t="s">
        <v>43</v>
      </c>
      <c r="C2310" s="149">
        <v>586.0</v>
      </c>
    </row>
    <row r="2311">
      <c r="A2311" s="2" t="s">
        <v>48</v>
      </c>
      <c r="B2311" s="2" t="s">
        <v>40</v>
      </c>
      <c r="C2311" s="149">
        <v>518.0</v>
      </c>
    </row>
    <row r="2312">
      <c r="A2312" s="2" t="s">
        <v>48</v>
      </c>
      <c r="B2312" s="2" t="s">
        <v>50</v>
      </c>
      <c r="C2312" s="149">
        <v>2024.0</v>
      </c>
    </row>
    <row r="2313">
      <c r="A2313" s="2" t="s">
        <v>48</v>
      </c>
      <c r="B2313" s="2" t="s">
        <v>51</v>
      </c>
      <c r="C2313" s="149">
        <v>692.0</v>
      </c>
    </row>
    <row r="2314">
      <c r="A2314" s="2" t="s">
        <v>48</v>
      </c>
      <c r="B2314" s="2" t="s">
        <v>23</v>
      </c>
      <c r="C2314" s="149">
        <v>1356.0</v>
      </c>
    </row>
    <row r="2315">
      <c r="A2315" s="2" t="s">
        <v>48</v>
      </c>
      <c r="B2315" s="2" t="s">
        <v>47</v>
      </c>
      <c r="C2315" s="149">
        <v>142.0</v>
      </c>
    </row>
    <row r="2316">
      <c r="A2316" s="2" t="s">
        <v>48</v>
      </c>
      <c r="B2316" s="2" t="s">
        <v>62</v>
      </c>
      <c r="C2316" s="149">
        <v>328.0</v>
      </c>
    </row>
    <row r="2317">
      <c r="A2317" s="2" t="s">
        <v>48</v>
      </c>
      <c r="B2317" s="2" t="s">
        <v>30</v>
      </c>
      <c r="C2317" s="149">
        <v>608.0</v>
      </c>
    </row>
    <row r="2318">
      <c r="A2318" s="2" t="s">
        <v>48</v>
      </c>
      <c r="B2318" s="2" t="s">
        <v>32</v>
      </c>
      <c r="C2318" s="149">
        <v>682.0</v>
      </c>
    </row>
    <row r="2319">
      <c r="A2319" s="2" t="s">
        <v>48</v>
      </c>
      <c r="B2319" s="2" t="s">
        <v>46</v>
      </c>
      <c r="C2319" s="149">
        <v>302.0</v>
      </c>
    </row>
    <row r="2320">
      <c r="A2320" s="2" t="s">
        <v>48</v>
      </c>
      <c r="B2320" s="2" t="s">
        <v>54</v>
      </c>
      <c r="C2320" s="149">
        <v>1554.0</v>
      </c>
    </row>
    <row r="2321">
      <c r="A2321" s="2" t="s">
        <v>48</v>
      </c>
      <c r="B2321" s="2" t="s">
        <v>34</v>
      </c>
      <c r="C2321" s="149">
        <v>582.0</v>
      </c>
    </row>
    <row r="2322">
      <c r="A2322" s="2" t="s">
        <v>48</v>
      </c>
      <c r="B2322" s="2" t="s">
        <v>20</v>
      </c>
      <c r="C2322" s="149">
        <v>1224.0</v>
      </c>
    </row>
    <row r="2323">
      <c r="A2323" s="2" t="s">
        <v>48</v>
      </c>
      <c r="B2323" s="2" t="s">
        <v>24</v>
      </c>
      <c r="C2323" s="149">
        <v>864.0</v>
      </c>
    </row>
    <row r="2324">
      <c r="A2324" s="2" t="s">
        <v>48</v>
      </c>
      <c r="B2324" s="2" t="s">
        <v>63</v>
      </c>
      <c r="C2324" s="149">
        <v>260.0</v>
      </c>
    </row>
    <row r="2325">
      <c r="A2325" s="2" t="s">
        <v>48</v>
      </c>
      <c r="B2325" s="2" t="s">
        <v>58</v>
      </c>
      <c r="C2325" s="149">
        <v>1142.0</v>
      </c>
    </row>
    <row r="2326">
      <c r="A2326" s="2" t="s">
        <v>48</v>
      </c>
      <c r="B2326" s="2" t="s">
        <v>42</v>
      </c>
      <c r="C2326" s="149">
        <v>608.0</v>
      </c>
    </row>
    <row r="2327">
      <c r="A2327" s="2" t="s">
        <v>48</v>
      </c>
      <c r="B2327" s="2" t="s">
        <v>21</v>
      </c>
      <c r="C2327" s="149">
        <v>1330.0</v>
      </c>
    </row>
    <row r="2328">
      <c r="A2328" s="2" t="s">
        <v>48</v>
      </c>
      <c r="B2328" s="2" t="s">
        <v>33</v>
      </c>
      <c r="C2328" s="149">
        <v>884.0</v>
      </c>
    </row>
    <row r="2329">
      <c r="A2329" s="2" t="s">
        <v>48</v>
      </c>
      <c r="B2329" s="2" t="s">
        <v>66</v>
      </c>
      <c r="C2329" s="149">
        <v>950.0</v>
      </c>
    </row>
    <row r="2330">
      <c r="A2330" s="2" t="s">
        <v>48</v>
      </c>
      <c r="B2330" s="2" t="s">
        <v>29</v>
      </c>
      <c r="C2330" s="149">
        <v>1520.0</v>
      </c>
    </row>
    <row r="2331">
      <c r="A2331" s="2" t="s">
        <v>48</v>
      </c>
      <c r="B2331" s="2" t="s">
        <v>60</v>
      </c>
      <c r="C2331" s="149">
        <v>720.0</v>
      </c>
    </row>
    <row r="2332">
      <c r="A2332" s="2" t="s">
        <v>48</v>
      </c>
      <c r="B2332" s="2" t="s">
        <v>38</v>
      </c>
      <c r="C2332" s="149">
        <v>978.0</v>
      </c>
    </row>
    <row r="2333">
      <c r="A2333" s="2" t="s">
        <v>48</v>
      </c>
      <c r="B2333" s="2" t="s">
        <v>61</v>
      </c>
      <c r="C2333" s="149">
        <v>394.0</v>
      </c>
    </row>
    <row r="2334">
      <c r="A2334" s="2" t="s">
        <v>48</v>
      </c>
      <c r="B2334" s="2" t="s">
        <v>52</v>
      </c>
      <c r="C2334" s="149">
        <v>868.0</v>
      </c>
    </row>
    <row r="2335">
      <c r="A2335" s="2" t="s">
        <v>48</v>
      </c>
      <c r="B2335" s="2" t="s">
        <v>25</v>
      </c>
      <c r="C2335" s="149">
        <v>976.0</v>
      </c>
    </row>
    <row r="2336">
      <c r="A2336" s="2" t="s">
        <v>48</v>
      </c>
      <c r="B2336" s="2" t="s">
        <v>67</v>
      </c>
      <c r="C2336" s="149">
        <v>1084.0</v>
      </c>
    </row>
    <row r="2337">
      <c r="A2337" s="2" t="s">
        <v>48</v>
      </c>
      <c r="B2337" s="2" t="s">
        <v>45</v>
      </c>
      <c r="C2337" s="149">
        <v>302.0</v>
      </c>
    </row>
    <row r="2338">
      <c r="A2338" s="2" t="s">
        <v>48</v>
      </c>
      <c r="B2338" s="2" t="s">
        <v>53</v>
      </c>
      <c r="C2338" s="149">
        <v>1190.0</v>
      </c>
    </row>
    <row r="2339">
      <c r="A2339" s="2" t="s">
        <v>48</v>
      </c>
      <c r="B2339" s="2" t="s">
        <v>26</v>
      </c>
      <c r="C2339" s="149">
        <v>1096.0</v>
      </c>
    </row>
    <row r="2340">
      <c r="A2340" s="2" t="s">
        <v>48</v>
      </c>
      <c r="B2340" s="2" t="s">
        <v>28</v>
      </c>
      <c r="C2340" s="149">
        <v>722.0</v>
      </c>
    </row>
    <row r="2341">
      <c r="A2341" s="2" t="s">
        <v>48</v>
      </c>
      <c r="B2341" s="2" t="s">
        <v>55</v>
      </c>
      <c r="C2341" s="149">
        <v>1948.0</v>
      </c>
    </row>
    <row r="2342">
      <c r="A2342" s="2" t="s">
        <v>48</v>
      </c>
      <c r="B2342" s="2" t="s">
        <v>48</v>
      </c>
      <c r="C2342" s="149">
        <v>0.0</v>
      </c>
    </row>
    <row r="2343">
      <c r="A2343" s="2" t="s">
        <v>48</v>
      </c>
      <c r="B2343" s="2" t="s">
        <v>2035</v>
      </c>
      <c r="C2343" s="149">
        <v>2182.0</v>
      </c>
    </row>
    <row r="2344">
      <c r="A2344" s="2" t="s">
        <v>48</v>
      </c>
      <c r="B2344" s="2" t="s">
        <v>59</v>
      </c>
      <c r="C2344" s="149">
        <v>1044.0</v>
      </c>
    </row>
    <row r="2345">
      <c r="A2345" s="2" t="s">
        <v>48</v>
      </c>
      <c r="B2345" s="2" t="s">
        <v>44</v>
      </c>
      <c r="C2345" s="149">
        <v>488.0</v>
      </c>
    </row>
    <row r="2346">
      <c r="A2346" s="2" t="s">
        <v>48</v>
      </c>
      <c r="B2346" s="2" t="s">
        <v>2036</v>
      </c>
      <c r="C2346" s="149">
        <v>2144.0</v>
      </c>
    </row>
    <row r="2347">
      <c r="A2347" s="2" t="s">
        <v>48</v>
      </c>
      <c r="B2347" s="2" t="s">
        <v>2037</v>
      </c>
      <c r="C2347" s="149">
        <v>2214.0</v>
      </c>
    </row>
    <row r="2348">
      <c r="A2348" s="2" t="s">
        <v>2035</v>
      </c>
      <c r="B2348" s="2" t="s">
        <v>18</v>
      </c>
      <c r="C2348" s="149">
        <v>1956.0</v>
      </c>
    </row>
    <row r="2349">
      <c r="A2349" s="2" t="s">
        <v>2035</v>
      </c>
      <c r="B2349" s="2" t="s">
        <v>49</v>
      </c>
      <c r="C2349" s="149">
        <v>1394.0</v>
      </c>
    </row>
    <row r="2350">
      <c r="A2350" s="2" t="s">
        <v>2035</v>
      </c>
      <c r="B2350" s="2" t="s">
        <v>22</v>
      </c>
      <c r="C2350" s="149">
        <v>956.0</v>
      </c>
    </row>
    <row r="2351">
      <c r="A2351" s="2" t="s">
        <v>2035</v>
      </c>
      <c r="B2351" s="2" t="s">
        <v>27</v>
      </c>
      <c r="C2351" s="149">
        <v>2324.0</v>
      </c>
    </row>
    <row r="2352">
      <c r="A2352" s="2" t="s">
        <v>2035</v>
      </c>
      <c r="B2352" s="2" t="s">
        <v>35</v>
      </c>
      <c r="C2352" s="149">
        <v>2748.0</v>
      </c>
    </row>
    <row r="2353">
      <c r="A2353" s="2" t="s">
        <v>2035</v>
      </c>
      <c r="B2353" s="2" t="s">
        <v>41</v>
      </c>
      <c r="C2353" s="149">
        <v>2614.0</v>
      </c>
    </row>
    <row r="2354">
      <c r="A2354" s="2" t="s">
        <v>2035</v>
      </c>
      <c r="B2354" s="2" t="s">
        <v>57</v>
      </c>
      <c r="C2354" s="149">
        <v>0.0</v>
      </c>
    </row>
    <row r="2355">
      <c r="A2355" s="2" t="s">
        <v>2035</v>
      </c>
      <c r="B2355" s="2" t="s">
        <v>37</v>
      </c>
      <c r="C2355" s="149">
        <v>2126.0</v>
      </c>
    </row>
    <row r="2356">
      <c r="A2356" s="2" t="s">
        <v>2035</v>
      </c>
      <c r="B2356" s="2" t="s">
        <v>39</v>
      </c>
      <c r="C2356" s="149">
        <v>2002.0</v>
      </c>
    </row>
    <row r="2357">
      <c r="A2357" s="2" t="s">
        <v>2035</v>
      </c>
      <c r="B2357" s="2" t="s">
        <v>64</v>
      </c>
      <c r="C2357" s="149">
        <v>2380.0</v>
      </c>
    </row>
    <row r="2358">
      <c r="A2358" s="2" t="s">
        <v>2035</v>
      </c>
      <c r="B2358" s="2" t="s">
        <v>65</v>
      </c>
      <c r="C2358" s="149">
        <v>2240.0</v>
      </c>
    </row>
    <row r="2359">
      <c r="A2359" s="2" t="s">
        <v>2035</v>
      </c>
      <c r="B2359" s="2" t="s">
        <v>36</v>
      </c>
      <c r="C2359" s="149">
        <v>2740.0</v>
      </c>
    </row>
    <row r="2360">
      <c r="A2360" s="2" t="s">
        <v>2035</v>
      </c>
      <c r="B2360" s="2" t="s">
        <v>31</v>
      </c>
      <c r="C2360" s="149">
        <v>2790.0</v>
      </c>
    </row>
    <row r="2361">
      <c r="A2361" s="2" t="s">
        <v>2035</v>
      </c>
      <c r="B2361" s="2" t="s">
        <v>43</v>
      </c>
      <c r="C2361" s="149">
        <v>2426.0</v>
      </c>
    </row>
    <row r="2362">
      <c r="A2362" s="2" t="s">
        <v>2035</v>
      </c>
      <c r="B2362" s="2" t="s">
        <v>40</v>
      </c>
      <c r="C2362" s="149">
        <v>1904.0</v>
      </c>
    </row>
    <row r="2363">
      <c r="A2363" s="2" t="s">
        <v>2035</v>
      </c>
      <c r="B2363" s="2" t="s">
        <v>50</v>
      </c>
      <c r="C2363" s="149">
        <v>168.0</v>
      </c>
    </row>
    <row r="2364">
      <c r="A2364" s="2" t="s">
        <v>2035</v>
      </c>
      <c r="B2364" s="2" t="s">
        <v>51</v>
      </c>
      <c r="C2364" s="149">
        <v>2458.0</v>
      </c>
    </row>
    <row r="2365">
      <c r="A2365" s="2" t="s">
        <v>2035</v>
      </c>
      <c r="B2365" s="2" t="s">
        <v>23</v>
      </c>
      <c r="C2365" s="149">
        <v>898.0</v>
      </c>
    </row>
    <row r="2366">
      <c r="A2366" s="2" t="s">
        <v>2035</v>
      </c>
      <c r="B2366" s="2" t="s">
        <v>47</v>
      </c>
      <c r="C2366" s="149">
        <v>2094.0</v>
      </c>
    </row>
    <row r="2367">
      <c r="A2367" s="2" t="s">
        <v>2035</v>
      </c>
      <c r="B2367" s="2" t="s">
        <v>62</v>
      </c>
      <c r="C2367" s="149">
        <v>1956.0</v>
      </c>
    </row>
    <row r="2368">
      <c r="A2368" s="2" t="s">
        <v>2035</v>
      </c>
      <c r="B2368" s="2" t="s">
        <v>30</v>
      </c>
      <c r="C2368" s="149">
        <v>2476.0</v>
      </c>
    </row>
    <row r="2369">
      <c r="A2369" s="2" t="s">
        <v>2035</v>
      </c>
      <c r="B2369" s="2" t="s">
        <v>32</v>
      </c>
      <c r="C2369" s="149">
        <v>2552.0</v>
      </c>
    </row>
    <row r="2370">
      <c r="A2370" s="2" t="s">
        <v>2035</v>
      </c>
      <c r="B2370" s="2" t="s">
        <v>46</v>
      </c>
      <c r="C2370" s="149">
        <v>2148.0</v>
      </c>
    </row>
    <row r="2371">
      <c r="A2371" s="2" t="s">
        <v>2035</v>
      </c>
      <c r="B2371" s="2" t="s">
        <v>54</v>
      </c>
      <c r="C2371" s="149">
        <v>654.0</v>
      </c>
    </row>
    <row r="2372">
      <c r="A2372" s="2" t="s">
        <v>2035</v>
      </c>
      <c r="B2372" s="2" t="s">
        <v>34</v>
      </c>
      <c r="C2372" s="149">
        <v>1740.0</v>
      </c>
    </row>
    <row r="2373">
      <c r="A2373" s="2" t="s">
        <v>2035</v>
      </c>
      <c r="B2373" s="2" t="s">
        <v>20</v>
      </c>
      <c r="C2373" s="149">
        <v>1054.0</v>
      </c>
    </row>
    <row r="2374">
      <c r="A2374" s="2" t="s">
        <v>2035</v>
      </c>
      <c r="B2374" s="2" t="s">
        <v>24</v>
      </c>
      <c r="C2374" s="149">
        <v>2628.0</v>
      </c>
    </row>
    <row r="2375">
      <c r="A2375" s="2" t="s">
        <v>2035</v>
      </c>
      <c r="B2375" s="2" t="s">
        <v>63</v>
      </c>
      <c r="C2375" s="149">
        <v>2192.0</v>
      </c>
    </row>
    <row r="2376">
      <c r="A2376" s="2" t="s">
        <v>2035</v>
      </c>
      <c r="B2376" s="2" t="s">
        <v>58</v>
      </c>
      <c r="C2376" s="149">
        <v>0.0</v>
      </c>
    </row>
    <row r="2377">
      <c r="A2377" s="2" t="s">
        <v>2035</v>
      </c>
      <c r="B2377" s="2" t="s">
        <v>42</v>
      </c>
      <c r="C2377" s="149">
        <v>2454.0</v>
      </c>
    </row>
    <row r="2378">
      <c r="A2378" s="2" t="s">
        <v>2035</v>
      </c>
      <c r="B2378" s="2" t="s">
        <v>21</v>
      </c>
      <c r="C2378" s="149">
        <v>952.0</v>
      </c>
    </row>
    <row r="2379">
      <c r="A2379" s="2" t="s">
        <v>2035</v>
      </c>
      <c r="B2379" s="2" t="s">
        <v>33</v>
      </c>
      <c r="C2379" s="149">
        <v>1566.0</v>
      </c>
    </row>
    <row r="2380">
      <c r="A2380" s="2" t="s">
        <v>2035</v>
      </c>
      <c r="B2380" s="2" t="s">
        <v>66</v>
      </c>
      <c r="C2380" s="149">
        <v>2686.0</v>
      </c>
    </row>
    <row r="2381">
      <c r="A2381" s="2" t="s">
        <v>2035</v>
      </c>
      <c r="B2381" s="2" t="s">
        <v>29</v>
      </c>
      <c r="C2381" s="149">
        <v>2096.0</v>
      </c>
    </row>
    <row r="2382">
      <c r="A2382" s="2" t="s">
        <v>2035</v>
      </c>
      <c r="B2382" s="2" t="s">
        <v>60</v>
      </c>
      <c r="C2382" s="149">
        <v>1516.0</v>
      </c>
    </row>
    <row r="2383">
      <c r="A2383" s="2" t="s">
        <v>2035</v>
      </c>
      <c r="B2383" s="2" t="s">
        <v>38</v>
      </c>
      <c r="C2383" s="149">
        <v>2378.0</v>
      </c>
    </row>
    <row r="2384">
      <c r="A2384" s="2" t="s">
        <v>2035</v>
      </c>
      <c r="B2384" s="2" t="s">
        <v>61</v>
      </c>
      <c r="C2384" s="149">
        <v>1886.0</v>
      </c>
    </row>
    <row r="2385">
      <c r="A2385" s="2" t="s">
        <v>2035</v>
      </c>
      <c r="B2385" s="2" t="s">
        <v>52</v>
      </c>
      <c r="C2385" s="149">
        <v>2634.0</v>
      </c>
    </row>
    <row r="2386">
      <c r="A2386" s="2" t="s">
        <v>2035</v>
      </c>
      <c r="B2386" s="2" t="s">
        <v>25</v>
      </c>
      <c r="C2386" s="149">
        <v>2742.0</v>
      </c>
    </row>
    <row r="2387">
      <c r="A2387" s="2" t="s">
        <v>2035</v>
      </c>
      <c r="B2387" s="2" t="s">
        <v>67</v>
      </c>
      <c r="C2387" s="149">
        <v>2800.0</v>
      </c>
    </row>
    <row r="2388">
      <c r="A2388" s="2" t="s">
        <v>2035</v>
      </c>
      <c r="B2388" s="2" t="s">
        <v>45</v>
      </c>
      <c r="C2388" s="149">
        <v>2148.0</v>
      </c>
    </row>
    <row r="2389">
      <c r="A2389" s="2" t="s">
        <v>2035</v>
      </c>
      <c r="B2389" s="2" t="s">
        <v>53</v>
      </c>
      <c r="C2389" s="149">
        <v>120.0</v>
      </c>
    </row>
    <row r="2390">
      <c r="A2390" s="2" t="s">
        <v>2035</v>
      </c>
      <c r="B2390" s="2" t="s">
        <v>26</v>
      </c>
      <c r="C2390" s="149">
        <v>2862.0</v>
      </c>
    </row>
    <row r="2391">
      <c r="A2391" s="2" t="s">
        <v>2035</v>
      </c>
      <c r="B2391" s="2" t="s">
        <v>28</v>
      </c>
      <c r="C2391" s="149">
        <v>2236.0</v>
      </c>
    </row>
    <row r="2392">
      <c r="A2392" s="2" t="s">
        <v>2035</v>
      </c>
      <c r="B2392" s="2" t="s">
        <v>55</v>
      </c>
      <c r="C2392" s="149">
        <v>240.0</v>
      </c>
    </row>
    <row r="2393">
      <c r="A2393" s="2" t="s">
        <v>2035</v>
      </c>
      <c r="B2393" s="2" t="s">
        <v>48</v>
      </c>
      <c r="C2393" s="149">
        <v>2182.0</v>
      </c>
    </row>
    <row r="2394">
      <c r="A2394" s="2" t="s">
        <v>2035</v>
      </c>
      <c r="B2394" s="2" t="s">
        <v>2035</v>
      </c>
      <c r="C2394" s="149">
        <v>0.0</v>
      </c>
    </row>
    <row r="2395">
      <c r="A2395" s="2" t="s">
        <v>2035</v>
      </c>
      <c r="B2395" s="2" t="s">
        <v>59</v>
      </c>
      <c r="C2395" s="149">
        <v>2822.0</v>
      </c>
    </row>
    <row r="2396">
      <c r="A2396" s="2" t="s">
        <v>2035</v>
      </c>
      <c r="B2396" s="2" t="s">
        <v>44</v>
      </c>
      <c r="C2396" s="149">
        <v>2146.0</v>
      </c>
    </row>
    <row r="2397">
      <c r="A2397" s="2" t="s">
        <v>2035</v>
      </c>
      <c r="B2397" s="2" t="s">
        <v>2036</v>
      </c>
      <c r="C2397" s="149">
        <v>164.0</v>
      </c>
    </row>
    <row r="2398">
      <c r="A2398" s="2" t="s">
        <v>2035</v>
      </c>
      <c r="B2398" s="2" t="s">
        <v>2037</v>
      </c>
      <c r="C2398" s="149">
        <v>1484.0</v>
      </c>
    </row>
    <row r="2399">
      <c r="A2399" s="2" t="s">
        <v>59</v>
      </c>
      <c r="B2399" s="2" t="s">
        <v>18</v>
      </c>
      <c r="C2399" s="149">
        <v>1174.0</v>
      </c>
    </row>
    <row r="2400">
      <c r="A2400" s="2" t="s">
        <v>59</v>
      </c>
      <c r="B2400" s="2" t="s">
        <v>49</v>
      </c>
      <c r="C2400" s="149">
        <v>2294.0</v>
      </c>
    </row>
    <row r="2401">
      <c r="A2401" s="2" t="s">
        <v>59</v>
      </c>
      <c r="B2401" s="2" t="s">
        <v>22</v>
      </c>
      <c r="C2401" s="149">
        <v>1678.0</v>
      </c>
    </row>
    <row r="2402">
      <c r="A2402" s="2" t="s">
        <v>59</v>
      </c>
      <c r="B2402" s="2" t="s">
        <v>27</v>
      </c>
      <c r="C2402" s="149">
        <v>536.0</v>
      </c>
    </row>
    <row r="2403">
      <c r="A2403" s="2" t="s">
        <v>59</v>
      </c>
      <c r="B2403" s="2" t="s">
        <v>35</v>
      </c>
      <c r="C2403" s="149">
        <v>1928.0</v>
      </c>
    </row>
    <row r="2404">
      <c r="A2404" s="2" t="s">
        <v>59</v>
      </c>
      <c r="B2404" s="2" t="s">
        <v>41</v>
      </c>
      <c r="C2404" s="149">
        <v>1794.0</v>
      </c>
    </row>
    <row r="2405">
      <c r="A2405" s="2" t="s">
        <v>59</v>
      </c>
      <c r="B2405" s="2" t="s">
        <v>57</v>
      </c>
      <c r="C2405" s="149">
        <v>98.0</v>
      </c>
    </row>
    <row r="2406">
      <c r="A2406" s="2" t="s">
        <v>59</v>
      </c>
      <c r="B2406" s="2" t="s">
        <v>37</v>
      </c>
      <c r="C2406" s="149">
        <v>756.0</v>
      </c>
    </row>
    <row r="2407">
      <c r="A2407" s="2" t="s">
        <v>59</v>
      </c>
      <c r="B2407" s="2" t="s">
        <v>39</v>
      </c>
      <c r="C2407" s="149">
        <v>824.0</v>
      </c>
    </row>
    <row r="2408">
      <c r="A2408" s="2" t="s">
        <v>59</v>
      </c>
      <c r="B2408" s="2" t="s">
        <v>64</v>
      </c>
      <c r="C2408" s="149">
        <v>1524.0</v>
      </c>
    </row>
    <row r="2409">
      <c r="A2409" s="2" t="s">
        <v>59</v>
      </c>
      <c r="B2409" s="2" t="s">
        <v>65</v>
      </c>
      <c r="C2409" s="149">
        <v>1406.0</v>
      </c>
    </row>
    <row r="2410">
      <c r="A2410" s="2" t="s">
        <v>59</v>
      </c>
      <c r="B2410" s="2" t="s">
        <v>36</v>
      </c>
      <c r="C2410" s="149">
        <v>1874.0</v>
      </c>
    </row>
    <row r="2411">
      <c r="A2411" s="2" t="s">
        <v>59</v>
      </c>
      <c r="B2411" s="2" t="s">
        <v>31</v>
      </c>
      <c r="C2411" s="149">
        <v>220.0</v>
      </c>
    </row>
    <row r="2412">
      <c r="A2412" s="2" t="s">
        <v>59</v>
      </c>
      <c r="B2412" s="2" t="s">
        <v>43</v>
      </c>
      <c r="C2412" s="149">
        <v>1586.0</v>
      </c>
    </row>
    <row r="2413">
      <c r="A2413" s="2" t="s">
        <v>59</v>
      </c>
      <c r="B2413" s="2" t="s">
        <v>40</v>
      </c>
      <c r="C2413" s="149">
        <v>950.0</v>
      </c>
    </row>
    <row r="2414">
      <c r="A2414" s="2" t="s">
        <v>59</v>
      </c>
      <c r="B2414" s="2" t="s">
        <v>50</v>
      </c>
      <c r="C2414" s="149">
        <v>2656.0</v>
      </c>
    </row>
    <row r="2415">
      <c r="A2415" s="2" t="s">
        <v>59</v>
      </c>
      <c r="B2415" s="2" t="s">
        <v>51</v>
      </c>
      <c r="C2415" s="149">
        <v>368.0</v>
      </c>
    </row>
    <row r="2416">
      <c r="A2416" s="2" t="s">
        <v>59</v>
      </c>
      <c r="B2416" s="2" t="s">
        <v>23</v>
      </c>
      <c r="C2416" s="149">
        <v>1972.0</v>
      </c>
    </row>
    <row r="2417">
      <c r="A2417" s="2" t="s">
        <v>59</v>
      </c>
      <c r="B2417" s="2" t="s">
        <v>47</v>
      </c>
      <c r="C2417" s="149">
        <v>1124.0</v>
      </c>
    </row>
    <row r="2418">
      <c r="A2418" s="2" t="s">
        <v>59</v>
      </c>
      <c r="B2418" s="2" t="s">
        <v>62</v>
      </c>
      <c r="C2418" s="149">
        <v>1128.0</v>
      </c>
    </row>
    <row r="2419">
      <c r="A2419" s="2" t="s">
        <v>59</v>
      </c>
      <c r="B2419" s="2" t="s">
        <v>30</v>
      </c>
      <c r="C2419" s="149">
        <v>510.0</v>
      </c>
    </row>
    <row r="2420">
      <c r="A2420" s="2" t="s">
        <v>59</v>
      </c>
      <c r="B2420" s="2" t="s">
        <v>32</v>
      </c>
      <c r="C2420" s="149">
        <v>370.0</v>
      </c>
    </row>
    <row r="2421">
      <c r="A2421" s="2" t="s">
        <v>59</v>
      </c>
      <c r="B2421" s="2" t="s">
        <v>46</v>
      </c>
      <c r="C2421" s="149">
        <v>1306.0</v>
      </c>
    </row>
    <row r="2422">
      <c r="A2422" s="2" t="s">
        <v>59</v>
      </c>
      <c r="B2422" s="2" t="s">
        <v>54</v>
      </c>
      <c r="C2422" s="149">
        <v>2178.0</v>
      </c>
    </row>
    <row r="2423">
      <c r="A2423" s="2" t="s">
        <v>59</v>
      </c>
      <c r="B2423" s="2" t="s">
        <v>34</v>
      </c>
      <c r="C2423" s="149">
        <v>1264.0</v>
      </c>
    </row>
    <row r="2424">
      <c r="A2424" s="2" t="s">
        <v>59</v>
      </c>
      <c r="B2424" s="2" t="s">
        <v>20</v>
      </c>
      <c r="C2424" s="149">
        <v>1810.0</v>
      </c>
    </row>
    <row r="2425">
      <c r="A2425" s="2" t="s">
        <v>59</v>
      </c>
      <c r="B2425" s="2" t="s">
        <v>24</v>
      </c>
      <c r="C2425" s="149">
        <v>198.0</v>
      </c>
    </row>
    <row r="2426">
      <c r="A2426" s="2" t="s">
        <v>59</v>
      </c>
      <c r="B2426" s="2" t="s">
        <v>63</v>
      </c>
      <c r="C2426" s="149">
        <v>800.0</v>
      </c>
    </row>
    <row r="2427">
      <c r="A2427" s="2" t="s">
        <v>59</v>
      </c>
      <c r="B2427" s="2" t="s">
        <v>58</v>
      </c>
      <c r="C2427" s="149">
        <v>136.0</v>
      </c>
    </row>
    <row r="2428">
      <c r="A2428" s="2" t="s">
        <v>59</v>
      </c>
      <c r="B2428" s="2" t="s">
        <v>42</v>
      </c>
      <c r="C2428" s="149">
        <v>1596.0</v>
      </c>
    </row>
    <row r="2429">
      <c r="A2429" s="2" t="s">
        <v>59</v>
      </c>
      <c r="B2429" s="2" t="s">
        <v>21</v>
      </c>
      <c r="C2429" s="149">
        <v>1936.0</v>
      </c>
    </row>
    <row r="2430">
      <c r="A2430" s="2" t="s">
        <v>59</v>
      </c>
      <c r="B2430" s="2" t="s">
        <v>33</v>
      </c>
      <c r="C2430" s="149">
        <v>1270.0</v>
      </c>
    </row>
    <row r="2431">
      <c r="A2431" s="2" t="s">
        <v>59</v>
      </c>
      <c r="B2431" s="2" t="s">
        <v>66</v>
      </c>
      <c r="C2431" s="149">
        <v>1914.0</v>
      </c>
    </row>
    <row r="2432">
      <c r="A2432" s="2" t="s">
        <v>59</v>
      </c>
      <c r="B2432" s="2" t="s">
        <v>29</v>
      </c>
      <c r="C2432" s="149">
        <v>1534.0</v>
      </c>
    </row>
    <row r="2433">
      <c r="A2433" s="2" t="s">
        <v>59</v>
      </c>
      <c r="B2433" s="2" t="s">
        <v>60</v>
      </c>
      <c r="C2433" s="149">
        <v>1392.0</v>
      </c>
    </row>
    <row r="2434">
      <c r="A2434" s="2" t="s">
        <v>59</v>
      </c>
      <c r="B2434" s="2" t="s">
        <v>38</v>
      </c>
      <c r="C2434" s="149">
        <v>974.0</v>
      </c>
    </row>
    <row r="2435">
      <c r="A2435" s="2" t="s">
        <v>59</v>
      </c>
      <c r="B2435" s="2" t="s">
        <v>61</v>
      </c>
      <c r="C2435" s="149">
        <v>1068.0</v>
      </c>
    </row>
    <row r="2436">
      <c r="A2436" s="2" t="s">
        <v>59</v>
      </c>
      <c r="B2436" s="2" t="s">
        <v>52</v>
      </c>
      <c r="C2436" s="149">
        <v>324.0</v>
      </c>
    </row>
    <row r="2437">
      <c r="A2437" s="2" t="s">
        <v>59</v>
      </c>
      <c r="B2437" s="2" t="s">
        <v>25</v>
      </c>
      <c r="C2437" s="149">
        <v>92.0</v>
      </c>
    </row>
    <row r="2438">
      <c r="A2438" s="2" t="s">
        <v>59</v>
      </c>
      <c r="B2438" s="2" t="s">
        <v>67</v>
      </c>
      <c r="C2438" s="149">
        <v>602.0</v>
      </c>
    </row>
    <row r="2439">
      <c r="A2439" s="2" t="s">
        <v>59</v>
      </c>
      <c r="B2439" s="2" t="s">
        <v>45</v>
      </c>
      <c r="C2439" s="149">
        <v>1306.0</v>
      </c>
    </row>
    <row r="2440">
      <c r="A2440" s="2" t="s">
        <v>59</v>
      </c>
      <c r="B2440" s="2" t="s">
        <v>53</v>
      </c>
      <c r="C2440" s="149">
        <v>374.0</v>
      </c>
    </row>
    <row r="2441">
      <c r="A2441" s="2" t="s">
        <v>59</v>
      </c>
      <c r="B2441" s="2" t="s">
        <v>26</v>
      </c>
      <c r="C2441" s="149">
        <v>150.0</v>
      </c>
    </row>
    <row r="2442">
      <c r="A2442" s="2" t="s">
        <v>59</v>
      </c>
      <c r="B2442" s="2" t="s">
        <v>28</v>
      </c>
      <c r="C2442" s="149">
        <v>614.0</v>
      </c>
    </row>
    <row r="2443">
      <c r="A2443" s="2" t="s">
        <v>59</v>
      </c>
      <c r="B2443" s="2" t="s">
        <v>55</v>
      </c>
      <c r="C2443" s="149">
        <v>2592.0</v>
      </c>
    </row>
    <row r="2444">
      <c r="A2444" s="2" t="s">
        <v>59</v>
      </c>
      <c r="B2444" s="2" t="s">
        <v>48</v>
      </c>
      <c r="C2444" s="149">
        <v>1044.0</v>
      </c>
    </row>
    <row r="2445">
      <c r="A2445" s="2" t="s">
        <v>59</v>
      </c>
      <c r="B2445" s="2" t="s">
        <v>2035</v>
      </c>
      <c r="C2445" s="149">
        <v>2822.0</v>
      </c>
    </row>
    <row r="2446">
      <c r="A2446" s="2" t="s">
        <v>59</v>
      </c>
      <c r="B2446" s="2" t="s">
        <v>59</v>
      </c>
      <c r="C2446" s="149">
        <v>0.0</v>
      </c>
    </row>
    <row r="2447">
      <c r="A2447" s="2" t="s">
        <v>59</v>
      </c>
      <c r="B2447" s="2" t="s">
        <v>44</v>
      </c>
      <c r="C2447" s="149">
        <v>1326.0</v>
      </c>
    </row>
    <row r="2448">
      <c r="A2448" s="2" t="s">
        <v>59</v>
      </c>
      <c r="B2448" s="2" t="s">
        <v>2036</v>
      </c>
      <c r="C2448" s="149">
        <v>2752.0</v>
      </c>
    </row>
    <row r="2449">
      <c r="A2449" s="2" t="s">
        <v>59</v>
      </c>
      <c r="B2449" s="2" t="s">
        <v>2037</v>
      </c>
      <c r="C2449" s="149">
        <v>2716.0</v>
      </c>
    </row>
    <row r="2450">
      <c r="A2450" s="2" t="s">
        <v>44</v>
      </c>
      <c r="B2450" s="2" t="s">
        <v>18</v>
      </c>
      <c r="C2450" s="149">
        <v>142.0</v>
      </c>
    </row>
    <row r="2451">
      <c r="A2451" s="2" t="s">
        <v>44</v>
      </c>
      <c r="B2451" s="2" t="s">
        <v>49</v>
      </c>
      <c r="C2451" s="149">
        <v>1934.0</v>
      </c>
    </row>
    <row r="2452">
      <c r="A2452" s="2" t="s">
        <v>44</v>
      </c>
      <c r="B2452" s="2" t="s">
        <v>22</v>
      </c>
      <c r="C2452" s="149">
        <v>1182.0</v>
      </c>
    </row>
    <row r="2453">
      <c r="A2453" s="2" t="s">
        <v>44</v>
      </c>
      <c r="B2453" s="2" t="s">
        <v>27</v>
      </c>
      <c r="C2453" s="149">
        <v>922.0</v>
      </c>
    </row>
    <row r="2454">
      <c r="A2454" s="2" t="s">
        <v>44</v>
      </c>
      <c r="B2454" s="2" t="s">
        <v>35</v>
      </c>
      <c r="C2454" s="149">
        <v>774.0</v>
      </c>
    </row>
    <row r="2455">
      <c r="A2455" s="2" t="s">
        <v>44</v>
      </c>
      <c r="B2455" s="2" t="s">
        <v>41</v>
      </c>
      <c r="C2455" s="149">
        <v>590.0</v>
      </c>
    </row>
    <row r="2456">
      <c r="A2456" s="2" t="s">
        <v>44</v>
      </c>
      <c r="B2456" s="2" t="s">
        <v>57</v>
      </c>
      <c r="C2456" s="149">
        <v>1382.0</v>
      </c>
    </row>
    <row r="2457">
      <c r="A2457" s="2" t="s">
        <v>44</v>
      </c>
      <c r="B2457" s="2" t="s">
        <v>37</v>
      </c>
      <c r="C2457" s="149">
        <v>824.0</v>
      </c>
    </row>
    <row r="2458">
      <c r="A2458" s="2" t="s">
        <v>44</v>
      </c>
      <c r="B2458" s="2" t="s">
        <v>39</v>
      </c>
      <c r="C2458" s="149">
        <v>796.0</v>
      </c>
    </row>
    <row r="2459">
      <c r="A2459" s="2" t="s">
        <v>44</v>
      </c>
      <c r="B2459" s="2" t="s">
        <v>64</v>
      </c>
      <c r="C2459" s="149">
        <v>376.0</v>
      </c>
    </row>
    <row r="2460">
      <c r="A2460" s="2" t="s">
        <v>44</v>
      </c>
      <c r="B2460" s="2" t="s">
        <v>65</v>
      </c>
      <c r="C2460" s="149">
        <v>490.0</v>
      </c>
    </row>
    <row r="2461">
      <c r="A2461" s="2" t="s">
        <v>44</v>
      </c>
      <c r="B2461" s="2" t="s">
        <v>36</v>
      </c>
      <c r="C2461" s="149">
        <v>764.0</v>
      </c>
    </row>
    <row r="2462">
      <c r="A2462" s="2" t="s">
        <v>44</v>
      </c>
      <c r="B2462" s="2" t="s">
        <v>31</v>
      </c>
      <c r="C2462" s="149">
        <v>1258.0</v>
      </c>
    </row>
    <row r="2463">
      <c r="A2463" s="2" t="s">
        <v>44</v>
      </c>
      <c r="B2463" s="2" t="s">
        <v>43</v>
      </c>
      <c r="C2463" s="149">
        <v>282.0</v>
      </c>
    </row>
    <row r="2464">
      <c r="A2464" s="2" t="s">
        <v>44</v>
      </c>
      <c r="B2464" s="2" t="s">
        <v>40</v>
      </c>
      <c r="C2464" s="149">
        <v>606.0</v>
      </c>
    </row>
    <row r="2465">
      <c r="A2465" s="2" t="s">
        <v>44</v>
      </c>
      <c r="B2465" s="2" t="s">
        <v>50</v>
      </c>
      <c r="C2465" s="149">
        <v>1978.0</v>
      </c>
    </row>
    <row r="2466">
      <c r="A2466" s="2" t="s">
        <v>44</v>
      </c>
      <c r="B2466" s="2" t="s">
        <v>51</v>
      </c>
      <c r="C2466" s="149">
        <v>954.0</v>
      </c>
    </row>
    <row r="2467">
      <c r="A2467" s="2" t="s">
        <v>44</v>
      </c>
      <c r="B2467" s="2" t="s">
        <v>23</v>
      </c>
      <c r="C2467" s="149">
        <v>1294.0</v>
      </c>
    </row>
    <row r="2468">
      <c r="A2468" s="2" t="s">
        <v>44</v>
      </c>
      <c r="B2468" s="2" t="s">
        <v>47</v>
      </c>
      <c r="C2468" s="149">
        <v>350.0</v>
      </c>
    </row>
    <row r="2469">
      <c r="A2469" s="2" t="s">
        <v>44</v>
      </c>
      <c r="B2469" s="2" t="s">
        <v>62</v>
      </c>
      <c r="C2469" s="149">
        <v>230.0</v>
      </c>
    </row>
    <row r="2470">
      <c r="A2470" s="2" t="s">
        <v>44</v>
      </c>
      <c r="B2470" s="2" t="s">
        <v>30</v>
      </c>
      <c r="C2470" s="149">
        <v>936.0</v>
      </c>
    </row>
    <row r="2471">
      <c r="A2471" s="2" t="s">
        <v>44</v>
      </c>
      <c r="B2471" s="2" t="s">
        <v>32</v>
      </c>
      <c r="C2471" s="149">
        <v>1020.0</v>
      </c>
    </row>
    <row r="2472">
      <c r="A2472" s="2" t="s">
        <v>44</v>
      </c>
      <c r="B2472" s="2" t="s">
        <v>46</v>
      </c>
      <c r="C2472" s="149">
        <v>394.0</v>
      </c>
    </row>
    <row r="2473">
      <c r="A2473" s="2" t="s">
        <v>44</v>
      </c>
      <c r="B2473" s="2" t="s">
        <v>54</v>
      </c>
      <c r="C2473" s="149">
        <v>1500.0</v>
      </c>
    </row>
    <row r="2474">
      <c r="A2474" s="2" t="s">
        <v>44</v>
      </c>
      <c r="B2474" s="2" t="s">
        <v>34</v>
      </c>
      <c r="C2474" s="149">
        <v>496.0</v>
      </c>
    </row>
    <row r="2475">
      <c r="A2475" s="2" t="s">
        <v>44</v>
      </c>
      <c r="B2475" s="2" t="s">
        <v>20</v>
      </c>
      <c r="C2475" s="149">
        <v>1288.0</v>
      </c>
    </row>
    <row r="2476">
      <c r="A2476" s="2" t="s">
        <v>44</v>
      </c>
      <c r="B2476" s="2" t="s">
        <v>24</v>
      </c>
      <c r="C2476" s="149">
        <v>1122.0</v>
      </c>
    </row>
    <row r="2477">
      <c r="A2477" s="2" t="s">
        <v>44</v>
      </c>
      <c r="B2477" s="2" t="s">
        <v>63</v>
      </c>
      <c r="C2477" s="149">
        <v>646.0</v>
      </c>
    </row>
    <row r="2478">
      <c r="A2478" s="2" t="s">
        <v>44</v>
      </c>
      <c r="B2478" s="2" t="s">
        <v>58</v>
      </c>
      <c r="C2478" s="149">
        <v>1420.0</v>
      </c>
    </row>
    <row r="2479">
      <c r="A2479" s="2" t="s">
        <v>44</v>
      </c>
      <c r="B2479" s="2" t="s">
        <v>42</v>
      </c>
      <c r="C2479" s="149">
        <v>482.0</v>
      </c>
    </row>
    <row r="2480">
      <c r="A2480" s="2" t="s">
        <v>44</v>
      </c>
      <c r="B2480" s="2" t="s">
        <v>21</v>
      </c>
      <c r="C2480" s="149">
        <v>1268.0</v>
      </c>
    </row>
    <row r="2481">
      <c r="A2481" s="2" t="s">
        <v>44</v>
      </c>
      <c r="B2481" s="2" t="s">
        <v>33</v>
      </c>
      <c r="C2481" s="149">
        <v>1002.0</v>
      </c>
    </row>
    <row r="2482">
      <c r="A2482" s="2" t="s">
        <v>44</v>
      </c>
      <c r="B2482" s="2" t="s">
        <v>66</v>
      </c>
      <c r="C2482" s="149">
        <v>610.0</v>
      </c>
    </row>
    <row r="2483">
      <c r="A2483" s="2" t="s">
        <v>44</v>
      </c>
      <c r="B2483" s="2" t="s">
        <v>29</v>
      </c>
      <c r="C2483" s="149">
        <v>1650.0</v>
      </c>
    </row>
    <row r="2484">
      <c r="A2484" s="2" t="s">
        <v>44</v>
      </c>
      <c r="B2484" s="2" t="s">
        <v>60</v>
      </c>
      <c r="C2484" s="149">
        <v>638.0</v>
      </c>
    </row>
    <row r="2485">
      <c r="A2485" s="2" t="s">
        <v>44</v>
      </c>
      <c r="B2485" s="2" t="s">
        <v>38</v>
      </c>
      <c r="C2485" s="149">
        <v>1090.0</v>
      </c>
    </row>
    <row r="2486">
      <c r="A2486" s="2" t="s">
        <v>44</v>
      </c>
      <c r="B2486" s="2" t="s">
        <v>61</v>
      </c>
      <c r="C2486" s="149">
        <v>300.0</v>
      </c>
    </row>
    <row r="2487">
      <c r="A2487" s="2" t="s">
        <v>44</v>
      </c>
      <c r="B2487" s="2" t="s">
        <v>52</v>
      </c>
      <c r="C2487" s="149">
        <v>1126.0</v>
      </c>
    </row>
    <row r="2488">
      <c r="A2488" s="2" t="s">
        <v>44</v>
      </c>
      <c r="B2488" s="2" t="s">
        <v>25</v>
      </c>
      <c r="C2488" s="149">
        <v>1256.0</v>
      </c>
    </row>
    <row r="2489">
      <c r="A2489" s="2" t="s">
        <v>44</v>
      </c>
      <c r="B2489" s="2" t="s">
        <v>67</v>
      </c>
      <c r="C2489" s="149">
        <v>1350.0</v>
      </c>
    </row>
    <row r="2490">
      <c r="A2490" s="2" t="s">
        <v>44</v>
      </c>
      <c r="B2490" s="2" t="s">
        <v>45</v>
      </c>
      <c r="C2490" s="149">
        <v>394.0</v>
      </c>
    </row>
    <row r="2491">
      <c r="A2491" s="2" t="s">
        <v>44</v>
      </c>
      <c r="B2491" s="2" t="s">
        <v>53</v>
      </c>
      <c r="C2491" s="149">
        <v>1528.0</v>
      </c>
    </row>
    <row r="2492">
      <c r="A2492" s="2" t="s">
        <v>44</v>
      </c>
      <c r="B2492" s="2" t="s">
        <v>26</v>
      </c>
      <c r="C2492" s="149">
        <v>1382.0</v>
      </c>
    </row>
    <row r="2493">
      <c r="A2493" s="2" t="s">
        <v>44</v>
      </c>
      <c r="B2493" s="2" t="s">
        <v>28</v>
      </c>
      <c r="C2493" s="149">
        <v>930.0</v>
      </c>
    </row>
    <row r="2494">
      <c r="A2494" s="2" t="s">
        <v>44</v>
      </c>
      <c r="B2494" s="2" t="s">
        <v>55</v>
      </c>
      <c r="C2494" s="149">
        <v>1914.0</v>
      </c>
    </row>
    <row r="2495">
      <c r="A2495" s="2" t="s">
        <v>44</v>
      </c>
      <c r="B2495" s="2" t="s">
        <v>48</v>
      </c>
      <c r="C2495" s="149">
        <v>488.0</v>
      </c>
    </row>
    <row r="2496">
      <c r="A2496" s="2" t="s">
        <v>44</v>
      </c>
      <c r="B2496" s="2" t="s">
        <v>2035</v>
      </c>
      <c r="C2496" s="149">
        <v>2146.0</v>
      </c>
    </row>
    <row r="2497">
      <c r="A2497" s="2" t="s">
        <v>44</v>
      </c>
      <c r="B2497" s="2" t="s">
        <v>59</v>
      </c>
      <c r="C2497" s="149">
        <v>1326.0</v>
      </c>
    </row>
    <row r="2498">
      <c r="A2498" s="2" t="s">
        <v>44</v>
      </c>
      <c r="B2498" s="2" t="s">
        <v>44</v>
      </c>
      <c r="C2498" s="149">
        <v>0.0</v>
      </c>
    </row>
    <row r="2499">
      <c r="A2499" s="2" t="s">
        <v>44</v>
      </c>
      <c r="B2499" s="2" t="s">
        <v>2036</v>
      </c>
      <c r="C2499" s="149">
        <v>2070.0</v>
      </c>
    </row>
    <row r="2500">
      <c r="A2500" s="2" t="s">
        <v>44</v>
      </c>
      <c r="B2500" s="2" t="s">
        <v>2037</v>
      </c>
      <c r="C2500" s="149">
        <v>2140.0</v>
      </c>
    </row>
    <row r="2501">
      <c r="A2501" s="2" t="s">
        <v>2036</v>
      </c>
      <c r="B2501" s="2" t="s">
        <v>18</v>
      </c>
      <c r="C2501" s="149">
        <v>1830.0</v>
      </c>
    </row>
    <row r="2502">
      <c r="A2502" s="2" t="s">
        <v>2036</v>
      </c>
      <c r="B2502" s="2" t="s">
        <v>49</v>
      </c>
      <c r="C2502" s="149">
        <v>1320.0</v>
      </c>
    </row>
    <row r="2503">
      <c r="A2503" s="2" t="s">
        <v>2036</v>
      </c>
      <c r="B2503" s="2" t="s">
        <v>22</v>
      </c>
      <c r="C2503" s="149">
        <v>850.0</v>
      </c>
    </row>
    <row r="2504">
      <c r="A2504" s="2" t="s">
        <v>2036</v>
      </c>
      <c r="B2504" s="2" t="s">
        <v>27</v>
      </c>
      <c r="C2504" s="149">
        <v>2014.0</v>
      </c>
    </row>
    <row r="2505">
      <c r="A2505" s="2" t="s">
        <v>2036</v>
      </c>
      <c r="B2505" s="2" t="s">
        <v>35</v>
      </c>
      <c r="C2505" s="149">
        <v>2588.0</v>
      </c>
    </row>
    <row r="2506">
      <c r="A2506" s="2" t="s">
        <v>2036</v>
      </c>
      <c r="B2506" s="2" t="s">
        <v>41</v>
      </c>
      <c r="C2506" s="149">
        <v>2464.0</v>
      </c>
    </row>
    <row r="2507">
      <c r="A2507" s="2" t="s">
        <v>2036</v>
      </c>
      <c r="B2507" s="2" t="s">
        <v>57</v>
      </c>
      <c r="C2507" s="149">
        <v>2562.0</v>
      </c>
    </row>
    <row r="2508">
      <c r="A2508" s="2" t="s">
        <v>2036</v>
      </c>
      <c r="B2508" s="2" t="s">
        <v>37</v>
      </c>
      <c r="C2508" s="149">
        <v>1822.0</v>
      </c>
    </row>
    <row r="2509">
      <c r="A2509" s="2" t="s">
        <v>2036</v>
      </c>
      <c r="B2509" s="2" t="s">
        <v>39</v>
      </c>
      <c r="C2509" s="149">
        <v>1684.0</v>
      </c>
    </row>
    <row r="2510">
      <c r="A2510" s="2" t="s">
        <v>2036</v>
      </c>
      <c r="B2510" s="2" t="s">
        <v>64</v>
      </c>
      <c r="C2510" s="149">
        <v>2226.0</v>
      </c>
    </row>
    <row r="2511">
      <c r="A2511" s="2" t="s">
        <v>2036</v>
      </c>
      <c r="B2511" s="2" t="s">
        <v>65</v>
      </c>
      <c r="C2511" s="149">
        <v>2100.0</v>
      </c>
    </row>
    <row r="2512">
      <c r="A2512" s="2" t="s">
        <v>2036</v>
      </c>
      <c r="B2512" s="2" t="s">
        <v>36</v>
      </c>
      <c r="C2512" s="149">
        <v>2576.0</v>
      </c>
    </row>
    <row r="2513">
      <c r="A2513" s="2" t="s">
        <v>2036</v>
      </c>
      <c r="B2513" s="2" t="s">
        <v>31</v>
      </c>
      <c r="C2513" s="149">
        <v>2528.0</v>
      </c>
    </row>
    <row r="2514">
      <c r="A2514" s="2" t="s">
        <v>2036</v>
      </c>
      <c r="B2514" s="2" t="s">
        <v>43</v>
      </c>
      <c r="C2514" s="149">
        <v>2282.0</v>
      </c>
    </row>
    <row r="2515">
      <c r="A2515" s="2" t="s">
        <v>2036</v>
      </c>
      <c r="B2515" s="2" t="s">
        <v>40</v>
      </c>
      <c r="C2515" s="149">
        <v>1622.0</v>
      </c>
    </row>
    <row r="2516">
      <c r="A2516" s="2" t="s">
        <v>2036</v>
      </c>
      <c r="B2516" s="2" t="s">
        <v>50</v>
      </c>
      <c r="C2516" s="149">
        <v>48.0</v>
      </c>
    </row>
    <row r="2517">
      <c r="A2517" s="2" t="s">
        <v>2036</v>
      </c>
      <c r="B2517" s="2" t="s">
        <v>51</v>
      </c>
      <c r="C2517" s="149">
        <v>2148.0</v>
      </c>
    </row>
    <row r="2518">
      <c r="A2518" s="2" t="s">
        <v>2036</v>
      </c>
      <c r="B2518" s="2" t="s">
        <v>23</v>
      </c>
      <c r="C2518" s="149">
        <v>788.0</v>
      </c>
    </row>
    <row r="2519">
      <c r="A2519" s="2" t="s">
        <v>2036</v>
      </c>
      <c r="B2519" s="2" t="s">
        <v>47</v>
      </c>
      <c r="C2519" s="149">
        <v>1960.0</v>
      </c>
    </row>
    <row r="2520">
      <c r="A2520" s="2" t="s">
        <v>2036</v>
      </c>
      <c r="B2520" s="2" t="s">
        <v>62</v>
      </c>
      <c r="C2520" s="149">
        <v>1830.0</v>
      </c>
    </row>
    <row r="2521">
      <c r="A2521" s="2" t="s">
        <v>2036</v>
      </c>
      <c r="B2521" s="2" t="s">
        <v>30</v>
      </c>
      <c r="C2521" s="149">
        <v>2206.0</v>
      </c>
    </row>
    <row r="2522">
      <c r="A2522" s="2" t="s">
        <v>2036</v>
      </c>
      <c r="B2522" s="2" t="s">
        <v>32</v>
      </c>
      <c r="C2522" s="149">
        <v>2290.0</v>
      </c>
    </row>
    <row r="2523">
      <c r="A2523" s="2" t="s">
        <v>2036</v>
      </c>
      <c r="B2523" s="2" t="s">
        <v>46</v>
      </c>
      <c r="C2523" s="149">
        <v>2006.0</v>
      </c>
    </row>
    <row r="2524">
      <c r="A2524" s="2" t="s">
        <v>2036</v>
      </c>
      <c r="B2524" s="2" t="s">
        <v>54</v>
      </c>
      <c r="C2524" s="149">
        <v>538.0</v>
      </c>
    </row>
    <row r="2525">
      <c r="A2525" s="2" t="s">
        <v>2036</v>
      </c>
      <c r="B2525" s="2" t="s">
        <v>34</v>
      </c>
      <c r="C2525" s="149">
        <v>1618.0</v>
      </c>
    </row>
    <row r="2526">
      <c r="A2526" s="2" t="s">
        <v>2036</v>
      </c>
      <c r="B2526" s="2" t="s">
        <v>20</v>
      </c>
      <c r="C2526" s="149">
        <v>948.0</v>
      </c>
    </row>
    <row r="2527">
      <c r="A2527" s="2" t="s">
        <v>2036</v>
      </c>
      <c r="B2527" s="2" t="s">
        <v>24</v>
      </c>
      <c r="C2527" s="149">
        <v>2314.0</v>
      </c>
    </row>
    <row r="2528">
      <c r="A2528" s="2" t="s">
        <v>2036</v>
      </c>
      <c r="B2528" s="2" t="s">
        <v>63</v>
      </c>
      <c r="C2528" s="149">
        <v>1906.0</v>
      </c>
    </row>
    <row r="2529">
      <c r="A2529" s="2" t="s">
        <v>2036</v>
      </c>
      <c r="B2529" s="2" t="s">
        <v>58</v>
      </c>
      <c r="C2529" s="149">
        <v>2596.0</v>
      </c>
    </row>
    <row r="2530">
      <c r="A2530" s="2" t="s">
        <v>2036</v>
      </c>
      <c r="B2530" s="2" t="s">
        <v>42</v>
      </c>
      <c r="C2530" s="149">
        <v>2292.0</v>
      </c>
    </row>
    <row r="2531">
      <c r="A2531" s="2" t="s">
        <v>2036</v>
      </c>
      <c r="B2531" s="2" t="s">
        <v>21</v>
      </c>
      <c r="C2531" s="149">
        <v>856.0</v>
      </c>
    </row>
    <row r="2532">
      <c r="A2532" s="2" t="s">
        <v>2036</v>
      </c>
      <c r="B2532" s="2" t="s">
        <v>33</v>
      </c>
      <c r="C2532" s="149">
        <v>1448.0</v>
      </c>
    </row>
    <row r="2533">
      <c r="A2533" s="2" t="s">
        <v>2036</v>
      </c>
      <c r="B2533" s="2" t="s">
        <v>66</v>
      </c>
      <c r="C2533" s="149">
        <v>2578.0</v>
      </c>
    </row>
    <row r="2534">
      <c r="A2534" s="2" t="s">
        <v>2036</v>
      </c>
      <c r="B2534" s="2" t="s">
        <v>29</v>
      </c>
      <c r="C2534" s="149">
        <v>2076.0</v>
      </c>
    </row>
    <row r="2535">
      <c r="A2535" s="2" t="s">
        <v>2036</v>
      </c>
      <c r="B2535" s="2" t="s">
        <v>60</v>
      </c>
      <c r="C2535" s="149">
        <v>1378.0</v>
      </c>
    </row>
    <row r="2536">
      <c r="A2536" s="2" t="s">
        <v>2036</v>
      </c>
      <c r="B2536" s="2" t="s">
        <v>38</v>
      </c>
      <c r="C2536" s="149">
        <v>2130.0</v>
      </c>
    </row>
    <row r="2537">
      <c r="A2537" s="2" t="s">
        <v>2036</v>
      </c>
      <c r="B2537" s="2" t="s">
        <v>61</v>
      </c>
      <c r="C2537" s="149">
        <v>1754.0</v>
      </c>
    </row>
    <row r="2538">
      <c r="A2538" s="2" t="s">
        <v>2036</v>
      </c>
      <c r="B2538" s="2" t="s">
        <v>52</v>
      </c>
      <c r="C2538" s="149">
        <v>2322.0</v>
      </c>
    </row>
    <row r="2539">
      <c r="A2539" s="2" t="s">
        <v>2036</v>
      </c>
      <c r="B2539" s="2" t="s">
        <v>25</v>
      </c>
      <c r="C2539" s="149">
        <v>2442.0</v>
      </c>
    </row>
    <row r="2540">
      <c r="A2540" s="2" t="s">
        <v>2036</v>
      </c>
      <c r="B2540" s="2" t="s">
        <v>67</v>
      </c>
      <c r="C2540" s="149">
        <v>2524.0</v>
      </c>
    </row>
    <row r="2541">
      <c r="A2541" s="2" t="s">
        <v>2036</v>
      </c>
      <c r="B2541" s="2" t="s">
        <v>45</v>
      </c>
      <c r="C2541" s="149">
        <v>2006.0</v>
      </c>
    </row>
    <row r="2542">
      <c r="A2542" s="2" t="s">
        <v>2036</v>
      </c>
      <c r="B2542" s="2" t="s">
        <v>53</v>
      </c>
      <c r="C2542" s="149">
        <v>2764.0</v>
      </c>
    </row>
    <row r="2543">
      <c r="A2543" s="2" t="s">
        <v>2036</v>
      </c>
      <c r="B2543" s="2" t="s">
        <v>26</v>
      </c>
      <c r="C2543" s="149">
        <v>2572.0</v>
      </c>
    </row>
    <row r="2544">
      <c r="A2544" s="2" t="s">
        <v>2036</v>
      </c>
      <c r="B2544" s="2" t="s">
        <v>28</v>
      </c>
      <c r="C2544" s="149">
        <v>1928.0</v>
      </c>
    </row>
    <row r="2545">
      <c r="A2545" s="2" t="s">
        <v>2036</v>
      </c>
      <c r="B2545" s="2" t="s">
        <v>55</v>
      </c>
      <c r="C2545" s="149">
        <v>212.0</v>
      </c>
    </row>
    <row r="2546">
      <c r="A2546" s="2" t="s">
        <v>2036</v>
      </c>
      <c r="B2546" s="2" t="s">
        <v>48</v>
      </c>
      <c r="C2546" s="149">
        <v>2094.0</v>
      </c>
    </row>
    <row r="2547">
      <c r="A2547" s="2" t="s">
        <v>2036</v>
      </c>
      <c r="B2547" s="2" t="s">
        <v>2035</v>
      </c>
      <c r="C2547" s="149">
        <v>164.0</v>
      </c>
    </row>
    <row r="2548">
      <c r="A2548" s="2" t="s">
        <v>2036</v>
      </c>
      <c r="B2548" s="2" t="s">
        <v>59</v>
      </c>
      <c r="C2548" s="149">
        <v>2498.0</v>
      </c>
    </row>
    <row r="2549">
      <c r="A2549" s="2" t="s">
        <v>2036</v>
      </c>
      <c r="B2549" s="2" t="s">
        <v>44</v>
      </c>
      <c r="C2549" s="149">
        <v>2022.0</v>
      </c>
    </row>
    <row r="2550">
      <c r="A2550" s="2" t="s">
        <v>2036</v>
      </c>
      <c r="B2550" s="2" t="s">
        <v>2036</v>
      </c>
      <c r="C2550" s="149">
        <v>0.0</v>
      </c>
    </row>
    <row r="2551">
      <c r="A2551" s="2" t="s">
        <v>2036</v>
      </c>
      <c r="B2551" s="2" t="s">
        <v>2037</v>
      </c>
      <c r="C2551" s="149">
        <v>1356.0</v>
      </c>
    </row>
    <row r="2552">
      <c r="A2552" s="2" t="s">
        <v>2037</v>
      </c>
      <c r="B2552" s="2" t="s">
        <v>18</v>
      </c>
      <c r="C2552" s="149">
        <v>1892.0</v>
      </c>
    </row>
    <row r="2553">
      <c r="A2553" s="2" t="s">
        <v>2037</v>
      </c>
      <c r="B2553" s="2" t="s">
        <v>49</v>
      </c>
      <c r="C2553" s="149">
        <v>90.0</v>
      </c>
    </row>
    <row r="2554">
      <c r="A2554" s="2" t="s">
        <v>2037</v>
      </c>
      <c r="B2554" s="2" t="s">
        <v>22</v>
      </c>
      <c r="C2554" s="149">
        <v>958.0</v>
      </c>
    </row>
    <row r="2555">
      <c r="A2555" s="2" t="s">
        <v>2037</v>
      </c>
      <c r="B2555" s="2" t="s">
        <v>27</v>
      </c>
      <c r="C2555" s="149">
        <v>1962.0</v>
      </c>
    </row>
    <row r="2556">
      <c r="A2556" s="2" t="s">
        <v>2037</v>
      </c>
      <c r="B2556" s="2" t="s">
        <v>35</v>
      </c>
      <c r="C2556" s="149">
        <v>2680.0</v>
      </c>
    </row>
    <row r="2557">
      <c r="A2557" s="2" t="s">
        <v>2037</v>
      </c>
      <c r="B2557" s="2" t="s">
        <v>41</v>
      </c>
      <c r="C2557" s="149">
        <v>2554.0</v>
      </c>
    </row>
    <row r="2558">
      <c r="A2558" s="2" t="s">
        <v>2037</v>
      </c>
      <c r="B2558" s="2" t="s">
        <v>57</v>
      </c>
      <c r="C2558" s="149">
        <v>2508.0</v>
      </c>
    </row>
    <row r="2559">
      <c r="A2559" s="2" t="s">
        <v>2037</v>
      </c>
      <c r="B2559" s="2" t="s">
        <v>37</v>
      </c>
      <c r="C2559" s="149">
        <v>1768.0</v>
      </c>
    </row>
    <row r="2560">
      <c r="A2560" s="2" t="s">
        <v>2037</v>
      </c>
      <c r="B2560" s="2" t="s">
        <v>39</v>
      </c>
      <c r="C2560" s="149">
        <v>1632.0</v>
      </c>
    </row>
    <row r="2561">
      <c r="A2561" s="2" t="s">
        <v>2037</v>
      </c>
      <c r="B2561" s="2" t="s">
        <v>64</v>
      </c>
      <c r="C2561" s="149">
        <v>2316.0</v>
      </c>
    </row>
    <row r="2562">
      <c r="A2562" s="2" t="s">
        <v>2037</v>
      </c>
      <c r="B2562" s="2" t="s">
        <v>65</v>
      </c>
      <c r="C2562" s="149">
        <v>2192.0</v>
      </c>
    </row>
    <row r="2563">
      <c r="A2563" s="2" t="s">
        <v>2037</v>
      </c>
      <c r="B2563" s="2" t="s">
        <v>36</v>
      </c>
      <c r="C2563" s="149">
        <v>2668.0</v>
      </c>
    </row>
    <row r="2564">
      <c r="A2564" s="2" t="s">
        <v>2037</v>
      </c>
      <c r="B2564" s="2" t="s">
        <v>31</v>
      </c>
      <c r="C2564" s="149">
        <v>2476.0</v>
      </c>
    </row>
    <row r="2565">
      <c r="A2565" s="2" t="s">
        <v>2037</v>
      </c>
      <c r="B2565" s="2" t="s">
        <v>43</v>
      </c>
      <c r="C2565" s="149">
        <v>2372.0</v>
      </c>
    </row>
    <row r="2566">
      <c r="A2566" s="2" t="s">
        <v>2037</v>
      </c>
      <c r="B2566" s="2" t="s">
        <v>40</v>
      </c>
      <c r="C2566" s="149">
        <v>1568.0</v>
      </c>
    </row>
    <row r="2567">
      <c r="A2567" s="2" t="s">
        <v>2037</v>
      </c>
      <c r="B2567" s="2" t="s">
        <v>50</v>
      </c>
      <c r="C2567" s="149">
        <v>1340.0</v>
      </c>
    </row>
    <row r="2568">
      <c r="A2568" s="2" t="s">
        <v>2037</v>
      </c>
      <c r="B2568" s="2" t="s">
        <v>51</v>
      </c>
      <c r="C2568" s="149">
        <v>2094.0</v>
      </c>
    </row>
    <row r="2569">
      <c r="A2569" s="2" t="s">
        <v>2037</v>
      </c>
      <c r="B2569" s="2" t="s">
        <v>23</v>
      </c>
      <c r="C2569" s="149">
        <v>970.0</v>
      </c>
    </row>
    <row r="2570">
      <c r="A2570" s="2" t="s">
        <v>2037</v>
      </c>
      <c r="B2570" s="2" t="s">
        <v>47</v>
      </c>
      <c r="C2570" s="149">
        <v>2050.0</v>
      </c>
    </row>
    <row r="2571">
      <c r="A2571" s="2" t="s">
        <v>2037</v>
      </c>
      <c r="B2571" s="2" t="s">
        <v>62</v>
      </c>
      <c r="C2571" s="149">
        <v>1920.0</v>
      </c>
    </row>
    <row r="2572">
      <c r="A2572" s="2" t="s">
        <v>2037</v>
      </c>
      <c r="B2572" s="2" t="s">
        <v>30</v>
      </c>
      <c r="C2572" s="149">
        <v>2152.0</v>
      </c>
    </row>
    <row r="2573">
      <c r="A2573" s="2" t="s">
        <v>2037</v>
      </c>
      <c r="B2573" s="2" t="s">
        <v>32</v>
      </c>
      <c r="C2573" s="149">
        <v>2238.0</v>
      </c>
    </row>
    <row r="2574">
      <c r="A2574" s="2" t="s">
        <v>2037</v>
      </c>
      <c r="B2574" s="2" t="s">
        <v>46</v>
      </c>
      <c r="C2574" s="149">
        <v>2096.0</v>
      </c>
    </row>
    <row r="2575">
      <c r="A2575" s="2" t="s">
        <v>2037</v>
      </c>
      <c r="B2575" s="2" t="s">
        <v>54</v>
      </c>
      <c r="C2575" s="149">
        <v>850.0</v>
      </c>
    </row>
    <row r="2576">
      <c r="A2576" s="2" t="s">
        <v>2037</v>
      </c>
      <c r="B2576" s="2" t="s">
        <v>34</v>
      </c>
      <c r="C2576" s="149">
        <v>1708.0</v>
      </c>
    </row>
    <row r="2577">
      <c r="A2577" s="2" t="s">
        <v>2037</v>
      </c>
      <c r="B2577" s="2" t="s">
        <v>20</v>
      </c>
      <c r="C2577" s="149">
        <v>784.0</v>
      </c>
    </row>
    <row r="2578">
      <c r="A2578" s="2" t="s">
        <v>2037</v>
      </c>
      <c r="B2578" s="2" t="s">
        <v>24</v>
      </c>
      <c r="C2578" s="149">
        <v>2260.0</v>
      </c>
    </row>
    <row r="2579">
      <c r="A2579" s="2" t="s">
        <v>2037</v>
      </c>
      <c r="B2579" s="2" t="s">
        <v>63</v>
      </c>
      <c r="C2579" s="149">
        <v>1854.0</v>
      </c>
    </row>
    <row r="2580">
      <c r="A2580" s="2" t="s">
        <v>2037</v>
      </c>
      <c r="B2580" s="2" t="s">
        <v>58</v>
      </c>
      <c r="C2580" s="149">
        <v>2544.0</v>
      </c>
    </row>
    <row r="2581">
      <c r="A2581" s="2" t="s">
        <v>2037</v>
      </c>
      <c r="B2581" s="2" t="s">
        <v>42</v>
      </c>
      <c r="C2581" s="149">
        <v>2382.0</v>
      </c>
    </row>
    <row r="2582">
      <c r="A2582" s="2" t="s">
        <v>2037</v>
      </c>
      <c r="B2582" s="2" t="s">
        <v>21</v>
      </c>
      <c r="C2582" s="149">
        <v>860.0</v>
      </c>
    </row>
    <row r="2583">
      <c r="A2583" s="2" t="s">
        <v>2037</v>
      </c>
      <c r="B2583" s="2" t="s">
        <v>33</v>
      </c>
      <c r="C2583" s="149">
        <v>1396.0</v>
      </c>
    </row>
    <row r="2584">
      <c r="A2584" s="2" t="s">
        <v>2037</v>
      </c>
      <c r="B2584" s="2" t="s">
        <v>66</v>
      </c>
      <c r="C2584" s="149">
        <v>2670.0</v>
      </c>
    </row>
    <row r="2585">
      <c r="A2585" s="2" t="s">
        <v>2037</v>
      </c>
      <c r="B2585" s="2" t="s">
        <v>29</v>
      </c>
      <c r="C2585" s="149">
        <v>1500.0</v>
      </c>
    </row>
    <row r="2586">
      <c r="A2586" s="2" t="s">
        <v>2037</v>
      </c>
      <c r="B2586" s="2" t="s">
        <v>60</v>
      </c>
      <c r="C2586" s="149">
        <v>1470.0</v>
      </c>
    </row>
    <row r="2587">
      <c r="A2587" s="2" t="s">
        <v>2037</v>
      </c>
      <c r="B2587" s="2" t="s">
        <v>38</v>
      </c>
      <c r="C2587" s="149">
        <v>2076.0</v>
      </c>
    </row>
    <row r="2588">
      <c r="A2588" s="2" t="s">
        <v>2037</v>
      </c>
      <c r="B2588" s="2" t="s">
        <v>61</v>
      </c>
      <c r="C2588" s="149">
        <v>1844.0</v>
      </c>
    </row>
    <row r="2589">
      <c r="A2589" s="2" t="s">
        <v>2037</v>
      </c>
      <c r="B2589" s="2" t="s">
        <v>52</v>
      </c>
      <c r="C2589" s="149">
        <v>2270.0</v>
      </c>
    </row>
    <row r="2590">
      <c r="A2590" s="2" t="s">
        <v>2037</v>
      </c>
      <c r="B2590" s="2" t="s">
        <v>25</v>
      </c>
      <c r="C2590" s="149">
        <v>2388.0</v>
      </c>
    </row>
    <row r="2591">
      <c r="A2591" s="2" t="s">
        <v>2037</v>
      </c>
      <c r="B2591" s="2" t="s">
        <v>67</v>
      </c>
      <c r="C2591" s="149">
        <v>2472.0</v>
      </c>
    </row>
    <row r="2592">
      <c r="A2592" s="2" t="s">
        <v>2037</v>
      </c>
      <c r="B2592" s="2" t="s">
        <v>45</v>
      </c>
      <c r="C2592" s="149">
        <v>2096.0</v>
      </c>
    </row>
    <row r="2593">
      <c r="A2593" s="2" t="s">
        <v>2037</v>
      </c>
      <c r="B2593" s="2" t="s">
        <v>53</v>
      </c>
      <c r="C2593" s="149">
        <v>2710.0</v>
      </c>
    </row>
    <row r="2594">
      <c r="A2594" s="2" t="s">
        <v>2037</v>
      </c>
      <c r="B2594" s="2" t="s">
        <v>26</v>
      </c>
      <c r="C2594" s="149">
        <v>2520.0</v>
      </c>
    </row>
    <row r="2595">
      <c r="A2595" s="2" t="s">
        <v>2037</v>
      </c>
      <c r="B2595" s="2" t="s">
        <v>28</v>
      </c>
      <c r="C2595" s="149">
        <v>1874.0</v>
      </c>
    </row>
    <row r="2596">
      <c r="A2596" s="2" t="s">
        <v>2037</v>
      </c>
      <c r="B2596" s="2" t="s">
        <v>55</v>
      </c>
      <c r="C2596" s="149">
        <v>1232.0</v>
      </c>
    </row>
    <row r="2597">
      <c r="A2597" s="2" t="s">
        <v>2037</v>
      </c>
      <c r="B2597" s="2" t="s">
        <v>48</v>
      </c>
      <c r="C2597" s="149">
        <v>2086.0</v>
      </c>
    </row>
    <row r="2598">
      <c r="A2598" s="2" t="s">
        <v>2037</v>
      </c>
      <c r="B2598" s="2" t="s">
        <v>2035</v>
      </c>
      <c r="C2598" s="149">
        <v>1490.0</v>
      </c>
    </row>
    <row r="2599">
      <c r="A2599" s="2" t="s">
        <v>2037</v>
      </c>
      <c r="B2599" s="2" t="s">
        <v>59</v>
      </c>
      <c r="C2599" s="149">
        <v>2446.0</v>
      </c>
    </row>
    <row r="2600">
      <c r="A2600" s="2" t="s">
        <v>2037</v>
      </c>
      <c r="B2600" s="2" t="s">
        <v>44</v>
      </c>
      <c r="C2600" s="149">
        <v>2112.0</v>
      </c>
    </row>
    <row r="2601">
      <c r="A2601" s="2" t="s">
        <v>2037</v>
      </c>
      <c r="B2601" s="2" t="s">
        <v>2036</v>
      </c>
      <c r="C2601" s="149">
        <v>1352.0</v>
      </c>
    </row>
    <row r="2602">
      <c r="A2602" s="2" t="s">
        <v>2037</v>
      </c>
      <c r="B2602" s="2" t="s">
        <v>2037</v>
      </c>
      <c r="C2602" s="149">
        <v>0.0</v>
      </c>
    </row>
    <row r="2603">
      <c r="A2603" s="24" t="s">
        <v>18</v>
      </c>
      <c r="B2603" s="24" t="s">
        <v>56</v>
      </c>
      <c r="C2603" s="27">
        <v>1770.0</v>
      </c>
    </row>
    <row r="2604">
      <c r="A2604" s="24" t="s">
        <v>49</v>
      </c>
      <c r="B2604" s="24" t="s">
        <v>56</v>
      </c>
      <c r="C2604" s="27">
        <v>1245.0</v>
      </c>
    </row>
    <row r="2605">
      <c r="A2605" s="24" t="s">
        <v>22</v>
      </c>
      <c r="B2605" s="24" t="s">
        <v>56</v>
      </c>
      <c r="C2605" s="27">
        <v>870.0</v>
      </c>
    </row>
    <row r="2606">
      <c r="A2606" s="24" t="s">
        <v>27</v>
      </c>
      <c r="B2606" s="24" t="s">
        <v>56</v>
      </c>
      <c r="C2606" s="27">
        <v>2070.0</v>
      </c>
    </row>
    <row r="2607">
      <c r="A2607" s="24" t="s">
        <v>35</v>
      </c>
      <c r="B2607" s="24" t="s">
        <v>56</v>
      </c>
      <c r="C2607" s="27">
        <v>2400.0</v>
      </c>
    </row>
    <row r="2608">
      <c r="A2608" s="24" t="s">
        <v>41</v>
      </c>
      <c r="B2608" s="24" t="s">
        <v>56</v>
      </c>
      <c r="C2608" s="27">
        <v>2295.0</v>
      </c>
    </row>
    <row r="2609">
      <c r="A2609" s="24" t="s">
        <v>57</v>
      </c>
      <c r="B2609" s="24" t="s">
        <v>56</v>
      </c>
      <c r="C2609" s="27">
        <v>2535.0</v>
      </c>
    </row>
    <row r="2610">
      <c r="A2610" s="24" t="s">
        <v>37</v>
      </c>
      <c r="B2610" s="24" t="s">
        <v>56</v>
      </c>
      <c r="C2610" s="27">
        <v>1905.0</v>
      </c>
    </row>
    <row r="2611">
      <c r="A2611" s="24" t="s">
        <v>39</v>
      </c>
      <c r="B2611" s="24" t="s">
        <v>56</v>
      </c>
      <c r="C2611" s="27">
        <v>1800.0</v>
      </c>
    </row>
    <row r="2612">
      <c r="A2612" s="24" t="s">
        <v>64</v>
      </c>
      <c r="B2612" s="24" t="s">
        <v>56</v>
      </c>
      <c r="C2612" s="27">
        <v>2070.0</v>
      </c>
    </row>
    <row r="2613">
      <c r="A2613" s="24" t="s">
        <v>65</v>
      </c>
      <c r="B2613" s="24" t="s">
        <v>56</v>
      </c>
      <c r="C2613" s="27">
        <v>1965.0</v>
      </c>
    </row>
    <row r="2614">
      <c r="A2614" s="24" t="s">
        <v>36</v>
      </c>
      <c r="B2614" s="24" t="s">
        <v>56</v>
      </c>
      <c r="C2614" s="27">
        <v>2400.0</v>
      </c>
    </row>
    <row r="2615">
      <c r="A2615" s="24" t="s">
        <v>31</v>
      </c>
      <c r="B2615" s="24" t="s">
        <v>56</v>
      </c>
      <c r="C2615" s="27">
        <v>2445.0</v>
      </c>
    </row>
    <row r="2616">
      <c r="A2616" s="24" t="s">
        <v>43</v>
      </c>
      <c r="B2616" s="24" t="s">
        <v>56</v>
      </c>
      <c r="C2616" s="27">
        <v>2115.0</v>
      </c>
    </row>
    <row r="2617">
      <c r="A2617" s="24" t="s">
        <v>40</v>
      </c>
      <c r="B2617" s="24" t="s">
        <v>56</v>
      </c>
      <c r="C2617" s="27">
        <v>1650.0</v>
      </c>
    </row>
    <row r="2618">
      <c r="A2618" s="24" t="s">
        <v>50</v>
      </c>
      <c r="B2618" s="24" t="s">
        <v>56</v>
      </c>
      <c r="C2618" s="27">
        <v>150.0</v>
      </c>
    </row>
    <row r="2619">
      <c r="A2619" s="24" t="s">
        <v>51</v>
      </c>
      <c r="B2619" s="24" t="s">
        <v>56</v>
      </c>
      <c r="C2619" s="27">
        <v>2175.0</v>
      </c>
    </row>
    <row r="2620">
      <c r="A2620" s="24" t="s">
        <v>23</v>
      </c>
      <c r="B2620" s="24" t="s">
        <v>56</v>
      </c>
      <c r="C2620" s="27">
        <v>825.0</v>
      </c>
    </row>
    <row r="2621">
      <c r="A2621" s="24" t="s">
        <v>47</v>
      </c>
      <c r="B2621" s="24" t="s">
        <v>56</v>
      </c>
      <c r="C2621" s="27">
        <v>1830.0</v>
      </c>
    </row>
    <row r="2622">
      <c r="A2622" s="24" t="s">
        <v>62</v>
      </c>
      <c r="B2622" s="24" t="s">
        <v>56</v>
      </c>
      <c r="C2622" s="27">
        <v>1710.0</v>
      </c>
    </row>
    <row r="2623">
      <c r="A2623" s="24" t="s">
        <v>30</v>
      </c>
      <c r="B2623" s="24" t="s">
        <v>56</v>
      </c>
      <c r="C2623" s="27">
        <v>2160.0</v>
      </c>
    </row>
    <row r="2624">
      <c r="A2624" s="24" t="s">
        <v>32</v>
      </c>
      <c r="B2624" s="24" t="s">
        <v>56</v>
      </c>
      <c r="C2624" s="27">
        <v>2235.0</v>
      </c>
    </row>
    <row r="2625">
      <c r="A2625" s="24" t="s">
        <v>46</v>
      </c>
      <c r="B2625" s="24" t="s">
        <v>56</v>
      </c>
      <c r="C2625" s="27">
        <v>1875.0</v>
      </c>
    </row>
    <row r="2626">
      <c r="A2626" s="24" t="s">
        <v>54</v>
      </c>
      <c r="B2626" s="24" t="s">
        <v>56</v>
      </c>
      <c r="C2626" s="27">
        <v>600.0</v>
      </c>
    </row>
    <row r="2627">
      <c r="A2627" s="24" t="s">
        <v>34</v>
      </c>
      <c r="B2627" s="24" t="s">
        <v>56</v>
      </c>
      <c r="C2627" s="27">
        <v>1530.0</v>
      </c>
    </row>
    <row r="2628">
      <c r="A2628" s="24" t="s">
        <v>20</v>
      </c>
      <c r="B2628" s="24" t="s">
        <v>56</v>
      </c>
      <c r="C2628" s="27">
        <v>960.0</v>
      </c>
    </row>
    <row r="2629">
      <c r="A2629" s="24" t="s">
        <v>24</v>
      </c>
      <c r="B2629" s="24" t="s">
        <v>56</v>
      </c>
      <c r="C2629" s="27">
        <v>2325.0</v>
      </c>
    </row>
    <row r="2630">
      <c r="A2630" s="24" t="s">
        <v>63</v>
      </c>
      <c r="B2630" s="24" t="s">
        <v>56</v>
      </c>
      <c r="C2630" s="27">
        <v>1905.0</v>
      </c>
    </row>
    <row r="2631">
      <c r="A2631" s="24" t="s">
        <v>58</v>
      </c>
      <c r="B2631" s="24" t="s">
        <v>56</v>
      </c>
      <c r="C2631" s="27">
        <v>2565.0</v>
      </c>
    </row>
    <row r="2632">
      <c r="A2632" s="24" t="s">
        <v>42</v>
      </c>
      <c r="B2632" s="24" t="s">
        <v>56</v>
      </c>
      <c r="C2632" s="27">
        <v>2130.0</v>
      </c>
    </row>
    <row r="2633">
      <c r="A2633" s="24" t="s">
        <v>21</v>
      </c>
      <c r="B2633" s="24" t="s">
        <v>56</v>
      </c>
      <c r="C2633" s="27">
        <v>870.0</v>
      </c>
    </row>
    <row r="2634">
      <c r="A2634" s="24" t="s">
        <v>33</v>
      </c>
      <c r="B2634" s="24" t="s">
        <v>56</v>
      </c>
      <c r="C2634" s="27">
        <v>1410.0</v>
      </c>
    </row>
    <row r="2635">
      <c r="A2635" s="24" t="s">
        <v>66</v>
      </c>
      <c r="B2635" s="24" t="s">
        <v>56</v>
      </c>
      <c r="C2635" s="27">
        <v>2370.0</v>
      </c>
    </row>
    <row r="2636">
      <c r="A2636" s="24" t="s">
        <v>29</v>
      </c>
      <c r="B2636" s="24" t="s">
        <v>56</v>
      </c>
      <c r="C2636" s="27">
        <v>1890.0</v>
      </c>
    </row>
    <row r="2637">
      <c r="A2637" s="24" t="s">
        <v>60</v>
      </c>
      <c r="B2637" s="24" t="s">
        <v>56</v>
      </c>
      <c r="C2637" s="27">
        <v>1320.0</v>
      </c>
    </row>
    <row r="2638">
      <c r="A2638" s="24" t="s">
        <v>38</v>
      </c>
      <c r="B2638" s="24" t="s">
        <v>56</v>
      </c>
      <c r="C2638" s="27">
        <v>2145.0</v>
      </c>
    </row>
    <row r="2639">
      <c r="A2639" s="24" t="s">
        <v>61</v>
      </c>
      <c r="B2639" s="24" t="s">
        <v>56</v>
      </c>
      <c r="C2639" s="27">
        <v>1650.0</v>
      </c>
    </row>
    <row r="2640">
      <c r="A2640" s="24" t="s">
        <v>52</v>
      </c>
      <c r="B2640" s="24" t="s">
        <v>56</v>
      </c>
      <c r="C2640" s="27">
        <v>2325.0</v>
      </c>
    </row>
    <row r="2641">
      <c r="A2641" s="24" t="s">
        <v>25</v>
      </c>
      <c r="B2641" s="24" t="s">
        <v>56</v>
      </c>
      <c r="C2641" s="27">
        <v>2430.0</v>
      </c>
    </row>
    <row r="2642">
      <c r="A2642" s="24" t="s">
        <v>67</v>
      </c>
      <c r="B2642" s="24" t="s">
        <v>56</v>
      </c>
      <c r="C2642" s="27">
        <v>2505.0</v>
      </c>
    </row>
    <row r="2643">
      <c r="A2643" s="24" t="s">
        <v>45</v>
      </c>
      <c r="B2643" s="24" t="s">
        <v>56</v>
      </c>
      <c r="C2643" s="27">
        <v>1875.0</v>
      </c>
    </row>
    <row r="2644">
      <c r="A2644" s="24" t="s">
        <v>53</v>
      </c>
      <c r="B2644" s="24" t="s">
        <v>56</v>
      </c>
      <c r="C2644" s="27">
        <v>2655.0</v>
      </c>
    </row>
    <row r="2645">
      <c r="A2645" s="24" t="s">
        <v>26</v>
      </c>
      <c r="B2645" s="24" t="s">
        <v>56</v>
      </c>
      <c r="C2645" s="27">
        <v>2535.0</v>
      </c>
    </row>
    <row r="2646">
      <c r="A2646" s="24" t="s">
        <v>28</v>
      </c>
      <c r="B2646" s="24" t="s">
        <v>56</v>
      </c>
      <c r="C2646" s="27">
        <v>1995.0</v>
      </c>
    </row>
    <row r="2647">
      <c r="A2647" s="24" t="s">
        <v>55</v>
      </c>
      <c r="B2647" s="24" t="s">
        <v>56</v>
      </c>
      <c r="C2647" s="27">
        <v>210.0</v>
      </c>
    </row>
    <row r="2648">
      <c r="A2648" s="24" t="s">
        <v>48</v>
      </c>
      <c r="B2648" s="24" t="s">
        <v>56</v>
      </c>
      <c r="C2648" s="27">
        <v>1950.0</v>
      </c>
    </row>
    <row r="2649">
      <c r="A2649" s="24" t="s">
        <v>56</v>
      </c>
      <c r="B2649" s="24" t="s">
        <v>18</v>
      </c>
      <c r="C2649" s="27">
        <v>1725.0</v>
      </c>
    </row>
    <row r="2650">
      <c r="A2650" s="24" t="s">
        <v>56</v>
      </c>
      <c r="B2650" s="24" t="s">
        <v>49</v>
      </c>
      <c r="C2650" s="27">
        <v>1230.0</v>
      </c>
    </row>
    <row r="2651">
      <c r="A2651" s="24" t="s">
        <v>56</v>
      </c>
      <c r="B2651" s="24" t="s">
        <v>22</v>
      </c>
      <c r="C2651" s="27">
        <v>855.0</v>
      </c>
    </row>
    <row r="2652">
      <c r="A2652" s="24" t="s">
        <v>56</v>
      </c>
      <c r="B2652" s="24" t="s">
        <v>27</v>
      </c>
      <c r="C2652" s="27">
        <v>1875.0</v>
      </c>
    </row>
    <row r="2653">
      <c r="A2653" s="24" t="s">
        <v>56</v>
      </c>
      <c r="B2653" s="24" t="s">
        <v>35</v>
      </c>
      <c r="C2653" s="27">
        <v>2340.0</v>
      </c>
    </row>
    <row r="2654">
      <c r="A2654" s="24" t="s">
        <v>56</v>
      </c>
      <c r="B2654" s="24" t="s">
        <v>41</v>
      </c>
      <c r="C2654" s="27">
        <v>2250.0</v>
      </c>
    </row>
    <row r="2655">
      <c r="A2655" s="24" t="s">
        <v>56</v>
      </c>
      <c r="B2655" s="24" t="s">
        <v>57</v>
      </c>
      <c r="C2655" s="27">
        <v>2340.0</v>
      </c>
    </row>
    <row r="2656">
      <c r="A2656" s="24" t="s">
        <v>56</v>
      </c>
      <c r="B2656" s="24" t="s">
        <v>37</v>
      </c>
      <c r="C2656" s="27">
        <v>1710.0</v>
      </c>
    </row>
    <row r="2657">
      <c r="A2657" s="24" t="s">
        <v>56</v>
      </c>
      <c r="B2657" s="24" t="s">
        <v>39</v>
      </c>
      <c r="C2657" s="27">
        <v>1590.0</v>
      </c>
    </row>
    <row r="2658">
      <c r="A2658" s="24" t="s">
        <v>56</v>
      </c>
      <c r="B2658" s="24" t="s">
        <v>64</v>
      </c>
      <c r="C2658" s="27">
        <v>2025.0</v>
      </c>
    </row>
    <row r="2659">
      <c r="A2659" s="24" t="s">
        <v>56</v>
      </c>
      <c r="B2659" s="24" t="s">
        <v>65</v>
      </c>
      <c r="C2659" s="27">
        <v>1920.0</v>
      </c>
    </row>
    <row r="2660">
      <c r="A2660" s="24" t="s">
        <v>56</v>
      </c>
      <c r="B2660" s="24" t="s">
        <v>36</v>
      </c>
      <c r="C2660" s="27">
        <v>2340.0</v>
      </c>
    </row>
    <row r="2661">
      <c r="A2661" s="24" t="s">
        <v>56</v>
      </c>
      <c r="B2661" s="24" t="s">
        <v>31</v>
      </c>
      <c r="C2661" s="27">
        <v>2325.0</v>
      </c>
    </row>
    <row r="2662">
      <c r="A2662" s="24" t="s">
        <v>56</v>
      </c>
      <c r="B2662" s="24" t="s">
        <v>43</v>
      </c>
      <c r="C2662" s="27">
        <v>2070.0</v>
      </c>
    </row>
    <row r="2663">
      <c r="A2663" s="24" t="s">
        <v>56</v>
      </c>
      <c r="B2663" s="24" t="s">
        <v>40</v>
      </c>
      <c r="C2663" s="27">
        <v>1530.0</v>
      </c>
    </row>
    <row r="2664">
      <c r="A2664" s="24" t="s">
        <v>56</v>
      </c>
      <c r="B2664" s="24" t="s">
        <v>50</v>
      </c>
      <c r="C2664" s="27">
        <v>150.0</v>
      </c>
    </row>
    <row r="2665">
      <c r="A2665" s="24" t="s">
        <v>56</v>
      </c>
      <c r="B2665" s="24" t="s">
        <v>51</v>
      </c>
      <c r="C2665" s="27">
        <v>1980.0</v>
      </c>
    </row>
    <row r="2666">
      <c r="A2666" s="24" t="s">
        <v>56</v>
      </c>
      <c r="B2666" s="24" t="s">
        <v>23</v>
      </c>
      <c r="C2666" s="27">
        <v>795.0</v>
      </c>
    </row>
    <row r="2667">
      <c r="A2667" s="24" t="s">
        <v>56</v>
      </c>
      <c r="B2667" s="24" t="s">
        <v>47</v>
      </c>
      <c r="C2667" s="27">
        <v>1800.0</v>
      </c>
    </row>
    <row r="2668">
      <c r="A2668" s="24" t="s">
        <v>56</v>
      </c>
      <c r="B2668" s="24" t="s">
        <v>62</v>
      </c>
      <c r="C2668" s="27">
        <v>1680.0</v>
      </c>
    </row>
    <row r="2669">
      <c r="A2669" s="24" t="s">
        <v>56</v>
      </c>
      <c r="B2669" s="24" t="s">
        <v>30</v>
      </c>
      <c r="C2669" s="27">
        <v>2040.0</v>
      </c>
    </row>
    <row r="2670">
      <c r="A2670" s="24" t="s">
        <v>56</v>
      </c>
      <c r="B2670" s="24" t="s">
        <v>32</v>
      </c>
      <c r="C2670" s="27">
        <v>2115.0</v>
      </c>
    </row>
    <row r="2671">
      <c r="A2671" s="24" t="s">
        <v>56</v>
      </c>
      <c r="B2671" s="24" t="s">
        <v>46</v>
      </c>
      <c r="C2671" s="27">
        <v>1845.0</v>
      </c>
    </row>
    <row r="2672">
      <c r="A2672" s="24" t="s">
        <v>56</v>
      </c>
      <c r="B2672" s="24" t="s">
        <v>54</v>
      </c>
      <c r="C2672" s="27">
        <v>585.0</v>
      </c>
    </row>
    <row r="2673">
      <c r="A2673" s="24" t="s">
        <v>56</v>
      </c>
      <c r="B2673" s="24" t="s">
        <v>34</v>
      </c>
      <c r="C2673" s="27">
        <v>1500.0</v>
      </c>
    </row>
    <row r="2674">
      <c r="A2674" s="24" t="s">
        <v>56</v>
      </c>
      <c r="B2674" s="24" t="s">
        <v>20</v>
      </c>
      <c r="C2674" s="27">
        <v>930.0</v>
      </c>
    </row>
    <row r="2675">
      <c r="A2675" s="24" t="s">
        <v>56</v>
      </c>
      <c r="B2675" s="24" t="s">
        <v>24</v>
      </c>
      <c r="C2675" s="27">
        <v>2130.0</v>
      </c>
    </row>
    <row r="2676">
      <c r="A2676" s="24" t="s">
        <v>56</v>
      </c>
      <c r="B2676" s="24" t="s">
        <v>63</v>
      </c>
      <c r="C2676" s="27">
        <v>1785.0</v>
      </c>
    </row>
    <row r="2677">
      <c r="A2677" s="24" t="s">
        <v>56</v>
      </c>
      <c r="B2677" s="24" t="s">
        <v>58</v>
      </c>
      <c r="C2677" s="27">
        <v>2370.0</v>
      </c>
    </row>
    <row r="2678">
      <c r="A2678" s="24" t="s">
        <v>56</v>
      </c>
      <c r="B2678" s="24" t="s">
        <v>42</v>
      </c>
      <c r="C2678" s="27">
        <v>2085.0</v>
      </c>
    </row>
    <row r="2679">
      <c r="A2679" s="24" t="s">
        <v>56</v>
      </c>
      <c r="B2679" s="24" t="s">
        <v>21</v>
      </c>
      <c r="C2679" s="27">
        <v>855.0</v>
      </c>
    </row>
    <row r="2680">
      <c r="A2680" s="24" t="s">
        <v>56</v>
      </c>
      <c r="B2680" s="24" t="s">
        <v>33</v>
      </c>
      <c r="C2680" s="27">
        <v>1380.0</v>
      </c>
    </row>
    <row r="2681">
      <c r="A2681" s="24" t="s">
        <v>56</v>
      </c>
      <c r="B2681" s="24" t="s">
        <v>66</v>
      </c>
      <c r="C2681" s="27">
        <v>2340.0</v>
      </c>
    </row>
    <row r="2682">
      <c r="A2682" s="24" t="s">
        <v>56</v>
      </c>
      <c r="B2682" s="24" t="s">
        <v>29</v>
      </c>
      <c r="C2682" s="27">
        <v>1875.0</v>
      </c>
    </row>
    <row r="2683">
      <c r="A2683" s="24" t="s">
        <v>56</v>
      </c>
      <c r="B2683" s="24" t="s">
        <v>60</v>
      </c>
      <c r="C2683" s="27">
        <v>1290.0</v>
      </c>
    </row>
    <row r="2684">
      <c r="A2684" s="24" t="s">
        <v>56</v>
      </c>
      <c r="B2684" s="24" t="s">
        <v>38</v>
      </c>
      <c r="C2684" s="27">
        <v>1950.0</v>
      </c>
    </row>
    <row r="2685">
      <c r="A2685" s="24" t="s">
        <v>56</v>
      </c>
      <c r="B2685" s="24" t="s">
        <v>61</v>
      </c>
      <c r="C2685" s="27">
        <v>1620.0</v>
      </c>
    </row>
    <row r="2686">
      <c r="A2686" s="24" t="s">
        <v>56</v>
      </c>
      <c r="B2686" s="24" t="s">
        <v>52</v>
      </c>
      <c r="C2686" s="27">
        <v>2130.0</v>
      </c>
    </row>
    <row r="2687">
      <c r="A2687" s="24" t="s">
        <v>56</v>
      </c>
      <c r="B2687" s="24" t="s">
        <v>25</v>
      </c>
      <c r="C2687" s="27">
        <v>2235.0</v>
      </c>
    </row>
    <row r="2688">
      <c r="A2688" s="24" t="s">
        <v>56</v>
      </c>
      <c r="B2688" s="24" t="s">
        <v>67</v>
      </c>
      <c r="C2688" s="27">
        <v>2310.0</v>
      </c>
    </row>
    <row r="2689">
      <c r="A2689" s="24" t="s">
        <v>56</v>
      </c>
      <c r="B2689" s="24" t="s">
        <v>45</v>
      </c>
      <c r="C2689" s="27">
        <v>1845.0</v>
      </c>
    </row>
    <row r="2690">
      <c r="A2690" s="24" t="s">
        <v>56</v>
      </c>
      <c r="B2690" s="24" t="s">
        <v>53</v>
      </c>
      <c r="C2690" s="27">
        <v>2520.0</v>
      </c>
    </row>
    <row r="2691">
      <c r="A2691" s="24" t="s">
        <v>56</v>
      </c>
      <c r="B2691" s="24" t="s">
        <v>26</v>
      </c>
      <c r="C2691" s="27">
        <v>2355.0</v>
      </c>
    </row>
    <row r="2692">
      <c r="A2692" s="24" t="s">
        <v>56</v>
      </c>
      <c r="B2692" s="24" t="s">
        <v>28</v>
      </c>
      <c r="C2692" s="27">
        <v>1800.0</v>
      </c>
    </row>
    <row r="2693">
      <c r="A2693" s="24" t="s">
        <v>56</v>
      </c>
      <c r="B2693" s="24" t="s">
        <v>55</v>
      </c>
      <c r="C2693" s="27">
        <v>210.0</v>
      </c>
    </row>
    <row r="2694">
      <c r="A2694" s="24" t="s">
        <v>56</v>
      </c>
      <c r="B2694" s="24" t="s">
        <v>48</v>
      </c>
      <c r="C2694" s="27">
        <v>1920.0</v>
      </c>
    </row>
    <row r="2695">
      <c r="A2695" s="24" t="s">
        <v>56</v>
      </c>
      <c r="B2695" s="24" t="s">
        <v>56</v>
      </c>
      <c r="C2695" s="27">
        <v>0.0</v>
      </c>
    </row>
    <row r="2696">
      <c r="A2696" s="24" t="s">
        <v>56</v>
      </c>
      <c r="B2696" s="24" t="s">
        <v>59</v>
      </c>
      <c r="C2696" s="27">
        <v>2295.0</v>
      </c>
    </row>
    <row r="2697">
      <c r="A2697" s="24" t="s">
        <v>56</v>
      </c>
      <c r="B2697" s="24" t="s">
        <v>44</v>
      </c>
      <c r="C2697" s="27">
        <v>1860.0</v>
      </c>
    </row>
    <row r="2698">
      <c r="A2698" s="24" t="s">
        <v>56</v>
      </c>
      <c r="B2698" s="24" t="s">
        <v>2036</v>
      </c>
      <c r="C2698" s="27">
        <v>150.0</v>
      </c>
    </row>
    <row r="2699">
      <c r="A2699" s="24" t="s">
        <v>56</v>
      </c>
      <c r="B2699" s="24" t="s">
        <v>2037</v>
      </c>
      <c r="C2699" s="27">
        <v>1260.0</v>
      </c>
    </row>
    <row r="2700">
      <c r="A2700" s="24" t="s">
        <v>59</v>
      </c>
      <c r="B2700" s="24" t="s">
        <v>56</v>
      </c>
      <c r="C2700" s="27">
        <v>2490.0</v>
      </c>
    </row>
    <row r="2701">
      <c r="A2701" s="24" t="s">
        <v>44</v>
      </c>
      <c r="B2701" s="24" t="s">
        <v>56</v>
      </c>
      <c r="C2701" s="27">
        <v>1890.0</v>
      </c>
    </row>
    <row r="2702">
      <c r="A2702" s="24" t="s">
        <v>2036</v>
      </c>
      <c r="B2702" s="24" t="s">
        <v>56</v>
      </c>
      <c r="C2702" s="27">
        <v>135.0</v>
      </c>
    </row>
    <row r="2703">
      <c r="A2703" s="24" t="s">
        <v>2037</v>
      </c>
      <c r="B2703" s="24" t="s">
        <v>56</v>
      </c>
      <c r="C2703" s="27">
        <v>1275.0</v>
      </c>
    </row>
    <row r="2704">
      <c r="A2704" s="24" t="s">
        <v>18</v>
      </c>
      <c r="B2704" s="24" t="s">
        <v>68</v>
      </c>
      <c r="C2704" s="27">
        <v>90.0</v>
      </c>
    </row>
    <row r="2705">
      <c r="A2705" s="24" t="s">
        <v>18</v>
      </c>
      <c r="B2705" s="24" t="s">
        <v>69</v>
      </c>
      <c r="C2705" s="27">
        <v>120.0</v>
      </c>
    </row>
    <row r="2706">
      <c r="A2706" s="24" t="s">
        <v>18</v>
      </c>
      <c r="B2706" s="24" t="s">
        <v>70</v>
      </c>
      <c r="C2706" s="27">
        <v>105.0</v>
      </c>
    </row>
    <row r="2707">
      <c r="A2707" s="24" t="s">
        <v>18</v>
      </c>
      <c r="B2707" s="24" t="s">
        <v>71</v>
      </c>
      <c r="C2707" s="27">
        <v>15.0</v>
      </c>
    </row>
    <row r="2708">
      <c r="A2708" s="24" t="s">
        <v>49</v>
      </c>
      <c r="B2708" s="24" t="s">
        <v>68</v>
      </c>
      <c r="C2708" s="27">
        <v>1575.0</v>
      </c>
    </row>
    <row r="2709">
      <c r="A2709" s="24" t="s">
        <v>49</v>
      </c>
      <c r="B2709" s="24" t="s">
        <v>69</v>
      </c>
      <c r="C2709" s="27">
        <v>1545.0</v>
      </c>
    </row>
    <row r="2710">
      <c r="A2710" s="24" t="s">
        <v>49</v>
      </c>
      <c r="B2710" s="24" t="s">
        <v>70</v>
      </c>
      <c r="C2710" s="27">
        <v>1530.0</v>
      </c>
    </row>
    <row r="2711">
      <c r="A2711" s="24" t="s">
        <v>49</v>
      </c>
      <c r="B2711" s="24" t="s">
        <v>71</v>
      </c>
      <c r="C2711" s="27">
        <v>1620.0</v>
      </c>
    </row>
    <row r="2712">
      <c r="A2712" s="24" t="s">
        <v>22</v>
      </c>
      <c r="B2712" s="24" t="s">
        <v>68</v>
      </c>
      <c r="C2712" s="27">
        <v>855.0</v>
      </c>
    </row>
    <row r="2713">
      <c r="A2713" s="24" t="s">
        <v>22</v>
      </c>
      <c r="B2713" s="24" t="s">
        <v>69</v>
      </c>
      <c r="C2713" s="27">
        <v>825.0</v>
      </c>
    </row>
    <row r="2714">
      <c r="A2714" s="24" t="s">
        <v>22</v>
      </c>
      <c r="B2714" s="24" t="s">
        <v>70</v>
      </c>
      <c r="C2714" s="27">
        <v>810.0</v>
      </c>
    </row>
    <row r="2715">
      <c r="A2715" s="24" t="s">
        <v>22</v>
      </c>
      <c r="B2715" s="24" t="s">
        <v>71</v>
      </c>
      <c r="C2715" s="27">
        <v>900.0</v>
      </c>
    </row>
    <row r="2716">
      <c r="A2716" s="24" t="s">
        <v>35</v>
      </c>
      <c r="B2716" s="24" t="s">
        <v>68</v>
      </c>
      <c r="C2716" s="27">
        <v>735.0</v>
      </c>
    </row>
    <row r="2717">
      <c r="A2717" s="24" t="s">
        <v>35</v>
      </c>
      <c r="B2717" s="24" t="s">
        <v>69</v>
      </c>
      <c r="C2717" s="27">
        <v>765.0</v>
      </c>
    </row>
    <row r="2718">
      <c r="A2718" s="24" t="s">
        <v>35</v>
      </c>
      <c r="B2718" s="24" t="s">
        <v>70</v>
      </c>
      <c r="C2718" s="27">
        <v>750.0</v>
      </c>
    </row>
    <row r="2719">
      <c r="A2719" s="24" t="s">
        <v>35</v>
      </c>
      <c r="B2719" s="24" t="s">
        <v>71</v>
      </c>
      <c r="C2719" s="27">
        <v>765.0</v>
      </c>
    </row>
    <row r="2720">
      <c r="A2720" s="24" t="s">
        <v>41</v>
      </c>
      <c r="B2720" s="24" t="s">
        <v>68</v>
      </c>
      <c r="C2720" s="27">
        <v>630.0</v>
      </c>
    </row>
    <row r="2721">
      <c r="A2721" s="24" t="s">
        <v>41</v>
      </c>
      <c r="B2721" s="24" t="s">
        <v>69</v>
      </c>
      <c r="C2721" s="27">
        <v>645.0</v>
      </c>
    </row>
    <row r="2722">
      <c r="A2722" s="24" t="s">
        <v>41</v>
      </c>
      <c r="B2722" s="24" t="s">
        <v>70</v>
      </c>
      <c r="C2722" s="27">
        <v>630.0</v>
      </c>
    </row>
    <row r="2723">
      <c r="A2723" s="24" t="s">
        <v>41</v>
      </c>
      <c r="B2723" s="24" t="s">
        <v>71</v>
      </c>
      <c r="C2723" s="27">
        <v>645.0</v>
      </c>
    </row>
    <row r="2724">
      <c r="A2724" s="24" t="s">
        <v>64</v>
      </c>
      <c r="B2724" s="24" t="s">
        <v>68</v>
      </c>
      <c r="C2724" s="27">
        <v>405.0</v>
      </c>
    </row>
    <row r="2725">
      <c r="A2725" s="24" t="s">
        <v>64</v>
      </c>
      <c r="B2725" s="24" t="s">
        <v>69</v>
      </c>
      <c r="C2725" s="27">
        <v>435.0</v>
      </c>
    </row>
    <row r="2726">
      <c r="A2726" s="24" t="s">
        <v>64</v>
      </c>
      <c r="B2726" s="24" t="s">
        <v>70</v>
      </c>
      <c r="C2726" s="27">
        <v>420.0</v>
      </c>
    </row>
    <row r="2727">
      <c r="A2727" s="24" t="s">
        <v>64</v>
      </c>
      <c r="B2727" s="24" t="s">
        <v>71</v>
      </c>
      <c r="C2727" s="27">
        <v>435.0</v>
      </c>
    </row>
    <row r="2728">
      <c r="A2728" s="24" t="s">
        <v>65</v>
      </c>
      <c r="B2728" s="24" t="s">
        <v>68</v>
      </c>
      <c r="C2728" s="27">
        <v>300.0</v>
      </c>
    </row>
    <row r="2729">
      <c r="A2729" s="24" t="s">
        <v>65</v>
      </c>
      <c r="B2729" s="24" t="s">
        <v>69</v>
      </c>
      <c r="C2729" s="27">
        <v>330.0</v>
      </c>
    </row>
    <row r="2730">
      <c r="A2730" s="24" t="s">
        <v>65</v>
      </c>
      <c r="B2730" s="24" t="s">
        <v>70</v>
      </c>
      <c r="C2730" s="27">
        <v>315.0</v>
      </c>
    </row>
    <row r="2731">
      <c r="A2731" s="24" t="s">
        <v>65</v>
      </c>
      <c r="B2731" s="24" t="s">
        <v>71</v>
      </c>
      <c r="C2731" s="27">
        <v>330.0</v>
      </c>
    </row>
    <row r="2732">
      <c r="A2732" s="24" t="s">
        <v>36</v>
      </c>
      <c r="B2732" s="24" t="s">
        <v>68</v>
      </c>
      <c r="C2732" s="27">
        <v>735.0</v>
      </c>
    </row>
    <row r="2733">
      <c r="A2733" s="24" t="s">
        <v>36</v>
      </c>
      <c r="B2733" s="24" t="s">
        <v>69</v>
      </c>
      <c r="C2733" s="27">
        <v>750.0</v>
      </c>
    </row>
    <row r="2734">
      <c r="A2734" s="24" t="s">
        <v>36</v>
      </c>
      <c r="B2734" s="24" t="s">
        <v>70</v>
      </c>
      <c r="C2734" s="27">
        <v>735.0</v>
      </c>
    </row>
    <row r="2735">
      <c r="A2735" s="24" t="s">
        <v>42</v>
      </c>
      <c r="B2735" s="24" t="s">
        <v>69</v>
      </c>
      <c r="C2735" s="27">
        <v>495.0</v>
      </c>
    </row>
    <row r="2736">
      <c r="A2736" s="24" t="s">
        <v>42</v>
      </c>
      <c r="B2736" s="24" t="s">
        <v>70</v>
      </c>
      <c r="C2736" s="27">
        <v>480.0</v>
      </c>
    </row>
    <row r="2737">
      <c r="A2737" s="24" t="s">
        <v>36</v>
      </c>
      <c r="B2737" s="24" t="s">
        <v>71</v>
      </c>
      <c r="C2737" s="27">
        <v>750.0</v>
      </c>
    </row>
    <row r="2738">
      <c r="A2738" s="24" t="s">
        <v>42</v>
      </c>
      <c r="B2738" s="24" t="s">
        <v>71</v>
      </c>
      <c r="C2738" s="27">
        <v>495.0</v>
      </c>
    </row>
    <row r="2739">
      <c r="A2739" s="24" t="s">
        <v>36</v>
      </c>
      <c r="B2739" s="24" t="s">
        <v>71</v>
      </c>
      <c r="C2739" s="27">
        <v>750.0</v>
      </c>
    </row>
    <row r="2740">
      <c r="A2740" s="24" t="s">
        <v>21</v>
      </c>
      <c r="B2740" s="24" t="s">
        <v>68</v>
      </c>
      <c r="C2740" s="27">
        <v>900.0</v>
      </c>
    </row>
    <row r="2741">
      <c r="A2741" s="24" t="s">
        <v>43</v>
      </c>
      <c r="B2741" s="24" t="s">
        <v>69</v>
      </c>
      <c r="C2741" s="27">
        <v>480.0</v>
      </c>
    </row>
    <row r="2742">
      <c r="A2742" s="24" t="s">
        <v>21</v>
      </c>
      <c r="B2742" s="24" t="s">
        <v>69</v>
      </c>
      <c r="C2742" s="27">
        <v>870.0</v>
      </c>
    </row>
    <row r="2743">
      <c r="A2743" s="24" t="s">
        <v>43</v>
      </c>
      <c r="B2743" s="24" t="s">
        <v>70</v>
      </c>
      <c r="C2743" s="27">
        <v>465.0</v>
      </c>
    </row>
    <row r="2744">
      <c r="A2744" s="24" t="s">
        <v>21</v>
      </c>
      <c r="B2744" s="24" t="s">
        <v>70</v>
      </c>
      <c r="C2744" s="27">
        <v>855.0</v>
      </c>
    </row>
    <row r="2745">
      <c r="A2745" s="24" t="s">
        <v>21</v>
      </c>
      <c r="B2745" s="24" t="s">
        <v>71</v>
      </c>
      <c r="C2745" s="27">
        <v>945.0</v>
      </c>
    </row>
    <row r="2746">
      <c r="A2746" s="24" t="s">
        <v>43</v>
      </c>
      <c r="B2746" s="24" t="s">
        <v>71</v>
      </c>
      <c r="C2746" s="27">
        <v>390.0</v>
      </c>
    </row>
    <row r="2747">
      <c r="A2747" s="24" t="s">
        <v>43</v>
      </c>
      <c r="B2747" s="24" t="s">
        <v>69</v>
      </c>
      <c r="C2747" s="27">
        <v>480.0</v>
      </c>
    </row>
    <row r="2748">
      <c r="A2748" s="24" t="s">
        <v>33</v>
      </c>
      <c r="B2748" s="24" t="s">
        <v>68</v>
      </c>
      <c r="C2748" s="27">
        <v>690.0</v>
      </c>
    </row>
    <row r="2749">
      <c r="A2749" s="24" t="s">
        <v>43</v>
      </c>
      <c r="B2749" s="24" t="s">
        <v>70</v>
      </c>
      <c r="C2749" s="27">
        <v>465.0</v>
      </c>
    </row>
    <row r="2750">
      <c r="A2750" s="24" t="s">
        <v>33</v>
      </c>
      <c r="B2750" s="24" t="s">
        <v>69</v>
      </c>
      <c r="C2750" s="27">
        <v>660.0</v>
      </c>
    </row>
    <row r="2751">
      <c r="A2751" s="24" t="s">
        <v>43</v>
      </c>
      <c r="B2751" s="24" t="s">
        <v>71</v>
      </c>
      <c r="C2751" s="27">
        <v>390.0</v>
      </c>
    </row>
    <row r="2752">
      <c r="A2752" s="24" t="s">
        <v>33</v>
      </c>
      <c r="B2752" s="24" t="s">
        <v>70</v>
      </c>
      <c r="C2752" s="27">
        <v>645.0</v>
      </c>
    </row>
    <row r="2753">
      <c r="A2753" s="24" t="s">
        <v>50</v>
      </c>
      <c r="B2753" s="24" t="s">
        <v>70</v>
      </c>
      <c r="C2753" s="27">
        <v>1530.0</v>
      </c>
    </row>
    <row r="2754">
      <c r="A2754" s="24" t="s">
        <v>50</v>
      </c>
      <c r="B2754" s="24" t="s">
        <v>68</v>
      </c>
      <c r="C2754" s="27">
        <v>1560.0</v>
      </c>
    </row>
    <row r="2755">
      <c r="A2755" s="24" t="s">
        <v>50</v>
      </c>
      <c r="B2755" s="24" t="s">
        <v>69</v>
      </c>
      <c r="C2755" s="27">
        <v>1530.0</v>
      </c>
    </row>
    <row r="2756">
      <c r="A2756" s="24" t="s">
        <v>66</v>
      </c>
      <c r="B2756" s="24" t="s">
        <v>68</v>
      </c>
      <c r="C2756" s="27">
        <v>750.0</v>
      </c>
    </row>
    <row r="2757">
      <c r="A2757" s="24" t="s">
        <v>50</v>
      </c>
      <c r="B2757" s="24" t="s">
        <v>71</v>
      </c>
      <c r="C2757" s="27">
        <v>1605.0</v>
      </c>
    </row>
    <row r="2758">
      <c r="A2758" s="24" t="s">
        <v>50</v>
      </c>
      <c r="B2758" s="24" t="s">
        <v>70</v>
      </c>
      <c r="C2758" s="27">
        <v>1530.0</v>
      </c>
    </row>
    <row r="2759">
      <c r="A2759" s="24" t="s">
        <v>23</v>
      </c>
      <c r="B2759" s="24" t="s">
        <v>68</v>
      </c>
      <c r="C2759" s="27">
        <v>930.0</v>
      </c>
    </row>
    <row r="2760">
      <c r="A2760" s="24" t="s">
        <v>23</v>
      </c>
      <c r="B2760" s="24" t="s">
        <v>69</v>
      </c>
      <c r="C2760" s="27">
        <v>900.0</v>
      </c>
    </row>
    <row r="2761">
      <c r="A2761" s="24" t="s">
        <v>66</v>
      </c>
      <c r="B2761" s="24" t="s">
        <v>69</v>
      </c>
      <c r="C2761" s="27">
        <v>780.0</v>
      </c>
    </row>
    <row r="2762">
      <c r="A2762" s="24" t="s">
        <v>66</v>
      </c>
      <c r="B2762" s="24" t="s">
        <v>70</v>
      </c>
      <c r="C2762" s="27">
        <v>765.0</v>
      </c>
    </row>
    <row r="2763">
      <c r="A2763" s="24" t="s">
        <v>23</v>
      </c>
      <c r="B2763" s="24" t="s">
        <v>68</v>
      </c>
      <c r="C2763" s="27">
        <v>930.0</v>
      </c>
    </row>
    <row r="2764">
      <c r="A2764" s="24" t="s">
        <v>66</v>
      </c>
      <c r="B2764" s="24" t="s">
        <v>71</v>
      </c>
      <c r="C2764" s="27">
        <v>675.0</v>
      </c>
    </row>
    <row r="2765">
      <c r="A2765" s="24" t="s">
        <v>23</v>
      </c>
      <c r="B2765" s="24" t="s">
        <v>69</v>
      </c>
      <c r="C2765" s="27">
        <v>900.0</v>
      </c>
    </row>
    <row r="2766">
      <c r="A2766" s="24" t="s">
        <v>60</v>
      </c>
      <c r="B2766" s="24" t="s">
        <v>68</v>
      </c>
      <c r="C2766" s="27">
        <v>405.0</v>
      </c>
    </row>
    <row r="2767">
      <c r="A2767" s="24" t="s">
        <v>23</v>
      </c>
      <c r="B2767" s="24" t="s">
        <v>70</v>
      </c>
      <c r="C2767" s="27">
        <v>885.0</v>
      </c>
    </row>
    <row r="2768">
      <c r="A2768" s="24" t="s">
        <v>23</v>
      </c>
      <c r="B2768" s="24" t="s">
        <v>71</v>
      </c>
      <c r="C2768" s="27">
        <v>975.0</v>
      </c>
    </row>
    <row r="2769">
      <c r="A2769" s="24" t="s">
        <v>54</v>
      </c>
      <c r="B2769" s="24" t="s">
        <v>68</v>
      </c>
      <c r="C2769" s="27">
        <v>1110.0</v>
      </c>
    </row>
    <row r="2770">
      <c r="A2770" s="24" t="s">
        <v>23</v>
      </c>
      <c r="B2770" s="24" t="s">
        <v>71</v>
      </c>
      <c r="C2770" s="27">
        <v>975.0</v>
      </c>
    </row>
    <row r="2771">
      <c r="A2771" s="24" t="s">
        <v>60</v>
      </c>
      <c r="B2771" s="24" t="s">
        <v>70</v>
      </c>
      <c r="C2771" s="27">
        <v>360.0</v>
      </c>
    </row>
    <row r="2772">
      <c r="A2772" s="24" t="s">
        <v>54</v>
      </c>
      <c r="B2772" s="24" t="s">
        <v>69</v>
      </c>
      <c r="C2772" s="27">
        <v>1080.0</v>
      </c>
    </row>
    <row r="2773">
      <c r="A2773" s="24" t="s">
        <v>60</v>
      </c>
      <c r="B2773" s="24" t="s">
        <v>71</v>
      </c>
      <c r="C2773" s="27">
        <v>450.0</v>
      </c>
    </row>
    <row r="2774">
      <c r="A2774" s="24" t="s">
        <v>54</v>
      </c>
      <c r="B2774" s="24" t="s">
        <v>70</v>
      </c>
      <c r="C2774" s="27">
        <v>1065.0</v>
      </c>
    </row>
    <row r="2775">
      <c r="A2775" s="24" t="s">
        <v>54</v>
      </c>
      <c r="B2775" s="24" t="s">
        <v>70</v>
      </c>
      <c r="C2775" s="27">
        <v>1065.0</v>
      </c>
    </row>
    <row r="2776">
      <c r="A2776" s="24" t="s">
        <v>45</v>
      </c>
      <c r="B2776" s="24" t="s">
        <v>68</v>
      </c>
      <c r="C2776" s="27">
        <v>225.0</v>
      </c>
    </row>
    <row r="2777">
      <c r="A2777" s="24" t="s">
        <v>54</v>
      </c>
      <c r="B2777" s="24" t="s">
        <v>71</v>
      </c>
      <c r="C2777" s="27">
        <v>1155.0</v>
      </c>
    </row>
    <row r="2778">
      <c r="A2778" s="24" t="s">
        <v>54</v>
      </c>
      <c r="B2778" s="24" t="s">
        <v>71</v>
      </c>
      <c r="C2778" s="27">
        <v>1155.0</v>
      </c>
    </row>
    <row r="2779">
      <c r="A2779" s="24" t="s">
        <v>45</v>
      </c>
      <c r="B2779" s="24" t="s">
        <v>69</v>
      </c>
      <c r="C2779" s="27">
        <v>240.0</v>
      </c>
    </row>
    <row r="2780">
      <c r="A2780" s="24" t="s">
        <v>45</v>
      </c>
      <c r="B2780" s="24" t="s">
        <v>70</v>
      </c>
      <c r="C2780" s="27">
        <v>225.0</v>
      </c>
    </row>
    <row r="2781">
      <c r="A2781" s="24" t="s">
        <v>34</v>
      </c>
      <c r="B2781" s="24" t="s">
        <v>68</v>
      </c>
      <c r="C2781" s="27">
        <v>270.0</v>
      </c>
    </row>
    <row r="2782">
      <c r="A2782" s="24" t="s">
        <v>34</v>
      </c>
      <c r="B2782" s="24" t="s">
        <v>69</v>
      </c>
      <c r="C2782" s="27">
        <v>240.0</v>
      </c>
    </row>
    <row r="2783">
      <c r="A2783" s="24" t="s">
        <v>55</v>
      </c>
      <c r="B2783" s="24" t="s">
        <v>68</v>
      </c>
      <c r="C2783" s="27">
        <v>1470.0</v>
      </c>
    </row>
    <row r="2784">
      <c r="A2784" s="24" t="s">
        <v>55</v>
      </c>
      <c r="B2784" s="24" t="s">
        <v>69</v>
      </c>
      <c r="C2784" s="27">
        <v>1440.0</v>
      </c>
    </row>
    <row r="2785">
      <c r="A2785" s="24" t="s">
        <v>34</v>
      </c>
      <c r="B2785" s="24" t="s">
        <v>71</v>
      </c>
      <c r="C2785" s="27">
        <v>315.0</v>
      </c>
    </row>
    <row r="2786">
      <c r="A2786" s="24" t="s">
        <v>34</v>
      </c>
      <c r="B2786" s="24" t="s">
        <v>71</v>
      </c>
      <c r="C2786" s="27">
        <v>315.0</v>
      </c>
    </row>
    <row r="2787">
      <c r="A2787" s="24" t="s">
        <v>55</v>
      </c>
      <c r="B2787" s="24" t="s">
        <v>70</v>
      </c>
      <c r="C2787" s="27">
        <v>1425.0</v>
      </c>
    </row>
    <row r="2788">
      <c r="A2788" s="24" t="s">
        <v>20</v>
      </c>
      <c r="B2788" s="24" t="s">
        <v>68</v>
      </c>
      <c r="C2788" s="27">
        <v>900.0</v>
      </c>
    </row>
    <row r="2789">
      <c r="A2789" s="24" t="s">
        <v>20</v>
      </c>
      <c r="B2789" s="24" t="s">
        <v>69</v>
      </c>
      <c r="C2789" s="27">
        <v>870.0</v>
      </c>
    </row>
    <row r="2790">
      <c r="A2790" s="24" t="s">
        <v>20</v>
      </c>
      <c r="B2790" s="24" t="s">
        <v>69</v>
      </c>
      <c r="C2790" s="27">
        <v>870.0</v>
      </c>
    </row>
    <row r="2791">
      <c r="A2791" s="24" t="s">
        <v>56</v>
      </c>
      <c r="B2791" s="24" t="s">
        <v>68</v>
      </c>
      <c r="C2791" s="27">
        <v>1680.0</v>
      </c>
    </row>
    <row r="2792">
      <c r="A2792" s="24" t="s">
        <v>20</v>
      </c>
      <c r="B2792" s="24" t="s">
        <v>70</v>
      </c>
      <c r="C2792" s="27">
        <v>870.0</v>
      </c>
    </row>
    <row r="2793">
      <c r="A2793" s="24" t="s">
        <v>56</v>
      </c>
      <c r="B2793" s="24" t="s">
        <v>69</v>
      </c>
      <c r="C2793" s="27">
        <v>1650.0</v>
      </c>
    </row>
    <row r="2794">
      <c r="A2794" s="24" t="s">
        <v>20</v>
      </c>
      <c r="B2794" s="24" t="s">
        <v>70</v>
      </c>
      <c r="C2794" s="27">
        <v>870.0</v>
      </c>
    </row>
    <row r="2795">
      <c r="A2795" s="24" t="s">
        <v>20</v>
      </c>
      <c r="B2795" s="24" t="s">
        <v>71</v>
      </c>
      <c r="C2795" s="27">
        <v>960.0</v>
      </c>
    </row>
    <row r="2796">
      <c r="A2796" s="24" t="s">
        <v>56</v>
      </c>
      <c r="B2796" s="24" t="s">
        <v>70</v>
      </c>
      <c r="C2796" s="27">
        <v>1635.0</v>
      </c>
    </row>
    <row r="2797">
      <c r="A2797" s="24" t="s">
        <v>42</v>
      </c>
      <c r="B2797" s="24" t="s">
        <v>68</v>
      </c>
      <c r="C2797" s="27">
        <v>465.0</v>
      </c>
    </row>
    <row r="2798">
      <c r="A2798" s="24" t="s">
        <v>42</v>
      </c>
      <c r="B2798" s="24" t="s">
        <v>68</v>
      </c>
      <c r="C2798" s="27">
        <v>465.0</v>
      </c>
    </row>
    <row r="2799">
      <c r="A2799" s="24" t="s">
        <v>44</v>
      </c>
      <c r="B2799" s="24" t="s">
        <v>68</v>
      </c>
      <c r="C2799" s="27">
        <v>210.0</v>
      </c>
    </row>
    <row r="2800">
      <c r="A2800" s="24" t="s">
        <v>42</v>
      </c>
      <c r="B2800" s="24" t="s">
        <v>70</v>
      </c>
      <c r="C2800" s="27">
        <v>480.0</v>
      </c>
    </row>
    <row r="2801">
      <c r="A2801" s="24" t="s">
        <v>44</v>
      </c>
      <c r="B2801" s="24" t="s">
        <v>69</v>
      </c>
      <c r="C2801" s="27">
        <v>240.0</v>
      </c>
    </row>
    <row r="2802">
      <c r="A2802" s="24" t="s">
        <v>42</v>
      </c>
      <c r="B2802" s="24" t="s">
        <v>69</v>
      </c>
      <c r="C2802" s="27">
        <v>495.0</v>
      </c>
    </row>
    <row r="2803">
      <c r="A2803" s="24" t="s">
        <v>42</v>
      </c>
      <c r="B2803" s="24" t="s">
        <v>71</v>
      </c>
      <c r="C2803" s="27">
        <v>495.0</v>
      </c>
    </row>
    <row r="2804">
      <c r="A2804" s="24" t="s">
        <v>42</v>
      </c>
      <c r="B2804" s="24" t="s">
        <v>70</v>
      </c>
      <c r="C2804" s="27">
        <v>480.0</v>
      </c>
    </row>
    <row r="2805">
      <c r="A2805" s="24" t="s">
        <v>44</v>
      </c>
      <c r="B2805" s="24" t="s">
        <v>71</v>
      </c>
      <c r="C2805" s="27">
        <v>135.0</v>
      </c>
    </row>
    <row r="2806">
      <c r="A2806" s="24" t="s">
        <v>42</v>
      </c>
      <c r="B2806" s="24" t="s">
        <v>71</v>
      </c>
      <c r="C2806" s="27">
        <v>495.0</v>
      </c>
    </row>
    <row r="2807">
      <c r="A2807" s="24" t="s">
        <v>21</v>
      </c>
      <c r="B2807" s="24" t="s">
        <v>68</v>
      </c>
      <c r="C2807" s="27">
        <v>900.0</v>
      </c>
    </row>
    <row r="2808">
      <c r="A2808" s="24" t="s">
        <v>27</v>
      </c>
      <c r="B2808" s="24" t="s">
        <v>68</v>
      </c>
      <c r="C2808" s="27">
        <v>660.0</v>
      </c>
    </row>
    <row r="2809">
      <c r="A2809" s="24" t="s">
        <v>21</v>
      </c>
      <c r="B2809" s="24" t="s">
        <v>68</v>
      </c>
      <c r="C2809" s="27">
        <v>900.0</v>
      </c>
    </row>
    <row r="2810">
      <c r="A2810" s="24" t="s">
        <v>27</v>
      </c>
      <c r="B2810" s="24" t="s">
        <v>69</v>
      </c>
      <c r="C2810" s="27">
        <v>630.0</v>
      </c>
    </row>
    <row r="2811">
      <c r="A2811" s="24" t="s">
        <v>21</v>
      </c>
      <c r="B2811" s="24" t="s">
        <v>69</v>
      </c>
      <c r="C2811" s="27">
        <v>870.0</v>
      </c>
    </row>
    <row r="2812">
      <c r="A2812" s="24" t="s">
        <v>27</v>
      </c>
      <c r="B2812" s="24" t="s">
        <v>70</v>
      </c>
      <c r="C2812" s="27">
        <v>615.0</v>
      </c>
    </row>
    <row r="2813">
      <c r="A2813" s="24" t="s">
        <v>21</v>
      </c>
      <c r="B2813" s="24" t="s">
        <v>69</v>
      </c>
      <c r="C2813" s="27">
        <v>870.0</v>
      </c>
    </row>
    <row r="2814">
      <c r="A2814" s="24" t="s">
        <v>21</v>
      </c>
      <c r="B2814" s="24" t="s">
        <v>70</v>
      </c>
      <c r="C2814" s="27">
        <v>855.0</v>
      </c>
    </row>
    <row r="2815">
      <c r="A2815" s="24" t="s">
        <v>21</v>
      </c>
      <c r="B2815" s="24" t="s">
        <v>71</v>
      </c>
      <c r="C2815" s="27">
        <v>945.0</v>
      </c>
    </row>
    <row r="2816">
      <c r="A2816" s="24" t="s">
        <v>57</v>
      </c>
      <c r="B2816" s="24" t="s">
        <v>68</v>
      </c>
      <c r="C2816" s="27">
        <v>1035.0</v>
      </c>
    </row>
    <row r="2817">
      <c r="A2817" s="24" t="s">
        <v>33</v>
      </c>
      <c r="B2817" s="24" t="s">
        <v>68</v>
      </c>
      <c r="C2817" s="27">
        <v>690.0</v>
      </c>
    </row>
    <row r="2818">
      <c r="A2818" s="24" t="s">
        <v>57</v>
      </c>
      <c r="B2818" s="24" t="s">
        <v>69</v>
      </c>
      <c r="C2818" s="27">
        <v>1005.0</v>
      </c>
    </row>
    <row r="2819">
      <c r="A2819" s="24" t="s">
        <v>33</v>
      </c>
      <c r="B2819" s="24" t="s">
        <v>69</v>
      </c>
      <c r="C2819" s="27">
        <v>660.0</v>
      </c>
    </row>
    <row r="2820">
      <c r="A2820" s="24" t="s">
        <v>57</v>
      </c>
      <c r="B2820" s="24" t="s">
        <v>70</v>
      </c>
      <c r="C2820" s="27">
        <v>990.0</v>
      </c>
    </row>
    <row r="2821">
      <c r="A2821" s="24" t="s">
        <v>33</v>
      </c>
      <c r="B2821" s="24" t="s">
        <v>70</v>
      </c>
      <c r="C2821" s="27">
        <v>645.0</v>
      </c>
    </row>
    <row r="2822">
      <c r="A2822" s="24" t="s">
        <v>57</v>
      </c>
      <c r="B2822" s="24" t="s">
        <v>71</v>
      </c>
      <c r="C2822" s="27">
        <v>1080.0</v>
      </c>
    </row>
    <row r="2823">
      <c r="A2823" s="24" t="s">
        <v>33</v>
      </c>
      <c r="B2823" s="24" t="s">
        <v>71</v>
      </c>
      <c r="C2823" s="27">
        <v>735.0</v>
      </c>
    </row>
    <row r="2824">
      <c r="A2824" s="24" t="s">
        <v>37</v>
      </c>
      <c r="B2824" s="24" t="s">
        <v>68</v>
      </c>
      <c r="C2824" s="27">
        <v>555.0</v>
      </c>
    </row>
    <row r="2825">
      <c r="A2825" s="24" t="s">
        <v>66</v>
      </c>
      <c r="B2825" s="24" t="s">
        <v>68</v>
      </c>
      <c r="C2825" s="27">
        <v>750.0</v>
      </c>
    </row>
    <row r="2826">
      <c r="A2826" s="24" t="s">
        <v>66</v>
      </c>
      <c r="B2826" s="24" t="s">
        <v>69</v>
      </c>
      <c r="C2826" s="27">
        <v>780.0</v>
      </c>
    </row>
    <row r="2827">
      <c r="A2827" s="24" t="s">
        <v>66</v>
      </c>
      <c r="B2827" s="24" t="s">
        <v>70</v>
      </c>
      <c r="C2827" s="27">
        <v>765.0</v>
      </c>
    </row>
    <row r="2828">
      <c r="A2828" s="24" t="s">
        <v>37</v>
      </c>
      <c r="B2828" s="24" t="s">
        <v>70</v>
      </c>
      <c r="C2828" s="27">
        <v>510.0</v>
      </c>
    </row>
    <row r="2829">
      <c r="A2829" s="24" t="s">
        <v>66</v>
      </c>
      <c r="B2829" s="24" t="s">
        <v>70</v>
      </c>
      <c r="C2829" s="27">
        <v>765.0</v>
      </c>
    </row>
    <row r="2830">
      <c r="A2830" s="24" t="s">
        <v>66</v>
      </c>
      <c r="B2830" s="24" t="s">
        <v>71</v>
      </c>
      <c r="C2830" s="27">
        <v>675.0</v>
      </c>
    </row>
    <row r="2831">
      <c r="A2831" s="24" t="s">
        <v>37</v>
      </c>
      <c r="B2831" s="24" t="s">
        <v>71</v>
      </c>
      <c r="C2831" s="27">
        <v>600.0</v>
      </c>
    </row>
    <row r="2832">
      <c r="A2832" s="24" t="s">
        <v>60</v>
      </c>
      <c r="B2832" s="24" t="s">
        <v>68</v>
      </c>
      <c r="C2832" s="27">
        <v>405.0</v>
      </c>
    </row>
    <row r="2833">
      <c r="A2833" s="24" t="s">
        <v>39</v>
      </c>
      <c r="B2833" s="24" t="s">
        <v>68</v>
      </c>
      <c r="C2833" s="27">
        <v>525.0</v>
      </c>
    </row>
    <row r="2834">
      <c r="A2834" s="24" t="s">
        <v>60</v>
      </c>
      <c r="B2834" s="24" t="s">
        <v>69</v>
      </c>
      <c r="C2834" s="27">
        <v>375.0</v>
      </c>
    </row>
    <row r="2835">
      <c r="A2835" s="24" t="s">
        <v>60</v>
      </c>
      <c r="B2835" s="24" t="s">
        <v>69</v>
      </c>
      <c r="C2835" s="27">
        <v>375.0</v>
      </c>
    </row>
    <row r="2836">
      <c r="A2836" s="24" t="s">
        <v>60</v>
      </c>
      <c r="B2836" s="24" t="s">
        <v>70</v>
      </c>
      <c r="C2836" s="27">
        <v>360.0</v>
      </c>
    </row>
    <row r="2837">
      <c r="A2837" s="24" t="s">
        <v>39</v>
      </c>
      <c r="B2837" s="24" t="s">
        <v>69</v>
      </c>
      <c r="C2837" s="27">
        <v>495.0</v>
      </c>
    </row>
    <row r="2838">
      <c r="A2838" s="24" t="s">
        <v>60</v>
      </c>
      <c r="B2838" s="24" t="s">
        <v>70</v>
      </c>
      <c r="C2838" s="27">
        <v>360.0</v>
      </c>
    </row>
    <row r="2839">
      <c r="A2839" s="24" t="s">
        <v>60</v>
      </c>
      <c r="B2839" s="24" t="s">
        <v>71</v>
      </c>
      <c r="C2839" s="27">
        <v>450.0</v>
      </c>
    </row>
    <row r="2840">
      <c r="A2840" s="24" t="s">
        <v>39</v>
      </c>
      <c r="B2840" s="24" t="s">
        <v>70</v>
      </c>
      <c r="C2840" s="27">
        <v>495.0</v>
      </c>
    </row>
    <row r="2841">
      <c r="A2841" s="24" t="s">
        <v>60</v>
      </c>
      <c r="B2841" s="24" t="s">
        <v>71</v>
      </c>
      <c r="C2841" s="27">
        <v>450.0</v>
      </c>
    </row>
    <row r="2842">
      <c r="A2842" s="24" t="s">
        <v>39</v>
      </c>
      <c r="B2842" s="24" t="s">
        <v>71</v>
      </c>
      <c r="C2842" s="27">
        <v>585.0</v>
      </c>
    </row>
    <row r="2843">
      <c r="A2843" s="24" t="s">
        <v>45</v>
      </c>
      <c r="B2843" s="24" t="s">
        <v>70</v>
      </c>
      <c r="C2843" s="27">
        <v>225.0</v>
      </c>
    </row>
    <row r="2844">
      <c r="A2844" s="24" t="s">
        <v>31</v>
      </c>
      <c r="B2844" s="24" t="s">
        <v>68</v>
      </c>
      <c r="C2844" s="27">
        <v>930.0</v>
      </c>
    </row>
    <row r="2845">
      <c r="A2845" s="24" t="s">
        <v>45</v>
      </c>
      <c r="B2845" s="24" t="s">
        <v>69</v>
      </c>
      <c r="C2845" s="27">
        <v>240.0</v>
      </c>
    </row>
    <row r="2846">
      <c r="A2846" s="24" t="s">
        <v>45</v>
      </c>
      <c r="B2846" s="24" t="s">
        <v>71</v>
      </c>
      <c r="C2846" s="27">
        <v>240.0</v>
      </c>
    </row>
    <row r="2847">
      <c r="A2847" s="24" t="s">
        <v>55</v>
      </c>
      <c r="B2847" s="24" t="s">
        <v>68</v>
      </c>
      <c r="C2847" s="27">
        <v>1470.0</v>
      </c>
    </row>
    <row r="2848">
      <c r="A2848" s="24" t="s">
        <v>31</v>
      </c>
      <c r="B2848" s="24" t="s">
        <v>71</v>
      </c>
      <c r="C2848" s="27">
        <v>990.0</v>
      </c>
    </row>
    <row r="2849">
      <c r="A2849" s="24" t="s">
        <v>45</v>
      </c>
      <c r="B2849" s="24" t="s">
        <v>70</v>
      </c>
      <c r="C2849" s="27">
        <v>225.0</v>
      </c>
    </row>
    <row r="2850">
      <c r="A2850" s="24" t="s">
        <v>55</v>
      </c>
      <c r="B2850" s="24" t="s">
        <v>70</v>
      </c>
      <c r="C2850" s="27">
        <v>1425.0</v>
      </c>
    </row>
    <row r="2851">
      <c r="A2851" s="24" t="s">
        <v>40</v>
      </c>
      <c r="B2851" s="24" t="s">
        <v>68</v>
      </c>
      <c r="C2851" s="27">
        <v>360.0</v>
      </c>
    </row>
    <row r="2852">
      <c r="A2852" s="24" t="s">
        <v>40</v>
      </c>
      <c r="B2852" s="24" t="s">
        <v>69</v>
      </c>
      <c r="C2852" s="27">
        <v>345.0</v>
      </c>
    </row>
    <row r="2853">
      <c r="A2853" s="24" t="s">
        <v>55</v>
      </c>
      <c r="B2853" s="24" t="s">
        <v>68</v>
      </c>
      <c r="C2853" s="27">
        <v>1470.0</v>
      </c>
    </row>
    <row r="2854">
      <c r="A2854" s="24" t="s">
        <v>55</v>
      </c>
      <c r="B2854" s="24" t="s">
        <v>69</v>
      </c>
      <c r="C2854" s="27">
        <v>1440.0</v>
      </c>
    </row>
    <row r="2855">
      <c r="A2855" s="24" t="s">
        <v>40</v>
      </c>
      <c r="B2855" s="24" t="s">
        <v>70</v>
      </c>
      <c r="C2855" s="27">
        <v>330.0</v>
      </c>
    </row>
    <row r="2856">
      <c r="A2856" s="24" t="s">
        <v>56</v>
      </c>
      <c r="B2856" s="24" t="s">
        <v>69</v>
      </c>
      <c r="C2856" s="27">
        <v>1650.0</v>
      </c>
    </row>
    <row r="2857">
      <c r="A2857" s="24" t="s">
        <v>40</v>
      </c>
      <c r="B2857" s="24" t="s">
        <v>71</v>
      </c>
      <c r="C2857" s="27">
        <v>420.0</v>
      </c>
    </row>
    <row r="2858">
      <c r="A2858" s="24" t="s">
        <v>56</v>
      </c>
      <c r="B2858" s="24" t="s">
        <v>70</v>
      </c>
      <c r="C2858" s="27">
        <v>1635.0</v>
      </c>
    </row>
    <row r="2859">
      <c r="A2859" s="24" t="s">
        <v>55</v>
      </c>
      <c r="B2859" s="24" t="s">
        <v>71</v>
      </c>
      <c r="C2859" s="27">
        <v>1515.0</v>
      </c>
    </row>
    <row r="2860">
      <c r="A2860" s="24" t="s">
        <v>51</v>
      </c>
      <c r="B2860" s="24" t="s">
        <v>68</v>
      </c>
      <c r="C2860" s="27">
        <v>675.0</v>
      </c>
    </row>
    <row r="2861">
      <c r="A2861" s="24" t="s">
        <v>51</v>
      </c>
      <c r="B2861" s="24" t="s">
        <v>69</v>
      </c>
      <c r="C2861" s="27">
        <v>645.0</v>
      </c>
    </row>
    <row r="2862">
      <c r="A2862" s="24" t="s">
        <v>56</v>
      </c>
      <c r="B2862" s="24" t="s">
        <v>69</v>
      </c>
      <c r="C2862" s="27">
        <v>1650.0</v>
      </c>
    </row>
    <row r="2863">
      <c r="A2863" s="24" t="s">
        <v>44</v>
      </c>
      <c r="B2863" s="24" t="s">
        <v>70</v>
      </c>
      <c r="C2863" s="27">
        <v>240.0</v>
      </c>
    </row>
    <row r="2864">
      <c r="A2864" s="24" t="s">
        <v>51</v>
      </c>
      <c r="B2864" s="24" t="s">
        <v>71</v>
      </c>
      <c r="C2864" s="27">
        <v>720.0</v>
      </c>
    </row>
    <row r="2865">
      <c r="A2865" s="24" t="s">
        <v>56</v>
      </c>
      <c r="B2865" s="24" t="s">
        <v>70</v>
      </c>
      <c r="C2865" s="27">
        <v>1635.0</v>
      </c>
    </row>
    <row r="2866">
      <c r="A2866" s="24" t="s">
        <v>44</v>
      </c>
      <c r="B2866" s="24" t="s">
        <v>71</v>
      </c>
      <c r="C2866" s="27">
        <v>135.0</v>
      </c>
    </row>
    <row r="2867">
      <c r="A2867" s="24" t="s">
        <v>47</v>
      </c>
      <c r="B2867" s="24" t="s">
        <v>68</v>
      </c>
      <c r="C2867" s="27">
        <v>180.0</v>
      </c>
    </row>
    <row r="2868">
      <c r="A2868" s="24" t="s">
        <v>27</v>
      </c>
      <c r="B2868" s="24" t="s">
        <v>68</v>
      </c>
      <c r="C2868" s="27">
        <v>660.0</v>
      </c>
    </row>
    <row r="2869">
      <c r="A2869" s="24" t="s">
        <v>47</v>
      </c>
      <c r="B2869" s="24" t="s">
        <v>69</v>
      </c>
      <c r="C2869" s="27">
        <v>195.0</v>
      </c>
    </row>
    <row r="2870">
      <c r="A2870" s="24" t="s">
        <v>56</v>
      </c>
      <c r="B2870" s="24" t="s">
        <v>71</v>
      </c>
      <c r="C2870" s="27">
        <v>1725.0</v>
      </c>
    </row>
    <row r="2871">
      <c r="A2871" s="24" t="s">
        <v>27</v>
      </c>
      <c r="B2871" s="24" t="s">
        <v>69</v>
      </c>
      <c r="C2871" s="27">
        <v>630.0</v>
      </c>
    </row>
    <row r="2872">
      <c r="A2872" s="24" t="s">
        <v>44</v>
      </c>
      <c r="B2872" s="24" t="s">
        <v>68</v>
      </c>
      <c r="C2872" s="27">
        <v>210.0</v>
      </c>
    </row>
    <row r="2873">
      <c r="A2873" s="24" t="s">
        <v>47</v>
      </c>
      <c r="B2873" s="24" t="s">
        <v>70</v>
      </c>
      <c r="C2873" s="27">
        <v>180.0</v>
      </c>
    </row>
    <row r="2874">
      <c r="A2874" s="24" t="s">
        <v>47</v>
      </c>
      <c r="B2874" s="24" t="s">
        <v>71</v>
      </c>
      <c r="C2874" s="27">
        <v>195.0</v>
      </c>
    </row>
    <row r="2875">
      <c r="A2875" s="24" t="s">
        <v>44</v>
      </c>
      <c r="B2875" s="24" t="s">
        <v>69</v>
      </c>
      <c r="C2875" s="27">
        <v>240.0</v>
      </c>
    </row>
    <row r="2876">
      <c r="A2876" s="24" t="s">
        <v>27</v>
      </c>
      <c r="B2876" s="24" t="s">
        <v>71</v>
      </c>
      <c r="C2876" s="27">
        <v>705.0</v>
      </c>
    </row>
    <row r="2877">
      <c r="A2877" s="24" t="s">
        <v>62</v>
      </c>
      <c r="B2877" s="24" t="s">
        <v>68</v>
      </c>
      <c r="C2877" s="27">
        <v>75.0</v>
      </c>
    </row>
    <row r="2878">
      <c r="A2878" s="24" t="s">
        <v>44</v>
      </c>
      <c r="B2878" s="24" t="s">
        <v>71</v>
      </c>
      <c r="C2878" s="27">
        <v>135.0</v>
      </c>
    </row>
    <row r="2879">
      <c r="A2879" s="24" t="s">
        <v>62</v>
      </c>
      <c r="B2879" s="24" t="s">
        <v>69</v>
      </c>
      <c r="C2879" s="27">
        <v>60.0</v>
      </c>
    </row>
    <row r="2880">
      <c r="A2880" s="24" t="s">
        <v>57</v>
      </c>
      <c r="B2880" s="24" t="s">
        <v>68</v>
      </c>
      <c r="C2880" s="27">
        <v>1035.0</v>
      </c>
    </row>
    <row r="2881">
      <c r="A2881" s="24" t="s">
        <v>62</v>
      </c>
      <c r="B2881" s="24" t="s">
        <v>70</v>
      </c>
      <c r="C2881" s="27">
        <v>60.0</v>
      </c>
    </row>
    <row r="2882">
      <c r="A2882" s="24" t="s">
        <v>27</v>
      </c>
      <c r="B2882" s="24" t="s">
        <v>68</v>
      </c>
      <c r="C2882" s="27">
        <v>660.0</v>
      </c>
    </row>
    <row r="2883">
      <c r="A2883" s="24" t="s">
        <v>30</v>
      </c>
      <c r="B2883" s="24" t="s">
        <v>68</v>
      </c>
      <c r="C2883" s="27">
        <v>660.0</v>
      </c>
    </row>
    <row r="2884">
      <c r="A2884" s="24" t="s">
        <v>27</v>
      </c>
      <c r="B2884" s="24" t="s">
        <v>69</v>
      </c>
      <c r="C2884" s="27">
        <v>630.0</v>
      </c>
    </row>
    <row r="2885">
      <c r="A2885" s="24" t="s">
        <v>30</v>
      </c>
      <c r="B2885" s="24" t="s">
        <v>69</v>
      </c>
      <c r="C2885" s="27">
        <v>630.0</v>
      </c>
    </row>
    <row r="2886">
      <c r="A2886" s="24" t="s">
        <v>27</v>
      </c>
      <c r="B2886" s="24" t="s">
        <v>70</v>
      </c>
      <c r="C2886" s="27">
        <v>615.0</v>
      </c>
    </row>
    <row r="2887">
      <c r="A2887" s="24" t="s">
        <v>30</v>
      </c>
      <c r="B2887" s="24" t="s">
        <v>70</v>
      </c>
      <c r="C2887" s="27">
        <v>630.0</v>
      </c>
    </row>
    <row r="2888">
      <c r="A2888" s="24" t="s">
        <v>37</v>
      </c>
      <c r="B2888" s="24" t="s">
        <v>68</v>
      </c>
      <c r="C2888" s="27">
        <v>555.0</v>
      </c>
    </row>
    <row r="2889">
      <c r="A2889" s="24" t="s">
        <v>30</v>
      </c>
      <c r="B2889" s="24" t="s">
        <v>71</v>
      </c>
      <c r="C2889" s="27">
        <v>720.0</v>
      </c>
    </row>
    <row r="2890">
      <c r="A2890" s="24" t="s">
        <v>57</v>
      </c>
      <c r="B2890" s="24" t="s">
        <v>68</v>
      </c>
      <c r="C2890" s="27">
        <v>1035.0</v>
      </c>
    </row>
    <row r="2891">
      <c r="A2891" s="24" t="s">
        <v>37</v>
      </c>
      <c r="B2891" s="24" t="s">
        <v>69</v>
      </c>
      <c r="C2891" s="27">
        <v>525.0</v>
      </c>
    </row>
    <row r="2892">
      <c r="A2892" s="24" t="s">
        <v>37</v>
      </c>
      <c r="B2892" s="24" t="s">
        <v>70</v>
      </c>
      <c r="C2892" s="27">
        <v>510.0</v>
      </c>
    </row>
    <row r="2893">
      <c r="A2893" s="24" t="s">
        <v>57</v>
      </c>
      <c r="B2893" s="24" t="s">
        <v>69</v>
      </c>
      <c r="C2893" s="27">
        <v>1005.0</v>
      </c>
    </row>
    <row r="2894">
      <c r="A2894" s="24" t="s">
        <v>32</v>
      </c>
      <c r="B2894" s="24" t="s">
        <v>70</v>
      </c>
      <c r="C2894" s="27">
        <v>690.0</v>
      </c>
    </row>
    <row r="2895">
      <c r="A2895" s="24" t="s">
        <v>37</v>
      </c>
      <c r="B2895" s="24" t="s">
        <v>71</v>
      </c>
      <c r="C2895" s="27">
        <v>600.0</v>
      </c>
    </row>
    <row r="2896">
      <c r="A2896" s="24" t="s">
        <v>32</v>
      </c>
      <c r="B2896" s="24" t="s">
        <v>71</v>
      </c>
      <c r="C2896" s="27">
        <v>780.0</v>
      </c>
    </row>
    <row r="2897">
      <c r="A2897" s="24" t="s">
        <v>39</v>
      </c>
      <c r="B2897" s="24" t="s">
        <v>68</v>
      </c>
      <c r="C2897" s="27">
        <v>525.0</v>
      </c>
    </row>
    <row r="2898">
      <c r="A2898" s="24" t="s">
        <v>39</v>
      </c>
      <c r="B2898" s="24" t="s">
        <v>69</v>
      </c>
      <c r="C2898" s="27">
        <v>495.0</v>
      </c>
    </row>
    <row r="2899">
      <c r="A2899" s="24" t="s">
        <v>37</v>
      </c>
      <c r="B2899" s="24" t="s">
        <v>68</v>
      </c>
      <c r="C2899" s="27">
        <v>555.0</v>
      </c>
    </row>
    <row r="2900">
      <c r="A2900" s="24" t="s">
        <v>46</v>
      </c>
      <c r="B2900" s="24" t="s">
        <v>69</v>
      </c>
      <c r="C2900" s="27">
        <v>240.0</v>
      </c>
    </row>
    <row r="2901">
      <c r="A2901" s="24" t="s">
        <v>46</v>
      </c>
      <c r="B2901" s="24" t="s">
        <v>70</v>
      </c>
      <c r="C2901" s="27">
        <v>225.0</v>
      </c>
    </row>
    <row r="2902">
      <c r="A2902" s="24" t="s">
        <v>37</v>
      </c>
      <c r="B2902" s="24" t="s">
        <v>69</v>
      </c>
      <c r="C2902" s="27">
        <v>525.0</v>
      </c>
    </row>
    <row r="2903">
      <c r="A2903" s="24" t="s">
        <v>39</v>
      </c>
      <c r="B2903" s="24" t="s">
        <v>71</v>
      </c>
      <c r="C2903" s="27">
        <v>585.0</v>
      </c>
    </row>
    <row r="2904">
      <c r="A2904" s="24" t="s">
        <v>24</v>
      </c>
      <c r="B2904" s="24" t="s">
        <v>68</v>
      </c>
      <c r="C2904" s="27">
        <v>810.0</v>
      </c>
    </row>
    <row r="2905">
      <c r="A2905" s="24" t="s">
        <v>37</v>
      </c>
      <c r="B2905" s="24" t="s">
        <v>71</v>
      </c>
      <c r="C2905" s="27">
        <v>600.0</v>
      </c>
    </row>
    <row r="2906">
      <c r="A2906" s="24" t="s">
        <v>31</v>
      </c>
      <c r="B2906" s="24" t="s">
        <v>68</v>
      </c>
      <c r="C2906" s="27">
        <v>930.0</v>
      </c>
    </row>
    <row r="2907">
      <c r="A2907" s="24" t="s">
        <v>39</v>
      </c>
      <c r="B2907" s="24" t="s">
        <v>68</v>
      </c>
      <c r="C2907" s="27">
        <v>525.0</v>
      </c>
    </row>
    <row r="2908">
      <c r="A2908" s="24" t="s">
        <v>24</v>
      </c>
      <c r="B2908" s="24" t="s">
        <v>69</v>
      </c>
      <c r="C2908" s="27">
        <v>795.0</v>
      </c>
    </row>
    <row r="2909">
      <c r="A2909" s="24" t="s">
        <v>31</v>
      </c>
      <c r="B2909" s="24" t="s">
        <v>69</v>
      </c>
      <c r="C2909" s="27">
        <v>900.0</v>
      </c>
    </row>
    <row r="2910">
      <c r="A2910" s="24" t="s">
        <v>31</v>
      </c>
      <c r="B2910" s="24" t="s">
        <v>70</v>
      </c>
      <c r="C2910" s="27">
        <v>900.0</v>
      </c>
    </row>
    <row r="2911">
      <c r="A2911" s="24" t="s">
        <v>24</v>
      </c>
      <c r="B2911" s="24" t="s">
        <v>71</v>
      </c>
      <c r="C2911" s="27">
        <v>870.0</v>
      </c>
    </row>
    <row r="2912">
      <c r="A2912" s="24" t="s">
        <v>39</v>
      </c>
      <c r="B2912" s="24" t="s">
        <v>70</v>
      </c>
      <c r="C2912" s="27">
        <v>495.0</v>
      </c>
    </row>
    <row r="2913">
      <c r="A2913" s="24" t="s">
        <v>31</v>
      </c>
      <c r="B2913" s="24" t="s">
        <v>71</v>
      </c>
      <c r="C2913" s="27">
        <v>990.0</v>
      </c>
    </row>
    <row r="2914">
      <c r="A2914" s="24" t="s">
        <v>40</v>
      </c>
      <c r="B2914" s="24" t="s">
        <v>68</v>
      </c>
      <c r="C2914" s="27">
        <v>360.0</v>
      </c>
    </row>
    <row r="2915">
      <c r="A2915" s="24" t="s">
        <v>39</v>
      </c>
      <c r="B2915" s="24" t="s">
        <v>71</v>
      </c>
      <c r="C2915" s="27">
        <v>585.0</v>
      </c>
    </row>
    <row r="2916">
      <c r="A2916" s="24" t="s">
        <v>63</v>
      </c>
      <c r="B2916" s="24" t="s">
        <v>69</v>
      </c>
      <c r="C2916" s="27">
        <v>375.0</v>
      </c>
    </row>
    <row r="2917">
      <c r="A2917" s="24" t="s">
        <v>40</v>
      </c>
      <c r="B2917" s="24" t="s">
        <v>69</v>
      </c>
      <c r="C2917" s="27">
        <v>345.0</v>
      </c>
    </row>
    <row r="2918">
      <c r="A2918" s="24" t="s">
        <v>31</v>
      </c>
      <c r="B2918" s="24" t="s">
        <v>68</v>
      </c>
      <c r="C2918" s="27">
        <v>930.0</v>
      </c>
    </row>
    <row r="2919">
      <c r="A2919" s="24" t="s">
        <v>63</v>
      </c>
      <c r="B2919" s="24" t="s">
        <v>70</v>
      </c>
      <c r="C2919" s="27">
        <v>375.0</v>
      </c>
    </row>
    <row r="2920">
      <c r="A2920" s="24" t="s">
        <v>40</v>
      </c>
      <c r="B2920" s="24" t="s">
        <v>70</v>
      </c>
      <c r="C2920" s="27">
        <v>330.0</v>
      </c>
    </row>
    <row r="2921">
      <c r="A2921" s="24" t="s">
        <v>63</v>
      </c>
      <c r="B2921" s="24" t="s">
        <v>71</v>
      </c>
      <c r="C2921" s="27">
        <v>465.0</v>
      </c>
    </row>
    <row r="2922">
      <c r="A2922" s="24" t="s">
        <v>31</v>
      </c>
      <c r="B2922" s="24" t="s">
        <v>69</v>
      </c>
      <c r="C2922" s="27">
        <v>900.0</v>
      </c>
    </row>
    <row r="2923">
      <c r="A2923" s="24" t="s">
        <v>40</v>
      </c>
      <c r="B2923" s="24" t="s">
        <v>71</v>
      </c>
      <c r="C2923" s="27">
        <v>420.0</v>
      </c>
    </row>
    <row r="2924">
      <c r="A2924" s="24" t="s">
        <v>58</v>
      </c>
      <c r="B2924" s="24" t="s">
        <v>68</v>
      </c>
      <c r="C2924" s="27">
        <v>1065.0</v>
      </c>
    </row>
    <row r="2925">
      <c r="A2925" s="24" t="s">
        <v>31</v>
      </c>
      <c r="B2925" s="24" t="s">
        <v>70</v>
      </c>
      <c r="C2925" s="27">
        <v>900.0</v>
      </c>
    </row>
    <row r="2926">
      <c r="A2926" s="24" t="s">
        <v>51</v>
      </c>
      <c r="B2926" s="24" t="s">
        <v>69</v>
      </c>
      <c r="C2926" s="27">
        <v>645.0</v>
      </c>
    </row>
    <row r="2927">
      <c r="A2927" s="24" t="s">
        <v>58</v>
      </c>
      <c r="B2927" s="24" t="s">
        <v>70</v>
      </c>
      <c r="C2927" s="27">
        <v>1035.0</v>
      </c>
    </row>
    <row r="2928">
      <c r="A2928" s="24" t="s">
        <v>31</v>
      </c>
      <c r="B2928" s="24" t="s">
        <v>71</v>
      </c>
      <c r="C2928" s="27">
        <v>990.0</v>
      </c>
    </row>
    <row r="2929">
      <c r="A2929" s="24" t="s">
        <v>51</v>
      </c>
      <c r="B2929" s="24" t="s">
        <v>70</v>
      </c>
      <c r="C2929" s="27">
        <v>630.0</v>
      </c>
    </row>
    <row r="2930">
      <c r="A2930" s="24" t="s">
        <v>58</v>
      </c>
      <c r="B2930" s="24" t="s">
        <v>71</v>
      </c>
      <c r="C2930" s="27">
        <v>1125.0</v>
      </c>
    </row>
    <row r="2931">
      <c r="A2931" s="24" t="s">
        <v>40</v>
      </c>
      <c r="B2931" s="24" t="s">
        <v>68</v>
      </c>
      <c r="C2931" s="27">
        <v>360.0</v>
      </c>
    </row>
    <row r="2932">
      <c r="A2932" s="24" t="s">
        <v>51</v>
      </c>
      <c r="B2932" s="24" t="s">
        <v>71</v>
      </c>
      <c r="C2932" s="27">
        <v>720.0</v>
      </c>
    </row>
    <row r="2933">
      <c r="A2933" s="24" t="s">
        <v>47</v>
      </c>
      <c r="B2933" s="24" t="s">
        <v>68</v>
      </c>
      <c r="C2933" s="27">
        <v>180.0</v>
      </c>
    </row>
    <row r="2934">
      <c r="A2934" s="24" t="s">
        <v>29</v>
      </c>
      <c r="B2934" s="24" t="s">
        <v>69</v>
      </c>
      <c r="C2934" s="27">
        <v>1230.0</v>
      </c>
    </row>
    <row r="2935">
      <c r="A2935" s="24" t="s">
        <v>40</v>
      </c>
      <c r="B2935" s="24" t="s">
        <v>70</v>
      </c>
      <c r="C2935" s="27">
        <v>330.0</v>
      </c>
    </row>
    <row r="2936">
      <c r="A2936" s="24" t="s">
        <v>47</v>
      </c>
      <c r="B2936" s="24" t="s">
        <v>69</v>
      </c>
      <c r="C2936" s="27">
        <v>195.0</v>
      </c>
    </row>
    <row r="2937">
      <c r="A2937" s="24" t="s">
        <v>47</v>
      </c>
      <c r="B2937" s="24" t="s">
        <v>70</v>
      </c>
      <c r="C2937" s="27">
        <v>180.0</v>
      </c>
    </row>
    <row r="2938">
      <c r="A2938" s="24" t="s">
        <v>29</v>
      </c>
      <c r="B2938" s="24" t="s">
        <v>70</v>
      </c>
      <c r="C2938" s="27">
        <v>1230.0</v>
      </c>
    </row>
    <row r="2939">
      <c r="A2939" s="24" t="s">
        <v>47</v>
      </c>
      <c r="B2939" s="24" t="s">
        <v>71</v>
      </c>
      <c r="C2939" s="27">
        <v>195.0</v>
      </c>
    </row>
    <row r="2940">
      <c r="A2940" s="24" t="s">
        <v>29</v>
      </c>
      <c r="B2940" s="24" t="s">
        <v>71</v>
      </c>
      <c r="C2940" s="27">
        <v>1320.0</v>
      </c>
    </row>
    <row r="2941">
      <c r="A2941" s="24" t="s">
        <v>51</v>
      </c>
      <c r="B2941" s="24" t="s">
        <v>68</v>
      </c>
      <c r="C2941" s="27">
        <v>675.0</v>
      </c>
    </row>
    <row r="2942">
      <c r="A2942" s="24" t="s">
        <v>51</v>
      </c>
      <c r="B2942" s="24" t="s">
        <v>69</v>
      </c>
      <c r="C2942" s="27">
        <v>645.0</v>
      </c>
    </row>
    <row r="2943">
      <c r="A2943" s="24" t="s">
        <v>51</v>
      </c>
      <c r="B2943" s="24" t="s">
        <v>70</v>
      </c>
      <c r="C2943" s="27">
        <v>630.0</v>
      </c>
    </row>
    <row r="2944">
      <c r="A2944" s="24" t="s">
        <v>62</v>
      </c>
      <c r="B2944" s="24" t="s">
        <v>68</v>
      </c>
      <c r="C2944" s="27">
        <v>75.0</v>
      </c>
    </row>
    <row r="2945">
      <c r="A2945" s="24" t="s">
        <v>38</v>
      </c>
      <c r="B2945" s="24" t="s">
        <v>69</v>
      </c>
      <c r="C2945" s="27">
        <v>750.0</v>
      </c>
    </row>
    <row r="2946">
      <c r="A2946" s="24" t="s">
        <v>62</v>
      </c>
      <c r="B2946" s="24" t="s">
        <v>69</v>
      </c>
      <c r="C2946" s="27">
        <v>60.0</v>
      </c>
    </row>
    <row r="2947">
      <c r="A2947" s="24" t="s">
        <v>38</v>
      </c>
      <c r="B2947" s="24" t="s">
        <v>70</v>
      </c>
      <c r="C2947" s="27">
        <v>750.0</v>
      </c>
    </row>
    <row r="2948">
      <c r="A2948" s="24" t="s">
        <v>62</v>
      </c>
      <c r="B2948" s="24" t="s">
        <v>70</v>
      </c>
      <c r="C2948" s="27">
        <v>60.0</v>
      </c>
    </row>
    <row r="2949">
      <c r="A2949" s="24" t="s">
        <v>51</v>
      </c>
      <c r="B2949" s="24" t="s">
        <v>71</v>
      </c>
      <c r="C2949" s="27">
        <v>720.0</v>
      </c>
    </row>
    <row r="2950">
      <c r="A2950" s="24" t="s">
        <v>62</v>
      </c>
      <c r="B2950" s="24" t="s">
        <v>71</v>
      </c>
      <c r="C2950" s="27">
        <v>90.0</v>
      </c>
    </row>
    <row r="2951">
      <c r="A2951" s="24" t="s">
        <v>47</v>
      </c>
      <c r="B2951" s="24" t="s">
        <v>68</v>
      </c>
      <c r="C2951" s="27">
        <v>180.0</v>
      </c>
    </row>
    <row r="2952">
      <c r="A2952" s="24" t="s">
        <v>47</v>
      </c>
      <c r="B2952" s="24" t="s">
        <v>69</v>
      </c>
      <c r="C2952" s="27">
        <v>195.0</v>
      </c>
    </row>
    <row r="2953">
      <c r="A2953" s="24" t="s">
        <v>61</v>
      </c>
      <c r="B2953" s="24" t="s">
        <v>68</v>
      </c>
      <c r="C2953" s="27">
        <v>105.0</v>
      </c>
    </row>
    <row r="2954">
      <c r="A2954" s="24" t="s">
        <v>30</v>
      </c>
      <c r="B2954" s="24" t="s">
        <v>68</v>
      </c>
      <c r="C2954" s="27">
        <v>660.0</v>
      </c>
    </row>
    <row r="2955">
      <c r="A2955" s="24" t="s">
        <v>47</v>
      </c>
      <c r="B2955" s="24" t="s">
        <v>70</v>
      </c>
      <c r="C2955" s="27">
        <v>180.0</v>
      </c>
    </row>
    <row r="2956">
      <c r="A2956" s="24" t="s">
        <v>61</v>
      </c>
      <c r="B2956" s="24" t="s">
        <v>69</v>
      </c>
      <c r="C2956" s="27">
        <v>75.0</v>
      </c>
    </row>
    <row r="2957">
      <c r="A2957" s="24" t="s">
        <v>30</v>
      </c>
      <c r="B2957" s="24" t="s">
        <v>69</v>
      </c>
      <c r="C2957" s="27">
        <v>630.0</v>
      </c>
    </row>
    <row r="2958">
      <c r="A2958" s="24" t="s">
        <v>61</v>
      </c>
      <c r="B2958" s="24" t="s">
        <v>70</v>
      </c>
      <c r="C2958" s="27">
        <v>75.0</v>
      </c>
    </row>
    <row r="2959">
      <c r="A2959" s="24" t="s">
        <v>61</v>
      </c>
      <c r="B2959" s="24" t="s">
        <v>71</v>
      </c>
      <c r="C2959" s="27">
        <v>150.0</v>
      </c>
    </row>
    <row r="2960">
      <c r="A2960" s="24" t="s">
        <v>47</v>
      </c>
      <c r="B2960" s="24" t="s">
        <v>71</v>
      </c>
      <c r="C2960" s="27">
        <v>195.0</v>
      </c>
    </row>
    <row r="2961">
      <c r="A2961" s="24" t="s">
        <v>52</v>
      </c>
      <c r="B2961" s="24" t="s">
        <v>68</v>
      </c>
      <c r="C2961" s="27">
        <v>825.0</v>
      </c>
    </row>
    <row r="2962">
      <c r="A2962" s="24" t="s">
        <v>62</v>
      </c>
      <c r="B2962" s="24" t="s">
        <v>68</v>
      </c>
      <c r="C2962" s="27">
        <v>75.0</v>
      </c>
    </row>
    <row r="2963">
      <c r="A2963" s="24" t="s">
        <v>32</v>
      </c>
      <c r="B2963" s="24" t="s">
        <v>68</v>
      </c>
      <c r="C2963" s="27">
        <v>720.0</v>
      </c>
    </row>
    <row r="2964">
      <c r="A2964" s="24" t="s">
        <v>52</v>
      </c>
      <c r="B2964" s="24" t="s">
        <v>69</v>
      </c>
      <c r="C2964" s="27">
        <v>795.0</v>
      </c>
    </row>
    <row r="2965">
      <c r="A2965" s="24" t="s">
        <v>62</v>
      </c>
      <c r="B2965" s="24" t="s">
        <v>69</v>
      </c>
      <c r="C2965" s="27">
        <v>60.0</v>
      </c>
    </row>
    <row r="2966">
      <c r="A2966" s="24" t="s">
        <v>52</v>
      </c>
      <c r="B2966" s="24" t="s">
        <v>70</v>
      </c>
      <c r="C2966" s="27">
        <v>780.0</v>
      </c>
    </row>
    <row r="2967">
      <c r="A2967" s="24" t="s">
        <v>62</v>
      </c>
      <c r="B2967" s="24" t="s">
        <v>70</v>
      </c>
      <c r="C2967" s="27">
        <v>60.0</v>
      </c>
    </row>
    <row r="2968">
      <c r="A2968" s="24" t="s">
        <v>32</v>
      </c>
      <c r="B2968" s="24" t="s">
        <v>70</v>
      </c>
      <c r="C2968" s="27">
        <v>690.0</v>
      </c>
    </row>
    <row r="2969">
      <c r="A2969" s="24" t="s">
        <v>62</v>
      </c>
      <c r="B2969" s="24" t="s">
        <v>71</v>
      </c>
      <c r="C2969" s="27">
        <v>90.0</v>
      </c>
    </row>
    <row r="2970">
      <c r="A2970" s="24" t="s">
        <v>25</v>
      </c>
      <c r="B2970" s="24" t="s">
        <v>68</v>
      </c>
      <c r="C2970" s="27">
        <v>915.0</v>
      </c>
    </row>
    <row r="2971">
      <c r="A2971" s="24" t="s">
        <v>30</v>
      </c>
      <c r="B2971" s="24" t="s">
        <v>68</v>
      </c>
      <c r="C2971" s="27">
        <v>660.0</v>
      </c>
    </row>
    <row r="2972">
      <c r="A2972" s="24" t="s">
        <v>30</v>
      </c>
      <c r="B2972" s="24" t="s">
        <v>69</v>
      </c>
      <c r="C2972" s="27">
        <v>630.0</v>
      </c>
    </row>
    <row r="2973">
      <c r="A2973" s="24" t="s">
        <v>25</v>
      </c>
      <c r="B2973" s="24" t="s">
        <v>69</v>
      </c>
      <c r="C2973" s="27">
        <v>900.0</v>
      </c>
    </row>
    <row r="2974">
      <c r="A2974" s="24" t="s">
        <v>30</v>
      </c>
      <c r="B2974" s="24" t="s">
        <v>70</v>
      </c>
      <c r="C2974" s="27">
        <v>630.0</v>
      </c>
    </row>
    <row r="2975">
      <c r="A2975" s="24" t="s">
        <v>46</v>
      </c>
      <c r="B2975" s="24" t="s">
        <v>69</v>
      </c>
      <c r="C2975" s="27">
        <v>240.0</v>
      </c>
    </row>
    <row r="2976">
      <c r="A2976" s="24" t="s">
        <v>46</v>
      </c>
      <c r="B2976" s="24" t="s">
        <v>70</v>
      </c>
      <c r="C2976" s="27">
        <v>225.0</v>
      </c>
    </row>
    <row r="2977">
      <c r="A2977" s="24" t="s">
        <v>30</v>
      </c>
      <c r="B2977" s="24" t="s">
        <v>71</v>
      </c>
      <c r="C2977" s="27">
        <v>720.0</v>
      </c>
    </row>
    <row r="2978">
      <c r="A2978" s="24" t="s">
        <v>46</v>
      </c>
      <c r="B2978" s="24" t="s">
        <v>71</v>
      </c>
      <c r="C2978" s="27">
        <v>240.0</v>
      </c>
    </row>
    <row r="2979">
      <c r="A2979" s="24" t="s">
        <v>32</v>
      </c>
      <c r="B2979" s="24" t="s">
        <v>68</v>
      </c>
      <c r="C2979" s="27">
        <v>720.0</v>
      </c>
    </row>
    <row r="2980">
      <c r="A2980" s="24" t="s">
        <v>24</v>
      </c>
      <c r="B2980" s="24" t="s">
        <v>68</v>
      </c>
      <c r="C2980" s="27">
        <v>810.0</v>
      </c>
    </row>
    <row r="2981">
      <c r="A2981" s="24" t="s">
        <v>67</v>
      </c>
      <c r="B2981" s="24" t="s">
        <v>68</v>
      </c>
      <c r="C2981" s="27">
        <v>1005.0</v>
      </c>
    </row>
    <row r="2982">
      <c r="A2982" s="24" t="s">
        <v>32</v>
      </c>
      <c r="B2982" s="24" t="s">
        <v>69</v>
      </c>
      <c r="C2982" s="27">
        <v>705.0</v>
      </c>
    </row>
    <row r="2983">
      <c r="A2983" s="24" t="s">
        <v>32</v>
      </c>
      <c r="B2983" s="24" t="s">
        <v>70</v>
      </c>
      <c r="C2983" s="27">
        <v>690.0</v>
      </c>
    </row>
    <row r="2984">
      <c r="A2984" s="24" t="s">
        <v>67</v>
      </c>
      <c r="B2984" s="24" t="s">
        <v>69</v>
      </c>
      <c r="C2984" s="27">
        <v>990.0</v>
      </c>
    </row>
    <row r="2985">
      <c r="A2985" s="24" t="s">
        <v>24</v>
      </c>
      <c r="B2985" s="24" t="s">
        <v>70</v>
      </c>
      <c r="C2985" s="27">
        <v>780.0</v>
      </c>
    </row>
    <row r="2986">
      <c r="A2986" s="24" t="s">
        <v>32</v>
      </c>
      <c r="B2986" s="24" t="s">
        <v>71</v>
      </c>
      <c r="C2986" s="27">
        <v>780.0</v>
      </c>
    </row>
    <row r="2987">
      <c r="A2987" s="24" t="s">
        <v>67</v>
      </c>
      <c r="B2987" s="24" t="s">
        <v>70</v>
      </c>
      <c r="C2987" s="27">
        <v>975.0</v>
      </c>
    </row>
    <row r="2988">
      <c r="A2988" s="24" t="s">
        <v>24</v>
      </c>
      <c r="B2988" s="24" t="s">
        <v>71</v>
      </c>
      <c r="C2988" s="27">
        <v>870.0</v>
      </c>
    </row>
    <row r="2989">
      <c r="A2989" s="24" t="s">
        <v>63</v>
      </c>
      <c r="B2989" s="24" t="s">
        <v>68</v>
      </c>
      <c r="C2989" s="27">
        <v>405.0</v>
      </c>
    </row>
    <row r="2990">
      <c r="A2990" s="24" t="s">
        <v>46</v>
      </c>
      <c r="B2990" s="24" t="s">
        <v>69</v>
      </c>
      <c r="C2990" s="27">
        <v>240.0</v>
      </c>
    </row>
    <row r="2991">
      <c r="A2991" s="24" t="s">
        <v>46</v>
      </c>
      <c r="B2991" s="24" t="s">
        <v>70</v>
      </c>
      <c r="C2991" s="27">
        <v>225.0</v>
      </c>
    </row>
    <row r="2992">
      <c r="A2992" s="24" t="s">
        <v>63</v>
      </c>
      <c r="B2992" s="24" t="s">
        <v>69</v>
      </c>
      <c r="C2992" s="27">
        <v>375.0</v>
      </c>
    </row>
    <row r="2993">
      <c r="A2993" s="24" t="s">
        <v>46</v>
      </c>
      <c r="B2993" s="24" t="s">
        <v>71</v>
      </c>
      <c r="C2993" s="27">
        <v>240.0</v>
      </c>
    </row>
    <row r="2994">
      <c r="A2994" s="24" t="s">
        <v>63</v>
      </c>
      <c r="B2994" s="24" t="s">
        <v>70</v>
      </c>
      <c r="C2994" s="27">
        <v>375.0</v>
      </c>
    </row>
    <row r="2995">
      <c r="A2995" s="24" t="s">
        <v>53</v>
      </c>
      <c r="B2995" s="24" t="s">
        <v>68</v>
      </c>
      <c r="C2995" s="27">
        <v>1155.0</v>
      </c>
    </row>
    <row r="2996">
      <c r="A2996" s="24" t="s">
        <v>24</v>
      </c>
      <c r="B2996" s="24" t="s">
        <v>68</v>
      </c>
      <c r="C2996" s="27">
        <v>810.0</v>
      </c>
    </row>
    <row r="2997">
      <c r="A2997" s="24" t="s">
        <v>63</v>
      </c>
      <c r="B2997" s="24" t="s">
        <v>71</v>
      </c>
      <c r="C2997" s="27">
        <v>465.0</v>
      </c>
    </row>
    <row r="2998">
      <c r="A2998" s="24" t="s">
        <v>53</v>
      </c>
      <c r="B2998" s="24" t="s">
        <v>70</v>
      </c>
      <c r="C2998" s="27">
        <v>1110.0</v>
      </c>
    </row>
    <row r="2999">
      <c r="A2999" s="24" t="s">
        <v>24</v>
      </c>
      <c r="B2999" s="24" t="s">
        <v>69</v>
      </c>
      <c r="C2999" s="27">
        <v>795.0</v>
      </c>
    </row>
    <row r="3000">
      <c r="A3000" s="24" t="s">
        <v>24</v>
      </c>
      <c r="B3000" s="24" t="s">
        <v>70</v>
      </c>
      <c r="C3000" s="27">
        <v>780.0</v>
      </c>
    </row>
    <row r="3001">
      <c r="A3001" s="24" t="s">
        <v>58</v>
      </c>
      <c r="B3001" s="24" t="s">
        <v>69</v>
      </c>
      <c r="C3001" s="27">
        <v>1035.0</v>
      </c>
    </row>
    <row r="3002">
      <c r="A3002" s="24" t="s">
        <v>26</v>
      </c>
      <c r="B3002" s="24" t="s">
        <v>68</v>
      </c>
      <c r="C3002" s="27">
        <v>1020.0</v>
      </c>
    </row>
    <row r="3003">
      <c r="A3003" s="24" t="s">
        <v>24</v>
      </c>
      <c r="B3003" s="24" t="s">
        <v>71</v>
      </c>
      <c r="C3003" s="27">
        <v>870.0</v>
      </c>
    </row>
    <row r="3004">
      <c r="A3004" s="24" t="s">
        <v>58</v>
      </c>
      <c r="B3004" s="24" t="s">
        <v>70</v>
      </c>
      <c r="C3004" s="27">
        <v>1035.0</v>
      </c>
    </row>
    <row r="3005">
      <c r="A3005" s="24" t="s">
        <v>26</v>
      </c>
      <c r="B3005" s="24" t="s">
        <v>69</v>
      </c>
      <c r="C3005" s="27">
        <v>1005.0</v>
      </c>
    </row>
    <row r="3006">
      <c r="A3006" s="24" t="s">
        <v>63</v>
      </c>
      <c r="B3006" s="24" t="s">
        <v>68</v>
      </c>
      <c r="C3006" s="27">
        <v>405.0</v>
      </c>
    </row>
    <row r="3007">
      <c r="A3007" s="24" t="s">
        <v>58</v>
      </c>
      <c r="B3007" s="24" t="s">
        <v>71</v>
      </c>
      <c r="C3007" s="27">
        <v>1125.0</v>
      </c>
    </row>
    <row r="3008">
      <c r="A3008" s="24" t="s">
        <v>26</v>
      </c>
      <c r="B3008" s="24" t="s">
        <v>70</v>
      </c>
      <c r="C3008" s="27">
        <v>990.0</v>
      </c>
    </row>
    <row r="3009">
      <c r="A3009" s="24" t="s">
        <v>29</v>
      </c>
      <c r="B3009" s="24" t="s">
        <v>68</v>
      </c>
      <c r="C3009" s="27">
        <v>1260.0</v>
      </c>
    </row>
    <row r="3010">
      <c r="A3010" s="24" t="s">
        <v>26</v>
      </c>
      <c r="B3010" s="24" t="s">
        <v>71</v>
      </c>
      <c r="C3010" s="27">
        <v>1080.0</v>
      </c>
    </row>
    <row r="3011">
      <c r="A3011" s="24" t="s">
        <v>63</v>
      </c>
      <c r="B3011" s="24" t="s">
        <v>69</v>
      </c>
      <c r="C3011" s="27">
        <v>375.0</v>
      </c>
    </row>
    <row r="3012">
      <c r="A3012" s="24" t="s">
        <v>29</v>
      </c>
      <c r="B3012" s="24" t="s">
        <v>69</v>
      </c>
      <c r="C3012" s="27">
        <v>1230.0</v>
      </c>
    </row>
    <row r="3013">
      <c r="A3013" s="24" t="s">
        <v>63</v>
      </c>
      <c r="B3013" s="24" t="s">
        <v>70</v>
      </c>
      <c r="C3013" s="27">
        <v>375.0</v>
      </c>
    </row>
    <row r="3014">
      <c r="A3014" s="24" t="s">
        <v>63</v>
      </c>
      <c r="B3014" s="24" t="s">
        <v>71</v>
      </c>
      <c r="C3014" s="27">
        <v>465.0</v>
      </c>
    </row>
    <row r="3015">
      <c r="A3015" s="24" t="s">
        <v>29</v>
      </c>
      <c r="B3015" s="24" t="s">
        <v>70</v>
      </c>
      <c r="C3015" s="27">
        <v>1230.0</v>
      </c>
    </row>
    <row r="3016">
      <c r="A3016" s="24" t="s">
        <v>28</v>
      </c>
      <c r="B3016" s="24" t="s">
        <v>69</v>
      </c>
      <c r="C3016" s="27">
        <v>615.0</v>
      </c>
    </row>
    <row r="3017">
      <c r="A3017" s="24" t="s">
        <v>29</v>
      </c>
      <c r="B3017" s="24" t="s">
        <v>71</v>
      </c>
      <c r="C3017" s="27">
        <v>1320.0</v>
      </c>
    </row>
    <row r="3018">
      <c r="A3018" s="24" t="s">
        <v>38</v>
      </c>
      <c r="B3018" s="24" t="s">
        <v>68</v>
      </c>
      <c r="C3018" s="27">
        <v>780.0</v>
      </c>
    </row>
    <row r="3019">
      <c r="A3019" s="24" t="s">
        <v>28</v>
      </c>
      <c r="B3019" s="24" t="s">
        <v>71</v>
      </c>
      <c r="C3019" s="27">
        <v>690.0</v>
      </c>
    </row>
    <row r="3020">
      <c r="A3020" s="24" t="s">
        <v>58</v>
      </c>
      <c r="B3020" s="24" t="s">
        <v>69</v>
      </c>
      <c r="C3020" s="27">
        <v>1035.0</v>
      </c>
    </row>
    <row r="3021">
      <c r="A3021" s="24" t="s">
        <v>38</v>
      </c>
      <c r="B3021" s="24" t="s">
        <v>69</v>
      </c>
      <c r="C3021" s="27">
        <v>750.0</v>
      </c>
    </row>
    <row r="3022">
      <c r="A3022" s="24" t="s">
        <v>48</v>
      </c>
      <c r="B3022" s="24" t="s">
        <v>68</v>
      </c>
      <c r="C3022" s="27">
        <v>285.0</v>
      </c>
    </row>
    <row r="3023">
      <c r="A3023" s="24" t="s">
        <v>58</v>
      </c>
      <c r="B3023" s="24" t="s">
        <v>70</v>
      </c>
      <c r="C3023" s="27">
        <v>1035.0</v>
      </c>
    </row>
    <row r="3024">
      <c r="A3024" s="24" t="s">
        <v>48</v>
      </c>
      <c r="B3024" s="24" t="s">
        <v>70</v>
      </c>
      <c r="C3024" s="27">
        <v>300.0</v>
      </c>
    </row>
    <row r="3025">
      <c r="A3025" s="24" t="s">
        <v>38</v>
      </c>
      <c r="B3025" s="24" t="s">
        <v>70</v>
      </c>
      <c r="C3025" s="27">
        <v>750.0</v>
      </c>
    </row>
    <row r="3026">
      <c r="A3026" s="24" t="s">
        <v>48</v>
      </c>
      <c r="B3026" s="24" t="s">
        <v>71</v>
      </c>
      <c r="C3026" s="27">
        <v>315.0</v>
      </c>
    </row>
    <row r="3027">
      <c r="A3027" s="24" t="s">
        <v>59</v>
      </c>
      <c r="B3027" s="24" t="s">
        <v>68</v>
      </c>
      <c r="C3027" s="27">
        <v>975.0</v>
      </c>
    </row>
    <row r="3028">
      <c r="A3028" s="24" t="s">
        <v>29</v>
      </c>
      <c r="B3028" s="24" t="s">
        <v>68</v>
      </c>
      <c r="C3028" s="27">
        <v>1260.0</v>
      </c>
    </row>
    <row r="3029">
      <c r="A3029" s="24" t="s">
        <v>59</v>
      </c>
      <c r="B3029" s="24" t="s">
        <v>69</v>
      </c>
      <c r="C3029" s="27">
        <v>960.0</v>
      </c>
    </row>
    <row r="3030">
      <c r="A3030" s="24" t="s">
        <v>29</v>
      </c>
      <c r="B3030" s="24" t="s">
        <v>69</v>
      </c>
      <c r="C3030" s="27">
        <v>1230.0</v>
      </c>
    </row>
    <row r="3031">
      <c r="A3031" s="24" t="s">
        <v>61</v>
      </c>
      <c r="B3031" s="24" t="s">
        <v>69</v>
      </c>
      <c r="C3031" s="27">
        <v>75.0</v>
      </c>
    </row>
    <row r="3032">
      <c r="A3032" s="24" t="s">
        <v>59</v>
      </c>
      <c r="B3032" s="24" t="s">
        <v>70</v>
      </c>
      <c r="C3032" s="27">
        <v>945.0</v>
      </c>
    </row>
    <row r="3033">
      <c r="A3033" s="24" t="s">
        <v>61</v>
      </c>
      <c r="B3033" s="24" t="s">
        <v>70</v>
      </c>
      <c r="C3033" s="27">
        <v>75.0</v>
      </c>
    </row>
    <row r="3034">
      <c r="A3034" s="24" t="s">
        <v>29</v>
      </c>
      <c r="B3034" s="24" t="s">
        <v>71</v>
      </c>
      <c r="C3034" s="27">
        <v>1320.0</v>
      </c>
    </row>
    <row r="3035">
      <c r="A3035" s="24" t="s">
        <v>61</v>
      </c>
      <c r="B3035" s="24" t="s">
        <v>71</v>
      </c>
      <c r="C3035" s="27">
        <v>150.0</v>
      </c>
    </row>
    <row r="3036">
      <c r="A3036" s="24" t="s">
        <v>68</v>
      </c>
      <c r="B3036" s="24" t="s">
        <v>18</v>
      </c>
      <c r="C3036" s="27">
        <v>90.0</v>
      </c>
    </row>
    <row r="3037">
      <c r="A3037" s="24" t="s">
        <v>38</v>
      </c>
      <c r="B3037" s="24" t="s">
        <v>68</v>
      </c>
      <c r="C3037" s="27">
        <v>780.0</v>
      </c>
    </row>
    <row r="3038">
      <c r="A3038" s="24" t="s">
        <v>52</v>
      </c>
      <c r="B3038" s="24" t="s">
        <v>68</v>
      </c>
      <c r="C3038" s="27">
        <v>825.0</v>
      </c>
    </row>
    <row r="3039">
      <c r="A3039" s="24" t="s">
        <v>52</v>
      </c>
      <c r="B3039" s="24" t="s">
        <v>69</v>
      </c>
      <c r="C3039" s="27">
        <v>795.0</v>
      </c>
    </row>
    <row r="3040">
      <c r="A3040" s="24" t="s">
        <v>38</v>
      </c>
      <c r="B3040" s="24" t="s">
        <v>69</v>
      </c>
      <c r="C3040" s="27">
        <v>750.0</v>
      </c>
    </row>
    <row r="3041">
      <c r="A3041" s="24" t="s">
        <v>68</v>
      </c>
      <c r="B3041" s="24" t="s">
        <v>22</v>
      </c>
      <c r="C3041" s="27">
        <v>855.0</v>
      </c>
    </row>
    <row r="3042">
      <c r="A3042" s="24" t="s">
        <v>68</v>
      </c>
      <c r="B3042" s="24" t="s">
        <v>35</v>
      </c>
      <c r="C3042" s="27">
        <v>720.0</v>
      </c>
    </row>
    <row r="3043">
      <c r="A3043" s="24" t="s">
        <v>52</v>
      </c>
      <c r="B3043" s="24" t="s">
        <v>70</v>
      </c>
      <c r="C3043" s="27">
        <v>780.0</v>
      </c>
    </row>
    <row r="3044">
      <c r="A3044" s="24" t="s">
        <v>68</v>
      </c>
      <c r="B3044" s="24" t="s">
        <v>41</v>
      </c>
      <c r="C3044" s="27">
        <v>615.0</v>
      </c>
    </row>
    <row r="3045">
      <c r="A3045" s="24" t="s">
        <v>52</v>
      </c>
      <c r="B3045" s="24" t="s">
        <v>71</v>
      </c>
      <c r="C3045" s="27">
        <v>870.0</v>
      </c>
    </row>
    <row r="3046">
      <c r="A3046" s="24" t="s">
        <v>68</v>
      </c>
      <c r="B3046" s="24" t="s">
        <v>64</v>
      </c>
      <c r="C3046" s="27">
        <v>405.0</v>
      </c>
    </row>
    <row r="3047">
      <c r="A3047" s="24" t="s">
        <v>38</v>
      </c>
      <c r="B3047" s="24" t="s">
        <v>71</v>
      </c>
      <c r="C3047" s="27">
        <v>840.0</v>
      </c>
    </row>
    <row r="3048">
      <c r="A3048" s="24" t="s">
        <v>68</v>
      </c>
      <c r="B3048" s="24" t="s">
        <v>65</v>
      </c>
      <c r="C3048" s="27">
        <v>285.0</v>
      </c>
    </row>
    <row r="3049">
      <c r="A3049" s="24" t="s">
        <v>25</v>
      </c>
      <c r="B3049" s="24" t="s">
        <v>68</v>
      </c>
      <c r="C3049" s="27">
        <v>915.0</v>
      </c>
    </row>
    <row r="3050">
      <c r="A3050" s="24" t="s">
        <v>68</v>
      </c>
      <c r="B3050" s="24" t="s">
        <v>36</v>
      </c>
      <c r="C3050" s="27">
        <v>705.0</v>
      </c>
    </row>
    <row r="3051">
      <c r="A3051" s="24" t="s">
        <v>61</v>
      </c>
      <c r="B3051" s="24" t="s">
        <v>68</v>
      </c>
      <c r="C3051" s="27">
        <v>105.0</v>
      </c>
    </row>
    <row r="3052">
      <c r="A3052" s="24" t="s">
        <v>68</v>
      </c>
      <c r="B3052" s="24" t="s">
        <v>43</v>
      </c>
      <c r="C3052" s="27">
        <v>465.0</v>
      </c>
    </row>
    <row r="3053">
      <c r="A3053" s="24" t="s">
        <v>25</v>
      </c>
      <c r="B3053" s="24" t="s">
        <v>70</v>
      </c>
      <c r="C3053" s="27">
        <v>885.0</v>
      </c>
    </row>
    <row r="3054">
      <c r="A3054" s="24" t="s">
        <v>68</v>
      </c>
      <c r="B3054" s="24" t="s">
        <v>50</v>
      </c>
      <c r="C3054" s="27">
        <v>1590.0</v>
      </c>
    </row>
    <row r="3055">
      <c r="A3055" s="24" t="s">
        <v>68</v>
      </c>
      <c r="B3055" s="24" t="s">
        <v>23</v>
      </c>
      <c r="C3055" s="27">
        <v>945.0</v>
      </c>
    </row>
    <row r="3056">
      <c r="A3056" s="24" t="s">
        <v>68</v>
      </c>
      <c r="B3056" s="24" t="s">
        <v>54</v>
      </c>
      <c r="C3056" s="27">
        <v>1125.0</v>
      </c>
    </row>
    <row r="3057">
      <c r="A3057" s="24" t="s">
        <v>68</v>
      </c>
      <c r="B3057" s="24" t="s">
        <v>34</v>
      </c>
      <c r="C3057" s="27">
        <v>270.0</v>
      </c>
    </row>
    <row r="3058">
      <c r="A3058" s="24" t="s">
        <v>61</v>
      </c>
      <c r="B3058" s="24" t="s">
        <v>70</v>
      </c>
      <c r="C3058" s="27">
        <v>75.0</v>
      </c>
    </row>
    <row r="3059">
      <c r="A3059" s="24" t="s">
        <v>61</v>
      </c>
      <c r="B3059" s="24" t="s">
        <v>71</v>
      </c>
      <c r="C3059" s="27">
        <v>150.0</v>
      </c>
    </row>
    <row r="3060">
      <c r="A3060" s="24" t="s">
        <v>68</v>
      </c>
      <c r="B3060" s="24" t="s">
        <v>20</v>
      </c>
      <c r="C3060" s="27">
        <v>915.0</v>
      </c>
    </row>
    <row r="3061">
      <c r="A3061" s="24" t="s">
        <v>52</v>
      </c>
      <c r="B3061" s="24" t="s">
        <v>68</v>
      </c>
      <c r="C3061" s="27">
        <v>825.0</v>
      </c>
    </row>
    <row r="3062">
      <c r="A3062" s="24" t="s">
        <v>68</v>
      </c>
      <c r="B3062" s="24" t="s">
        <v>42</v>
      </c>
      <c r="C3062" s="27">
        <v>450.0</v>
      </c>
    </row>
    <row r="3063">
      <c r="A3063" s="24" t="s">
        <v>52</v>
      </c>
      <c r="B3063" s="24" t="s">
        <v>69</v>
      </c>
      <c r="C3063" s="27">
        <v>795.0</v>
      </c>
    </row>
    <row r="3064">
      <c r="A3064" s="24" t="s">
        <v>68</v>
      </c>
      <c r="B3064" s="24" t="s">
        <v>21</v>
      </c>
      <c r="C3064" s="27">
        <v>900.0</v>
      </c>
    </row>
    <row r="3065">
      <c r="A3065" s="24" t="s">
        <v>67</v>
      </c>
      <c r="B3065" s="24" t="s">
        <v>70</v>
      </c>
      <c r="C3065" s="27">
        <v>975.0</v>
      </c>
    </row>
    <row r="3066">
      <c r="A3066" s="24" t="s">
        <v>52</v>
      </c>
      <c r="B3066" s="24" t="s">
        <v>70</v>
      </c>
      <c r="C3066" s="27">
        <v>780.0</v>
      </c>
    </row>
    <row r="3067">
      <c r="A3067" s="24" t="s">
        <v>52</v>
      </c>
      <c r="B3067" s="24" t="s">
        <v>71</v>
      </c>
      <c r="C3067" s="27">
        <v>870.0</v>
      </c>
    </row>
    <row r="3068">
      <c r="A3068" s="24" t="s">
        <v>68</v>
      </c>
      <c r="B3068" s="24" t="s">
        <v>33</v>
      </c>
      <c r="C3068" s="27">
        <v>720.0</v>
      </c>
    </row>
    <row r="3069">
      <c r="A3069" s="24" t="s">
        <v>25</v>
      </c>
      <c r="B3069" s="24" t="s">
        <v>68</v>
      </c>
      <c r="C3069" s="27">
        <v>915.0</v>
      </c>
    </row>
    <row r="3070">
      <c r="A3070" s="24" t="s">
        <v>53</v>
      </c>
      <c r="B3070" s="24" t="s">
        <v>68</v>
      </c>
      <c r="C3070" s="27">
        <v>1155.0</v>
      </c>
    </row>
    <row r="3071">
      <c r="A3071" s="24" t="s">
        <v>25</v>
      </c>
      <c r="B3071" s="24" t="s">
        <v>69</v>
      </c>
      <c r="C3071" s="27">
        <v>900.0</v>
      </c>
    </row>
    <row r="3072">
      <c r="A3072" s="24" t="s">
        <v>53</v>
      </c>
      <c r="B3072" s="24" t="s">
        <v>69</v>
      </c>
      <c r="C3072" s="27">
        <v>1125.0</v>
      </c>
    </row>
    <row r="3073">
      <c r="A3073" s="24" t="s">
        <v>68</v>
      </c>
      <c r="B3073" s="24" t="s">
        <v>60</v>
      </c>
      <c r="C3073" s="27">
        <v>405.0</v>
      </c>
    </row>
    <row r="3074">
      <c r="A3074" s="24" t="s">
        <v>25</v>
      </c>
      <c r="B3074" s="24" t="s">
        <v>70</v>
      </c>
      <c r="C3074" s="27">
        <v>885.0</v>
      </c>
    </row>
    <row r="3075">
      <c r="A3075" s="24" t="s">
        <v>53</v>
      </c>
      <c r="B3075" s="24" t="s">
        <v>70</v>
      </c>
      <c r="C3075" s="27">
        <v>1110.0</v>
      </c>
    </row>
    <row r="3076">
      <c r="A3076" s="24" t="s">
        <v>25</v>
      </c>
      <c r="B3076" s="24" t="s">
        <v>71</v>
      </c>
      <c r="C3076" s="27">
        <v>975.0</v>
      </c>
    </row>
    <row r="3077">
      <c r="A3077" s="24" t="s">
        <v>53</v>
      </c>
      <c r="B3077" s="24" t="s">
        <v>71</v>
      </c>
      <c r="C3077" s="27">
        <v>1200.0</v>
      </c>
    </row>
    <row r="3078">
      <c r="A3078" s="24" t="s">
        <v>68</v>
      </c>
      <c r="B3078" s="24" t="s">
        <v>45</v>
      </c>
      <c r="C3078" s="27">
        <v>210.0</v>
      </c>
    </row>
    <row r="3079">
      <c r="A3079" s="24" t="s">
        <v>67</v>
      </c>
      <c r="B3079" s="24" t="s">
        <v>68</v>
      </c>
      <c r="C3079" s="27">
        <v>1005.0</v>
      </c>
    </row>
    <row r="3080">
      <c r="A3080" s="24" t="s">
        <v>26</v>
      </c>
      <c r="B3080" s="24" t="s">
        <v>68</v>
      </c>
      <c r="C3080" s="27">
        <v>1020.0</v>
      </c>
    </row>
    <row r="3081">
      <c r="A3081" s="24" t="s">
        <v>67</v>
      </c>
      <c r="B3081" s="24" t="s">
        <v>69</v>
      </c>
      <c r="C3081" s="27">
        <v>990.0</v>
      </c>
    </row>
    <row r="3082">
      <c r="A3082" s="24" t="s">
        <v>68</v>
      </c>
      <c r="B3082" s="24" t="s">
        <v>55</v>
      </c>
      <c r="C3082" s="27">
        <v>1500.0</v>
      </c>
    </row>
    <row r="3083">
      <c r="A3083" s="24" t="s">
        <v>68</v>
      </c>
      <c r="B3083" s="24" t="s">
        <v>56</v>
      </c>
      <c r="C3083" s="27">
        <v>1710.0</v>
      </c>
    </row>
    <row r="3084">
      <c r="A3084" s="24" t="s">
        <v>67</v>
      </c>
      <c r="B3084" s="24" t="s">
        <v>70</v>
      </c>
      <c r="C3084" s="27">
        <v>975.0</v>
      </c>
    </row>
    <row r="3085">
      <c r="A3085" s="24" t="s">
        <v>26</v>
      </c>
      <c r="B3085" s="24" t="s">
        <v>70</v>
      </c>
      <c r="C3085" s="27">
        <v>990.0</v>
      </c>
    </row>
    <row r="3086">
      <c r="A3086" s="24" t="s">
        <v>68</v>
      </c>
      <c r="B3086" s="24" t="s">
        <v>44</v>
      </c>
      <c r="C3086" s="27">
        <v>210.0</v>
      </c>
    </row>
    <row r="3087">
      <c r="A3087" s="24" t="s">
        <v>53</v>
      </c>
      <c r="B3087" s="24" t="s">
        <v>68</v>
      </c>
      <c r="C3087" s="27">
        <v>1155.0</v>
      </c>
    </row>
    <row r="3088">
      <c r="A3088" s="24" t="s">
        <v>68</v>
      </c>
      <c r="B3088" s="24" t="s">
        <v>27</v>
      </c>
      <c r="C3088" s="27">
        <v>660.0</v>
      </c>
    </row>
    <row r="3089">
      <c r="A3089" s="24" t="s">
        <v>53</v>
      </c>
      <c r="B3089" s="24" t="s">
        <v>69</v>
      </c>
      <c r="C3089" s="27">
        <v>1125.0</v>
      </c>
    </row>
    <row r="3090">
      <c r="A3090" s="24" t="s">
        <v>28</v>
      </c>
      <c r="B3090" s="24" t="s">
        <v>68</v>
      </c>
      <c r="C3090" s="27">
        <v>645.0</v>
      </c>
    </row>
    <row r="3091">
      <c r="A3091" s="24" t="s">
        <v>68</v>
      </c>
      <c r="B3091" s="24" t="s">
        <v>57</v>
      </c>
      <c r="C3091" s="27">
        <v>1035.0</v>
      </c>
    </row>
    <row r="3092">
      <c r="A3092" s="24" t="s">
        <v>68</v>
      </c>
      <c r="B3092" s="24" t="s">
        <v>37</v>
      </c>
      <c r="C3092" s="27">
        <v>570.0</v>
      </c>
    </row>
    <row r="3093">
      <c r="A3093" s="24" t="s">
        <v>53</v>
      </c>
      <c r="B3093" s="24" t="s">
        <v>70</v>
      </c>
      <c r="C3093" s="27">
        <v>1110.0</v>
      </c>
    </row>
    <row r="3094">
      <c r="A3094" s="24" t="s">
        <v>68</v>
      </c>
      <c r="B3094" s="24" t="s">
        <v>39</v>
      </c>
      <c r="C3094" s="27">
        <v>525.0</v>
      </c>
    </row>
    <row r="3095">
      <c r="A3095" s="24" t="s">
        <v>53</v>
      </c>
      <c r="B3095" s="24" t="s">
        <v>71</v>
      </c>
      <c r="C3095" s="27">
        <v>1200.0</v>
      </c>
    </row>
    <row r="3096">
      <c r="A3096" s="24" t="s">
        <v>28</v>
      </c>
      <c r="B3096" s="24" t="s">
        <v>69</v>
      </c>
      <c r="C3096" s="27">
        <v>615.0</v>
      </c>
    </row>
    <row r="3097">
      <c r="A3097" s="24" t="s">
        <v>68</v>
      </c>
      <c r="B3097" s="24" t="s">
        <v>31</v>
      </c>
      <c r="C3097" s="27">
        <v>945.0</v>
      </c>
    </row>
    <row r="3098">
      <c r="A3098" s="24" t="s">
        <v>26</v>
      </c>
      <c r="B3098" s="24" t="s">
        <v>68</v>
      </c>
      <c r="C3098" s="27">
        <v>1020.0</v>
      </c>
    </row>
    <row r="3099">
      <c r="A3099" s="24" t="s">
        <v>28</v>
      </c>
      <c r="B3099" s="24" t="s">
        <v>70</v>
      </c>
      <c r="C3099" s="27">
        <v>600.0</v>
      </c>
    </row>
    <row r="3100">
      <c r="A3100" s="24" t="s">
        <v>68</v>
      </c>
      <c r="B3100" s="24" t="s">
        <v>51</v>
      </c>
      <c r="C3100" s="27">
        <v>675.0</v>
      </c>
    </row>
    <row r="3101">
      <c r="A3101" s="24" t="s">
        <v>26</v>
      </c>
      <c r="B3101" s="24" t="s">
        <v>70</v>
      </c>
      <c r="C3101" s="27">
        <v>990.0</v>
      </c>
    </row>
    <row r="3102">
      <c r="A3102" s="24" t="s">
        <v>28</v>
      </c>
      <c r="B3102" s="24" t="s">
        <v>71</v>
      </c>
      <c r="C3102" s="27">
        <v>690.0</v>
      </c>
    </row>
    <row r="3103">
      <c r="A3103" s="24" t="s">
        <v>68</v>
      </c>
      <c r="B3103" s="24" t="s">
        <v>47</v>
      </c>
      <c r="C3103" s="27">
        <v>180.0</v>
      </c>
    </row>
    <row r="3104">
      <c r="A3104" s="24" t="s">
        <v>26</v>
      </c>
      <c r="B3104" s="24" t="s">
        <v>71</v>
      </c>
      <c r="C3104" s="27">
        <v>1080.0</v>
      </c>
    </row>
    <row r="3105">
      <c r="A3105" s="24" t="s">
        <v>48</v>
      </c>
      <c r="B3105" s="24" t="s">
        <v>69</v>
      </c>
      <c r="C3105" s="27">
        <v>315.0</v>
      </c>
    </row>
    <row r="3106">
      <c r="A3106" s="24" t="s">
        <v>68</v>
      </c>
      <c r="B3106" s="24" t="s">
        <v>30</v>
      </c>
      <c r="C3106" s="27">
        <v>660.0</v>
      </c>
    </row>
    <row r="3107">
      <c r="A3107" s="24" t="s">
        <v>28</v>
      </c>
      <c r="B3107" s="24" t="s">
        <v>69</v>
      </c>
      <c r="C3107" s="27">
        <v>615.0</v>
      </c>
    </row>
    <row r="3108">
      <c r="A3108" s="24" t="s">
        <v>48</v>
      </c>
      <c r="B3108" s="24" t="s">
        <v>71</v>
      </c>
      <c r="C3108" s="27">
        <v>315.0</v>
      </c>
    </row>
    <row r="3109">
      <c r="A3109" s="24" t="s">
        <v>68</v>
      </c>
      <c r="B3109" s="24" t="s">
        <v>46</v>
      </c>
      <c r="C3109" s="27">
        <v>210.0</v>
      </c>
    </row>
    <row r="3110">
      <c r="A3110" s="24" t="s">
        <v>28</v>
      </c>
      <c r="B3110" s="24" t="s">
        <v>70</v>
      </c>
      <c r="C3110" s="27">
        <v>600.0</v>
      </c>
    </row>
    <row r="3111">
      <c r="A3111" s="24" t="s">
        <v>59</v>
      </c>
      <c r="B3111" s="24" t="s">
        <v>68</v>
      </c>
      <c r="C3111" s="27">
        <v>975.0</v>
      </c>
    </row>
    <row r="3112">
      <c r="A3112" s="24" t="s">
        <v>59</v>
      </c>
      <c r="B3112" s="24" t="s">
        <v>69</v>
      </c>
      <c r="C3112" s="27">
        <v>960.0</v>
      </c>
    </row>
    <row r="3113">
      <c r="A3113" s="24" t="s">
        <v>48</v>
      </c>
      <c r="B3113" s="24" t="s">
        <v>68</v>
      </c>
      <c r="C3113" s="27">
        <v>285.0</v>
      </c>
    </row>
    <row r="3114">
      <c r="A3114" s="24" t="s">
        <v>59</v>
      </c>
      <c r="B3114" s="24" t="s">
        <v>70</v>
      </c>
      <c r="C3114" s="27">
        <v>945.0</v>
      </c>
    </row>
    <row r="3115">
      <c r="A3115" s="24" t="s">
        <v>68</v>
      </c>
      <c r="B3115" s="24" t="s">
        <v>24</v>
      </c>
      <c r="C3115" s="27">
        <v>825.0</v>
      </c>
    </row>
    <row r="3116">
      <c r="A3116" s="24" t="s">
        <v>48</v>
      </c>
      <c r="B3116" s="24" t="s">
        <v>70</v>
      </c>
      <c r="C3116" s="27">
        <v>300.0</v>
      </c>
    </row>
    <row r="3117">
      <c r="A3117" s="24" t="s">
        <v>68</v>
      </c>
      <c r="B3117" s="24" t="s">
        <v>63</v>
      </c>
      <c r="C3117" s="27">
        <v>405.0</v>
      </c>
    </row>
    <row r="3118">
      <c r="A3118" s="24" t="s">
        <v>59</v>
      </c>
      <c r="B3118" s="24" t="s">
        <v>71</v>
      </c>
      <c r="C3118" s="27">
        <v>1035.0</v>
      </c>
    </row>
    <row r="3119">
      <c r="A3119" s="24" t="s">
        <v>68</v>
      </c>
      <c r="B3119" s="24" t="s">
        <v>58</v>
      </c>
      <c r="C3119" s="27">
        <v>1065.0</v>
      </c>
    </row>
    <row r="3120">
      <c r="A3120" s="24" t="s">
        <v>68</v>
      </c>
      <c r="B3120" s="24" t="s">
        <v>18</v>
      </c>
      <c r="C3120" s="27">
        <v>90.0</v>
      </c>
    </row>
    <row r="3121">
      <c r="A3121" s="24" t="s">
        <v>59</v>
      </c>
      <c r="B3121" s="24" t="s">
        <v>68</v>
      </c>
      <c r="C3121" s="27">
        <v>975.0</v>
      </c>
    </row>
    <row r="3122">
      <c r="A3122" s="24" t="s">
        <v>59</v>
      </c>
      <c r="B3122" s="24" t="s">
        <v>69</v>
      </c>
      <c r="C3122" s="27">
        <v>960.0</v>
      </c>
    </row>
    <row r="3123">
      <c r="A3123" s="24" t="s">
        <v>68</v>
      </c>
      <c r="B3123" s="24" t="s">
        <v>38</v>
      </c>
      <c r="C3123" s="27">
        <v>795.0</v>
      </c>
    </row>
    <row r="3124">
      <c r="A3124" s="24" t="s">
        <v>68</v>
      </c>
      <c r="B3124" s="24" t="s">
        <v>49</v>
      </c>
      <c r="C3124" s="27">
        <v>1605.0</v>
      </c>
    </row>
    <row r="3125">
      <c r="A3125" s="24" t="s">
        <v>68</v>
      </c>
      <c r="B3125" s="24" t="s">
        <v>61</v>
      </c>
      <c r="C3125" s="27">
        <v>105.0</v>
      </c>
    </row>
    <row r="3126">
      <c r="A3126" s="24" t="s">
        <v>68</v>
      </c>
      <c r="B3126" s="24" t="s">
        <v>22</v>
      </c>
      <c r="C3126" s="27">
        <v>855.0</v>
      </c>
    </row>
    <row r="3127">
      <c r="A3127" s="24" t="s">
        <v>59</v>
      </c>
      <c r="B3127" s="24" t="s">
        <v>71</v>
      </c>
      <c r="C3127" s="27">
        <v>1035.0</v>
      </c>
    </row>
    <row r="3128">
      <c r="A3128" s="24" t="s">
        <v>68</v>
      </c>
      <c r="B3128" s="24" t="s">
        <v>52</v>
      </c>
      <c r="C3128" s="27">
        <v>825.0</v>
      </c>
    </row>
    <row r="3129">
      <c r="A3129" s="24" t="s">
        <v>68</v>
      </c>
      <c r="B3129" s="24" t="s">
        <v>35</v>
      </c>
      <c r="C3129" s="27">
        <v>720.0</v>
      </c>
    </row>
    <row r="3130">
      <c r="A3130" s="24" t="s">
        <v>68</v>
      </c>
      <c r="B3130" s="24" t="s">
        <v>18</v>
      </c>
      <c r="C3130" s="27">
        <v>90.0</v>
      </c>
    </row>
    <row r="3131">
      <c r="A3131" s="24" t="s">
        <v>68</v>
      </c>
      <c r="B3131" s="24" t="s">
        <v>41</v>
      </c>
      <c r="C3131" s="27">
        <v>615.0</v>
      </c>
    </row>
    <row r="3132">
      <c r="A3132" s="24" t="s">
        <v>68</v>
      </c>
      <c r="B3132" s="24" t="s">
        <v>25</v>
      </c>
      <c r="C3132" s="27">
        <v>930.0</v>
      </c>
    </row>
    <row r="3133">
      <c r="A3133" s="24" t="s">
        <v>68</v>
      </c>
      <c r="B3133" s="24" t="s">
        <v>49</v>
      </c>
      <c r="C3133" s="27">
        <v>1605.0</v>
      </c>
    </row>
    <row r="3134">
      <c r="A3134" s="24" t="s">
        <v>68</v>
      </c>
      <c r="B3134" s="24" t="s">
        <v>65</v>
      </c>
      <c r="C3134" s="27">
        <v>285.0</v>
      </c>
    </row>
    <row r="3135">
      <c r="A3135" s="24" t="s">
        <v>68</v>
      </c>
      <c r="B3135" s="24" t="s">
        <v>22</v>
      </c>
      <c r="C3135" s="27">
        <v>855.0</v>
      </c>
    </row>
    <row r="3136">
      <c r="A3136" s="24" t="s">
        <v>68</v>
      </c>
      <c r="B3136" s="24" t="s">
        <v>36</v>
      </c>
      <c r="C3136" s="27">
        <v>705.0</v>
      </c>
    </row>
    <row r="3137">
      <c r="A3137" s="24" t="s">
        <v>68</v>
      </c>
      <c r="B3137" s="24" t="s">
        <v>35</v>
      </c>
      <c r="C3137" s="27">
        <v>720.0</v>
      </c>
    </row>
    <row r="3138">
      <c r="A3138" s="24" t="s">
        <v>68</v>
      </c>
      <c r="B3138" s="24" t="s">
        <v>53</v>
      </c>
      <c r="C3138" s="27">
        <v>1155.0</v>
      </c>
    </row>
    <row r="3139">
      <c r="A3139" s="24" t="s">
        <v>68</v>
      </c>
      <c r="B3139" s="24" t="s">
        <v>43</v>
      </c>
      <c r="C3139" s="27">
        <v>465.0</v>
      </c>
    </row>
    <row r="3140">
      <c r="A3140" s="24" t="s">
        <v>68</v>
      </c>
      <c r="B3140" s="24" t="s">
        <v>26</v>
      </c>
      <c r="C3140" s="27">
        <v>1050.0</v>
      </c>
    </row>
    <row r="3141">
      <c r="A3141" s="24" t="s">
        <v>68</v>
      </c>
      <c r="B3141" s="24" t="s">
        <v>41</v>
      </c>
      <c r="C3141" s="27">
        <v>615.0</v>
      </c>
    </row>
    <row r="3142">
      <c r="A3142" s="24" t="s">
        <v>68</v>
      </c>
      <c r="B3142" s="24" t="s">
        <v>28</v>
      </c>
      <c r="C3142" s="27">
        <v>645.0</v>
      </c>
    </row>
    <row r="3143">
      <c r="A3143" s="24" t="s">
        <v>68</v>
      </c>
      <c r="B3143" s="24" t="s">
        <v>50</v>
      </c>
      <c r="C3143" s="27">
        <v>1590.0</v>
      </c>
    </row>
    <row r="3144">
      <c r="A3144" s="24" t="s">
        <v>68</v>
      </c>
      <c r="B3144" s="24" t="s">
        <v>64</v>
      </c>
      <c r="C3144" s="27">
        <v>405.0</v>
      </c>
    </row>
    <row r="3145">
      <c r="A3145" s="24" t="s">
        <v>68</v>
      </c>
      <c r="B3145" s="24" t="s">
        <v>48</v>
      </c>
      <c r="C3145" s="27">
        <v>285.0</v>
      </c>
    </row>
    <row r="3146">
      <c r="A3146" s="24" t="s">
        <v>68</v>
      </c>
      <c r="B3146" s="24" t="s">
        <v>23</v>
      </c>
      <c r="C3146" s="27">
        <v>945.0</v>
      </c>
    </row>
    <row r="3147">
      <c r="A3147" s="24" t="s">
        <v>68</v>
      </c>
      <c r="B3147" s="24" t="s">
        <v>65</v>
      </c>
      <c r="C3147" s="27">
        <v>285.0</v>
      </c>
    </row>
    <row r="3148">
      <c r="A3148" s="24" t="s">
        <v>68</v>
      </c>
      <c r="B3148" s="24" t="s">
        <v>59</v>
      </c>
      <c r="C3148" s="27">
        <v>990.0</v>
      </c>
    </row>
    <row r="3149">
      <c r="A3149" s="24" t="s">
        <v>68</v>
      </c>
      <c r="B3149" s="24" t="s">
        <v>68</v>
      </c>
      <c r="C3149" s="27">
        <v>0.0</v>
      </c>
    </row>
    <row r="3150">
      <c r="A3150" s="24" t="s">
        <v>68</v>
      </c>
      <c r="B3150" s="24" t="s">
        <v>54</v>
      </c>
      <c r="C3150" s="27">
        <v>1125.0</v>
      </c>
    </row>
    <row r="3151">
      <c r="A3151" s="24" t="s">
        <v>68</v>
      </c>
      <c r="B3151" s="24" t="s">
        <v>69</v>
      </c>
      <c r="C3151" s="27">
        <v>75.0</v>
      </c>
    </row>
    <row r="3152">
      <c r="A3152" s="24" t="s">
        <v>68</v>
      </c>
      <c r="B3152" s="24" t="s">
        <v>36</v>
      </c>
      <c r="C3152" s="27">
        <v>705.0</v>
      </c>
    </row>
    <row r="3153">
      <c r="A3153" s="24" t="s">
        <v>68</v>
      </c>
      <c r="B3153" s="24" t="s">
        <v>70</v>
      </c>
      <c r="C3153" s="27">
        <v>60.0</v>
      </c>
    </row>
    <row r="3154">
      <c r="A3154" s="24" t="s">
        <v>68</v>
      </c>
      <c r="B3154" s="24" t="s">
        <v>71</v>
      </c>
      <c r="C3154" s="27">
        <v>90.0</v>
      </c>
    </row>
    <row r="3155">
      <c r="A3155" s="24" t="s">
        <v>68</v>
      </c>
      <c r="B3155" s="24" t="s">
        <v>20</v>
      </c>
      <c r="C3155" s="27">
        <v>915.0</v>
      </c>
    </row>
    <row r="3156">
      <c r="A3156" s="24" t="s">
        <v>68</v>
      </c>
      <c r="B3156" s="24" t="s">
        <v>50</v>
      </c>
      <c r="C3156" s="27">
        <v>1590.0</v>
      </c>
    </row>
    <row r="3157">
      <c r="A3157" s="24" t="s">
        <v>68</v>
      </c>
      <c r="B3157" s="24" t="s">
        <v>42</v>
      </c>
      <c r="C3157" s="27">
        <v>450.0</v>
      </c>
    </row>
    <row r="3158">
      <c r="A3158" s="24" t="s">
        <v>68</v>
      </c>
      <c r="B3158" s="24" t="s">
        <v>21</v>
      </c>
      <c r="C3158" s="27">
        <v>900.0</v>
      </c>
    </row>
    <row r="3159">
      <c r="A3159" s="24" t="s">
        <v>68</v>
      </c>
      <c r="B3159" s="24" t="s">
        <v>23</v>
      </c>
      <c r="C3159" s="27">
        <v>945.0</v>
      </c>
    </row>
    <row r="3160">
      <c r="A3160" s="24" t="s">
        <v>69</v>
      </c>
      <c r="B3160" s="24" t="s">
        <v>49</v>
      </c>
      <c r="C3160" s="27">
        <v>1575.0</v>
      </c>
    </row>
    <row r="3161">
      <c r="A3161" s="24" t="s">
        <v>68</v>
      </c>
      <c r="B3161" s="24" t="s">
        <v>33</v>
      </c>
      <c r="C3161" s="27">
        <v>720.0</v>
      </c>
    </row>
    <row r="3162">
      <c r="A3162" s="24" t="s">
        <v>68</v>
      </c>
      <c r="B3162" s="24" t="s">
        <v>54</v>
      </c>
      <c r="C3162" s="27">
        <v>1125.0</v>
      </c>
    </row>
    <row r="3163">
      <c r="A3163" s="24" t="s">
        <v>69</v>
      </c>
      <c r="B3163" s="24" t="s">
        <v>22</v>
      </c>
      <c r="C3163" s="27">
        <v>825.0</v>
      </c>
    </row>
    <row r="3164">
      <c r="A3164" s="24" t="s">
        <v>68</v>
      </c>
      <c r="B3164" s="24" t="s">
        <v>60</v>
      </c>
      <c r="C3164" s="27">
        <v>405.0</v>
      </c>
    </row>
    <row r="3165">
      <c r="A3165" s="24" t="s">
        <v>69</v>
      </c>
      <c r="B3165" s="24" t="s">
        <v>35</v>
      </c>
      <c r="C3165" s="27">
        <v>735.0</v>
      </c>
    </row>
    <row r="3166">
      <c r="A3166" s="24" t="s">
        <v>68</v>
      </c>
      <c r="B3166" s="24" t="s">
        <v>20</v>
      </c>
      <c r="C3166" s="27">
        <v>915.0</v>
      </c>
    </row>
    <row r="3167">
      <c r="A3167" s="24" t="s">
        <v>69</v>
      </c>
      <c r="B3167" s="24" t="s">
        <v>41</v>
      </c>
      <c r="C3167" s="27">
        <v>630.0</v>
      </c>
    </row>
    <row r="3168">
      <c r="A3168" s="24" t="s">
        <v>68</v>
      </c>
      <c r="B3168" s="24" t="s">
        <v>42</v>
      </c>
      <c r="C3168" s="27">
        <v>450.0</v>
      </c>
    </row>
    <row r="3169">
      <c r="A3169" s="24" t="s">
        <v>68</v>
      </c>
      <c r="B3169" s="24" t="s">
        <v>55</v>
      </c>
      <c r="C3169" s="27">
        <v>1500.0</v>
      </c>
    </row>
    <row r="3170">
      <c r="A3170" s="24" t="s">
        <v>69</v>
      </c>
      <c r="B3170" s="24" t="s">
        <v>64</v>
      </c>
      <c r="C3170" s="27">
        <v>420.0</v>
      </c>
    </row>
    <row r="3171">
      <c r="A3171" s="24" t="s">
        <v>68</v>
      </c>
      <c r="B3171" s="24" t="s">
        <v>21</v>
      </c>
      <c r="C3171" s="27">
        <v>900.0</v>
      </c>
    </row>
    <row r="3172">
      <c r="A3172" s="24" t="s">
        <v>69</v>
      </c>
      <c r="B3172" s="24" t="s">
        <v>65</v>
      </c>
      <c r="C3172" s="27">
        <v>315.0</v>
      </c>
    </row>
    <row r="3173">
      <c r="A3173" s="24" t="s">
        <v>68</v>
      </c>
      <c r="B3173" s="24" t="s">
        <v>44</v>
      </c>
      <c r="C3173" s="27">
        <v>210.0</v>
      </c>
    </row>
    <row r="3174">
      <c r="A3174" s="24" t="s">
        <v>68</v>
      </c>
      <c r="B3174" s="24" t="s">
        <v>33</v>
      </c>
      <c r="C3174" s="27">
        <v>720.0</v>
      </c>
    </row>
    <row r="3175">
      <c r="A3175" s="24" t="s">
        <v>68</v>
      </c>
      <c r="B3175" s="24" t="s">
        <v>27</v>
      </c>
      <c r="C3175" s="27">
        <v>660.0</v>
      </c>
    </row>
    <row r="3176">
      <c r="A3176" s="24" t="s">
        <v>69</v>
      </c>
      <c r="B3176" s="24" t="s">
        <v>36</v>
      </c>
      <c r="C3176" s="27">
        <v>720.0</v>
      </c>
    </row>
    <row r="3177">
      <c r="A3177" s="24" t="s">
        <v>68</v>
      </c>
      <c r="B3177" s="24" t="s">
        <v>57</v>
      </c>
      <c r="C3177" s="27">
        <v>1035.0</v>
      </c>
    </row>
    <row r="3178">
      <c r="A3178" s="24" t="s">
        <v>68</v>
      </c>
      <c r="B3178" s="24" t="s">
        <v>60</v>
      </c>
      <c r="C3178" s="27">
        <v>405.0</v>
      </c>
    </row>
    <row r="3179">
      <c r="A3179" s="24" t="s">
        <v>68</v>
      </c>
      <c r="B3179" s="24" t="s">
        <v>37</v>
      </c>
      <c r="C3179" s="27">
        <v>570.0</v>
      </c>
    </row>
    <row r="3180">
      <c r="A3180" s="24" t="s">
        <v>68</v>
      </c>
      <c r="B3180" s="24" t="s">
        <v>45</v>
      </c>
      <c r="C3180" s="27">
        <v>210.0</v>
      </c>
    </row>
    <row r="3181">
      <c r="A3181" s="24" t="s">
        <v>69</v>
      </c>
      <c r="B3181" s="24" t="s">
        <v>50</v>
      </c>
      <c r="C3181" s="27">
        <v>1560.0</v>
      </c>
    </row>
    <row r="3182">
      <c r="A3182" s="24" t="s">
        <v>68</v>
      </c>
      <c r="B3182" s="24" t="s">
        <v>55</v>
      </c>
      <c r="C3182" s="27">
        <v>1500.0</v>
      </c>
    </row>
    <row r="3183">
      <c r="A3183" s="24" t="s">
        <v>68</v>
      </c>
      <c r="B3183" s="24" t="s">
        <v>39</v>
      </c>
      <c r="C3183" s="27">
        <v>525.0</v>
      </c>
    </row>
    <row r="3184">
      <c r="A3184" s="24" t="s">
        <v>68</v>
      </c>
      <c r="B3184" s="24" t="s">
        <v>56</v>
      </c>
      <c r="C3184" s="27">
        <v>1710.0</v>
      </c>
    </row>
    <row r="3185">
      <c r="A3185" s="24" t="s">
        <v>69</v>
      </c>
      <c r="B3185" s="24" t="s">
        <v>54</v>
      </c>
      <c r="C3185" s="27">
        <v>1095.0</v>
      </c>
    </row>
    <row r="3186">
      <c r="A3186" s="24" t="s">
        <v>69</v>
      </c>
      <c r="B3186" s="24" t="s">
        <v>34</v>
      </c>
      <c r="C3186" s="27">
        <v>240.0</v>
      </c>
    </row>
    <row r="3187">
      <c r="A3187" s="24" t="s">
        <v>68</v>
      </c>
      <c r="B3187" s="24" t="s">
        <v>44</v>
      </c>
      <c r="C3187" s="27">
        <v>210.0</v>
      </c>
    </row>
    <row r="3188">
      <c r="A3188" s="24" t="s">
        <v>68</v>
      </c>
      <c r="B3188" s="24" t="s">
        <v>27</v>
      </c>
      <c r="C3188" s="27">
        <v>660.0</v>
      </c>
    </row>
    <row r="3189">
      <c r="A3189" s="24" t="s">
        <v>69</v>
      </c>
      <c r="B3189" s="24" t="s">
        <v>42</v>
      </c>
      <c r="C3189" s="27">
        <v>480.0</v>
      </c>
    </row>
    <row r="3190">
      <c r="A3190" s="24" t="s">
        <v>68</v>
      </c>
      <c r="B3190" s="24" t="s">
        <v>51</v>
      </c>
      <c r="C3190" s="27">
        <v>675.0</v>
      </c>
    </row>
    <row r="3191">
      <c r="A3191" s="24" t="s">
        <v>68</v>
      </c>
      <c r="B3191" s="24" t="s">
        <v>57</v>
      </c>
      <c r="C3191" s="27">
        <v>1035.0</v>
      </c>
    </row>
    <row r="3192">
      <c r="A3192" s="24" t="s">
        <v>69</v>
      </c>
      <c r="B3192" s="24" t="s">
        <v>21</v>
      </c>
      <c r="C3192" s="27">
        <v>870.0</v>
      </c>
    </row>
    <row r="3193">
      <c r="A3193" s="24" t="s">
        <v>68</v>
      </c>
      <c r="B3193" s="24" t="s">
        <v>37</v>
      </c>
      <c r="C3193" s="27">
        <v>570.0</v>
      </c>
    </row>
    <row r="3194">
      <c r="A3194" s="24" t="s">
        <v>69</v>
      </c>
      <c r="B3194" s="24" t="s">
        <v>33</v>
      </c>
      <c r="C3194" s="27">
        <v>690.0</v>
      </c>
    </row>
    <row r="3195">
      <c r="A3195" s="24" t="s">
        <v>68</v>
      </c>
      <c r="B3195" s="24" t="s">
        <v>47</v>
      </c>
      <c r="C3195" s="27">
        <v>180.0</v>
      </c>
    </row>
    <row r="3196">
      <c r="A3196" s="24" t="s">
        <v>68</v>
      </c>
      <c r="B3196" s="24" t="s">
        <v>62</v>
      </c>
      <c r="C3196" s="27">
        <v>75.0</v>
      </c>
    </row>
    <row r="3197">
      <c r="A3197" s="24" t="s">
        <v>68</v>
      </c>
      <c r="B3197" s="24" t="s">
        <v>39</v>
      </c>
      <c r="C3197" s="27">
        <v>525.0</v>
      </c>
    </row>
    <row r="3198">
      <c r="A3198" s="24" t="s">
        <v>69</v>
      </c>
      <c r="B3198" s="24" t="s">
        <v>66</v>
      </c>
      <c r="C3198" s="27">
        <v>795.0</v>
      </c>
    </row>
    <row r="3199">
      <c r="A3199" s="24" t="s">
        <v>69</v>
      </c>
      <c r="B3199" s="24" t="s">
        <v>60</v>
      </c>
      <c r="C3199" s="27">
        <v>375.0</v>
      </c>
    </row>
    <row r="3200">
      <c r="A3200" s="24" t="s">
        <v>68</v>
      </c>
      <c r="B3200" s="24" t="s">
        <v>31</v>
      </c>
      <c r="C3200" s="27">
        <v>945.0</v>
      </c>
    </row>
    <row r="3201">
      <c r="A3201" s="24" t="s">
        <v>68</v>
      </c>
      <c r="B3201" s="24" t="s">
        <v>40</v>
      </c>
      <c r="C3201" s="27">
        <v>360.0</v>
      </c>
    </row>
    <row r="3202">
      <c r="A3202" s="24" t="s">
        <v>68</v>
      </c>
      <c r="B3202" s="24" t="s">
        <v>32</v>
      </c>
      <c r="C3202" s="27">
        <v>735.0</v>
      </c>
    </row>
    <row r="3203">
      <c r="A3203" s="24" t="s">
        <v>68</v>
      </c>
      <c r="B3203" s="24" t="s">
        <v>46</v>
      </c>
      <c r="C3203" s="27">
        <v>210.0</v>
      </c>
    </row>
    <row r="3204">
      <c r="A3204" s="24" t="s">
        <v>68</v>
      </c>
      <c r="B3204" s="24" t="s">
        <v>51</v>
      </c>
      <c r="C3204" s="27">
        <v>675.0</v>
      </c>
    </row>
    <row r="3205">
      <c r="A3205" s="24" t="s">
        <v>69</v>
      </c>
      <c r="B3205" s="24" t="s">
        <v>55</v>
      </c>
      <c r="C3205" s="27">
        <v>1470.0</v>
      </c>
    </row>
    <row r="3206">
      <c r="A3206" s="24" t="s">
        <v>69</v>
      </c>
      <c r="B3206" s="24" t="s">
        <v>56</v>
      </c>
      <c r="C3206" s="27">
        <v>1680.0</v>
      </c>
    </row>
    <row r="3207">
      <c r="A3207" s="24" t="s">
        <v>68</v>
      </c>
      <c r="B3207" s="24" t="s">
        <v>47</v>
      </c>
      <c r="C3207" s="27">
        <v>180.0</v>
      </c>
    </row>
    <row r="3208">
      <c r="A3208" s="24" t="s">
        <v>69</v>
      </c>
      <c r="B3208" s="24" t="s">
        <v>44</v>
      </c>
      <c r="C3208" s="27">
        <v>240.0</v>
      </c>
    </row>
    <row r="3209">
      <c r="A3209" s="24" t="s">
        <v>68</v>
      </c>
      <c r="B3209" s="24" t="s">
        <v>62</v>
      </c>
      <c r="C3209" s="27">
        <v>75.0</v>
      </c>
    </row>
    <row r="3210">
      <c r="A3210" s="24" t="s">
        <v>69</v>
      </c>
      <c r="B3210" s="24" t="s">
        <v>27</v>
      </c>
      <c r="C3210" s="27">
        <v>630.0</v>
      </c>
    </row>
    <row r="3211">
      <c r="A3211" s="24" t="s">
        <v>68</v>
      </c>
      <c r="B3211" s="24" t="s">
        <v>58</v>
      </c>
      <c r="C3211" s="27">
        <v>1065.0</v>
      </c>
    </row>
    <row r="3212">
      <c r="A3212" s="24" t="s">
        <v>68</v>
      </c>
      <c r="B3212" s="24" t="s">
        <v>30</v>
      </c>
      <c r="C3212" s="27">
        <v>660.0</v>
      </c>
    </row>
    <row r="3213">
      <c r="A3213" s="24" t="s">
        <v>69</v>
      </c>
      <c r="B3213" s="24" t="s">
        <v>57</v>
      </c>
      <c r="C3213" s="27">
        <v>1005.0</v>
      </c>
    </row>
    <row r="3214">
      <c r="A3214" s="24" t="s">
        <v>68</v>
      </c>
      <c r="B3214" s="24" t="s">
        <v>46</v>
      </c>
      <c r="C3214" s="27">
        <v>210.0</v>
      </c>
    </row>
    <row r="3215">
      <c r="A3215" s="24" t="s">
        <v>69</v>
      </c>
      <c r="B3215" s="24" t="s">
        <v>37</v>
      </c>
      <c r="C3215" s="27">
        <v>525.0</v>
      </c>
    </row>
    <row r="3216">
      <c r="A3216" s="24" t="s">
        <v>68</v>
      </c>
      <c r="B3216" s="24" t="s">
        <v>38</v>
      </c>
      <c r="C3216" s="27">
        <v>795.0</v>
      </c>
    </row>
    <row r="3217">
      <c r="A3217" s="24" t="s">
        <v>68</v>
      </c>
      <c r="B3217" s="24" t="s">
        <v>24</v>
      </c>
      <c r="C3217" s="27">
        <v>825.0</v>
      </c>
    </row>
    <row r="3218">
      <c r="A3218" s="24" t="s">
        <v>69</v>
      </c>
      <c r="B3218" s="24" t="s">
        <v>39</v>
      </c>
      <c r="C3218" s="27">
        <v>495.0</v>
      </c>
    </row>
    <row r="3219">
      <c r="A3219" s="24" t="s">
        <v>69</v>
      </c>
      <c r="B3219" s="24" t="s">
        <v>31</v>
      </c>
      <c r="C3219" s="27">
        <v>915.0</v>
      </c>
    </row>
    <row r="3220">
      <c r="A3220" s="24" t="s">
        <v>68</v>
      </c>
      <c r="B3220" s="24" t="s">
        <v>52</v>
      </c>
      <c r="C3220" s="27">
        <v>825.0</v>
      </c>
    </row>
    <row r="3221">
      <c r="A3221" s="24" t="s">
        <v>68</v>
      </c>
      <c r="B3221" s="24" t="s">
        <v>63</v>
      </c>
      <c r="C3221" s="27">
        <v>405.0</v>
      </c>
    </row>
    <row r="3222">
      <c r="A3222" s="24" t="s">
        <v>69</v>
      </c>
      <c r="B3222" s="24" t="s">
        <v>40</v>
      </c>
      <c r="C3222" s="27">
        <v>330.0</v>
      </c>
    </row>
    <row r="3223">
      <c r="A3223" s="24" t="s">
        <v>69</v>
      </c>
      <c r="B3223" s="24" t="s">
        <v>51</v>
      </c>
      <c r="C3223" s="27">
        <v>645.0</v>
      </c>
    </row>
    <row r="3224">
      <c r="A3224" s="24" t="s">
        <v>68</v>
      </c>
      <c r="B3224" s="24" t="s">
        <v>29</v>
      </c>
      <c r="C3224" s="27">
        <v>1290.0</v>
      </c>
    </row>
    <row r="3225">
      <c r="A3225" s="24" t="s">
        <v>68</v>
      </c>
      <c r="B3225" s="24" t="s">
        <v>67</v>
      </c>
      <c r="C3225" s="27">
        <v>1020.0</v>
      </c>
    </row>
    <row r="3226">
      <c r="A3226" s="24" t="s">
        <v>68</v>
      </c>
      <c r="B3226" s="24" t="s">
        <v>61</v>
      </c>
      <c r="C3226" s="27">
        <v>105.0</v>
      </c>
    </row>
    <row r="3227">
      <c r="A3227" s="24" t="s">
        <v>69</v>
      </c>
      <c r="B3227" s="24" t="s">
        <v>62</v>
      </c>
      <c r="C3227" s="27">
        <v>60.0</v>
      </c>
    </row>
    <row r="3228">
      <c r="A3228" s="24" t="s">
        <v>68</v>
      </c>
      <c r="B3228" s="24" t="s">
        <v>53</v>
      </c>
      <c r="C3228" s="27">
        <v>1155.0</v>
      </c>
    </row>
    <row r="3229">
      <c r="A3229" s="24" t="s">
        <v>68</v>
      </c>
      <c r="B3229" s="24" t="s">
        <v>52</v>
      </c>
      <c r="C3229" s="27">
        <v>825.0</v>
      </c>
    </row>
    <row r="3230">
      <c r="A3230" s="24" t="s">
        <v>68</v>
      </c>
      <c r="B3230" s="24" t="s">
        <v>26</v>
      </c>
      <c r="C3230" s="27">
        <v>1050.0</v>
      </c>
    </row>
    <row r="3231">
      <c r="A3231" s="24" t="s">
        <v>68</v>
      </c>
      <c r="B3231" s="24" t="s">
        <v>25</v>
      </c>
      <c r="C3231" s="27">
        <v>930.0</v>
      </c>
    </row>
    <row r="3232">
      <c r="A3232" s="24" t="s">
        <v>69</v>
      </c>
      <c r="B3232" s="24" t="s">
        <v>32</v>
      </c>
      <c r="C3232" s="27">
        <v>705.0</v>
      </c>
    </row>
    <row r="3233">
      <c r="A3233" s="24" t="s">
        <v>68</v>
      </c>
      <c r="B3233" s="24" t="s">
        <v>28</v>
      </c>
      <c r="C3233" s="27">
        <v>645.0</v>
      </c>
    </row>
    <row r="3234">
      <c r="A3234" s="24" t="s">
        <v>68</v>
      </c>
      <c r="B3234" s="24" t="s">
        <v>67</v>
      </c>
      <c r="C3234" s="27">
        <v>1020.0</v>
      </c>
    </row>
    <row r="3235">
      <c r="A3235" s="24" t="s">
        <v>69</v>
      </c>
      <c r="B3235" s="24" t="s">
        <v>46</v>
      </c>
      <c r="C3235" s="27">
        <v>225.0</v>
      </c>
    </row>
    <row r="3236">
      <c r="A3236" s="24" t="s">
        <v>68</v>
      </c>
      <c r="B3236" s="24" t="s">
        <v>48</v>
      </c>
      <c r="C3236" s="27">
        <v>285.0</v>
      </c>
    </row>
    <row r="3237">
      <c r="A3237" s="24" t="s">
        <v>68</v>
      </c>
      <c r="B3237" s="24" t="s">
        <v>53</v>
      </c>
      <c r="C3237" s="27">
        <v>1155.0</v>
      </c>
    </row>
    <row r="3238">
      <c r="A3238" s="24" t="s">
        <v>69</v>
      </c>
      <c r="B3238" s="24" t="s">
        <v>24</v>
      </c>
      <c r="C3238" s="27">
        <v>795.0</v>
      </c>
    </row>
    <row r="3239">
      <c r="A3239" s="24" t="s">
        <v>68</v>
      </c>
      <c r="B3239" s="24" t="s">
        <v>26</v>
      </c>
      <c r="C3239" s="27">
        <v>1050.0</v>
      </c>
    </row>
    <row r="3240">
      <c r="A3240" s="24" t="s">
        <v>68</v>
      </c>
      <c r="B3240" s="24" t="s">
        <v>68</v>
      </c>
      <c r="C3240" s="27">
        <v>0.0</v>
      </c>
    </row>
    <row r="3241">
      <c r="A3241" s="24" t="s">
        <v>69</v>
      </c>
      <c r="B3241" s="24" t="s">
        <v>58</v>
      </c>
      <c r="C3241" s="27">
        <v>1035.0</v>
      </c>
    </row>
    <row r="3242">
      <c r="A3242" s="24" t="s">
        <v>68</v>
      </c>
      <c r="B3242" s="24" t="s">
        <v>28</v>
      </c>
      <c r="C3242" s="27">
        <v>645.0</v>
      </c>
    </row>
    <row r="3243">
      <c r="A3243" s="24" t="s">
        <v>68</v>
      </c>
      <c r="B3243" s="24" t="s">
        <v>69</v>
      </c>
      <c r="C3243" s="27">
        <v>75.0</v>
      </c>
    </row>
    <row r="3244">
      <c r="A3244" s="24" t="s">
        <v>69</v>
      </c>
      <c r="B3244" s="24" t="s">
        <v>29</v>
      </c>
      <c r="C3244" s="27">
        <v>1260.0</v>
      </c>
    </row>
    <row r="3245">
      <c r="A3245" s="24" t="s">
        <v>68</v>
      </c>
      <c r="B3245" s="24" t="s">
        <v>48</v>
      </c>
      <c r="C3245" s="27">
        <v>285.0</v>
      </c>
    </row>
    <row r="3246">
      <c r="A3246" s="24" t="s">
        <v>68</v>
      </c>
      <c r="B3246" s="24" t="s">
        <v>59</v>
      </c>
      <c r="C3246" s="27">
        <v>990.0</v>
      </c>
    </row>
    <row r="3247">
      <c r="A3247" s="24" t="s">
        <v>68</v>
      </c>
      <c r="B3247" s="24" t="s">
        <v>70</v>
      </c>
      <c r="C3247" s="27">
        <v>60.0</v>
      </c>
    </row>
    <row r="3248">
      <c r="A3248" s="24" t="s">
        <v>68</v>
      </c>
      <c r="B3248" s="24" t="s">
        <v>68</v>
      </c>
      <c r="C3248" s="27">
        <v>0.0</v>
      </c>
    </row>
    <row r="3249">
      <c r="A3249" s="24" t="s">
        <v>69</v>
      </c>
      <c r="B3249" s="24" t="s">
        <v>38</v>
      </c>
      <c r="C3249" s="27">
        <v>765.0</v>
      </c>
    </row>
    <row r="3250">
      <c r="A3250" s="24" t="s">
        <v>68</v>
      </c>
      <c r="B3250" s="24" t="s">
        <v>71</v>
      </c>
      <c r="C3250" s="27">
        <v>90.0</v>
      </c>
    </row>
    <row r="3251">
      <c r="A3251" s="24" t="s">
        <v>68</v>
      </c>
      <c r="B3251" s="24" t="s">
        <v>69</v>
      </c>
      <c r="C3251" s="27">
        <v>75.0</v>
      </c>
    </row>
    <row r="3252">
      <c r="A3252" s="24" t="s">
        <v>69</v>
      </c>
      <c r="B3252" s="24" t="s">
        <v>61</v>
      </c>
      <c r="C3252" s="27">
        <v>75.0</v>
      </c>
    </row>
    <row r="3253">
      <c r="A3253" s="24" t="s">
        <v>69</v>
      </c>
      <c r="B3253" s="24" t="s">
        <v>18</v>
      </c>
      <c r="C3253" s="27">
        <v>120.0</v>
      </c>
    </row>
    <row r="3254">
      <c r="A3254" s="24" t="s">
        <v>68</v>
      </c>
      <c r="B3254" s="24" t="s">
        <v>70</v>
      </c>
      <c r="C3254" s="27">
        <v>60.0</v>
      </c>
    </row>
    <row r="3255">
      <c r="A3255" s="24" t="s">
        <v>69</v>
      </c>
      <c r="B3255" s="24" t="s">
        <v>52</v>
      </c>
      <c r="C3255" s="27">
        <v>795.0</v>
      </c>
    </row>
    <row r="3256">
      <c r="A3256" s="24" t="s">
        <v>69</v>
      </c>
      <c r="B3256" s="24" t="s">
        <v>49</v>
      </c>
      <c r="C3256" s="27">
        <v>1575.0</v>
      </c>
    </row>
    <row r="3257">
      <c r="A3257" s="24" t="s">
        <v>69</v>
      </c>
      <c r="B3257" s="24" t="s">
        <v>18</v>
      </c>
      <c r="C3257" s="27">
        <v>120.0</v>
      </c>
    </row>
    <row r="3258">
      <c r="A3258" s="24" t="s">
        <v>69</v>
      </c>
      <c r="B3258" s="24" t="s">
        <v>49</v>
      </c>
      <c r="C3258" s="27">
        <v>1575.0</v>
      </c>
    </row>
    <row r="3259">
      <c r="A3259" s="24" t="s">
        <v>69</v>
      </c>
      <c r="B3259" s="24" t="s">
        <v>67</v>
      </c>
      <c r="C3259" s="27">
        <v>990.0</v>
      </c>
    </row>
    <row r="3260">
      <c r="A3260" s="24" t="s">
        <v>69</v>
      </c>
      <c r="B3260" s="24" t="s">
        <v>35</v>
      </c>
      <c r="C3260" s="27">
        <v>735.0</v>
      </c>
    </row>
    <row r="3261">
      <c r="A3261" s="24" t="s">
        <v>69</v>
      </c>
      <c r="B3261" s="24" t="s">
        <v>53</v>
      </c>
      <c r="C3261" s="27">
        <v>1125.0</v>
      </c>
    </row>
    <row r="3262">
      <c r="A3262" s="24" t="s">
        <v>69</v>
      </c>
      <c r="B3262" s="24" t="s">
        <v>41</v>
      </c>
      <c r="C3262" s="27">
        <v>630.0</v>
      </c>
    </row>
    <row r="3263">
      <c r="A3263" s="24" t="s">
        <v>69</v>
      </c>
      <c r="B3263" s="24" t="s">
        <v>35</v>
      </c>
      <c r="C3263" s="27">
        <v>735.0</v>
      </c>
    </row>
    <row r="3264">
      <c r="A3264" s="24" t="s">
        <v>69</v>
      </c>
      <c r="B3264" s="24" t="s">
        <v>26</v>
      </c>
      <c r="C3264" s="27">
        <v>1020.0</v>
      </c>
    </row>
    <row r="3265">
      <c r="A3265" s="24" t="s">
        <v>69</v>
      </c>
      <c r="B3265" s="24" t="s">
        <v>64</v>
      </c>
      <c r="C3265" s="27">
        <v>420.0</v>
      </c>
    </row>
    <row r="3266">
      <c r="A3266" s="24" t="s">
        <v>69</v>
      </c>
      <c r="B3266" s="24" t="s">
        <v>41</v>
      </c>
      <c r="C3266" s="27">
        <v>630.0</v>
      </c>
    </row>
    <row r="3267">
      <c r="A3267" s="24" t="s">
        <v>69</v>
      </c>
      <c r="B3267" s="24" t="s">
        <v>28</v>
      </c>
      <c r="C3267" s="27">
        <v>615.0</v>
      </c>
    </row>
    <row r="3268">
      <c r="A3268" s="24" t="s">
        <v>69</v>
      </c>
      <c r="B3268" s="24" t="s">
        <v>64</v>
      </c>
      <c r="C3268" s="27">
        <v>420.0</v>
      </c>
    </row>
    <row r="3269">
      <c r="A3269" s="24" t="s">
        <v>69</v>
      </c>
      <c r="B3269" s="24" t="s">
        <v>48</v>
      </c>
      <c r="C3269" s="27">
        <v>315.0</v>
      </c>
    </row>
    <row r="3270">
      <c r="A3270" s="24" t="s">
        <v>69</v>
      </c>
      <c r="B3270" s="24" t="s">
        <v>65</v>
      </c>
      <c r="C3270" s="27">
        <v>315.0</v>
      </c>
    </row>
    <row r="3271">
      <c r="A3271" s="24" t="s">
        <v>69</v>
      </c>
      <c r="B3271" s="24" t="s">
        <v>65</v>
      </c>
      <c r="C3271" s="27">
        <v>315.0</v>
      </c>
    </row>
    <row r="3272">
      <c r="A3272" s="24" t="s">
        <v>69</v>
      </c>
      <c r="B3272" s="24" t="s">
        <v>36</v>
      </c>
      <c r="C3272" s="27">
        <v>720.0</v>
      </c>
    </row>
    <row r="3273">
      <c r="A3273" s="24" t="s">
        <v>69</v>
      </c>
      <c r="B3273" s="24" t="s">
        <v>36</v>
      </c>
      <c r="C3273" s="27">
        <v>720.0</v>
      </c>
    </row>
    <row r="3274">
      <c r="A3274" s="24" t="s">
        <v>69</v>
      </c>
      <c r="B3274" s="24" t="s">
        <v>68</v>
      </c>
      <c r="C3274" s="27">
        <v>60.0</v>
      </c>
    </row>
    <row r="3275">
      <c r="A3275" s="24" t="s">
        <v>69</v>
      </c>
      <c r="B3275" s="24" t="s">
        <v>43</v>
      </c>
      <c r="C3275" s="27">
        <v>465.0</v>
      </c>
    </row>
    <row r="3276">
      <c r="A3276" s="24" t="s">
        <v>69</v>
      </c>
      <c r="B3276" s="24" t="s">
        <v>69</v>
      </c>
      <c r="C3276" s="27">
        <v>0.0</v>
      </c>
    </row>
    <row r="3277">
      <c r="A3277" s="24" t="s">
        <v>69</v>
      </c>
      <c r="B3277" s="24" t="s">
        <v>50</v>
      </c>
      <c r="C3277" s="27">
        <v>1560.0</v>
      </c>
    </row>
    <row r="3278">
      <c r="A3278" s="24" t="s">
        <v>69</v>
      </c>
      <c r="B3278" s="24" t="s">
        <v>70</v>
      </c>
      <c r="C3278" s="27">
        <v>30.0</v>
      </c>
    </row>
    <row r="3279">
      <c r="A3279" s="24" t="s">
        <v>69</v>
      </c>
      <c r="B3279" s="24" t="s">
        <v>50</v>
      </c>
      <c r="C3279" s="27">
        <v>1560.0</v>
      </c>
    </row>
    <row r="3280">
      <c r="A3280" s="24" t="s">
        <v>69</v>
      </c>
      <c r="B3280" s="24" t="s">
        <v>23</v>
      </c>
      <c r="C3280" s="27">
        <v>900.0</v>
      </c>
    </row>
    <row r="3281">
      <c r="A3281" s="24" t="s">
        <v>69</v>
      </c>
      <c r="B3281" s="24" t="s">
        <v>71</v>
      </c>
      <c r="C3281" s="27">
        <v>120.0</v>
      </c>
    </row>
    <row r="3282">
      <c r="A3282" s="24" t="s">
        <v>69</v>
      </c>
      <c r="B3282" s="24" t="s">
        <v>54</v>
      </c>
      <c r="C3282" s="27">
        <v>1095.0</v>
      </c>
    </row>
    <row r="3283">
      <c r="A3283" s="24" t="s">
        <v>69</v>
      </c>
      <c r="B3283" s="24" t="s">
        <v>54</v>
      </c>
      <c r="C3283" s="27">
        <v>1095.0</v>
      </c>
    </row>
    <row r="3284">
      <c r="A3284" s="24" t="s">
        <v>69</v>
      </c>
      <c r="B3284" s="24" t="s">
        <v>34</v>
      </c>
      <c r="C3284" s="27">
        <v>240.0</v>
      </c>
    </row>
    <row r="3285">
      <c r="A3285" s="24" t="s">
        <v>70</v>
      </c>
      <c r="B3285" s="24" t="s">
        <v>49</v>
      </c>
      <c r="C3285" s="27">
        <v>1560.0</v>
      </c>
    </row>
    <row r="3286">
      <c r="A3286" s="24" t="s">
        <v>69</v>
      </c>
      <c r="B3286" s="24" t="s">
        <v>20</v>
      </c>
      <c r="C3286" s="27">
        <v>885.0</v>
      </c>
    </row>
    <row r="3287">
      <c r="A3287" s="24" t="s">
        <v>70</v>
      </c>
      <c r="B3287" s="24" t="s">
        <v>22</v>
      </c>
      <c r="C3287" s="27">
        <v>825.0</v>
      </c>
    </row>
    <row r="3288">
      <c r="A3288" s="24" t="s">
        <v>69</v>
      </c>
      <c r="B3288" s="24" t="s">
        <v>42</v>
      </c>
      <c r="C3288" s="27">
        <v>480.0</v>
      </c>
    </row>
    <row r="3289">
      <c r="A3289" s="24" t="s">
        <v>69</v>
      </c>
      <c r="B3289" s="24" t="s">
        <v>21</v>
      </c>
      <c r="C3289" s="27">
        <v>870.0</v>
      </c>
    </row>
    <row r="3290">
      <c r="A3290" s="24" t="s">
        <v>70</v>
      </c>
      <c r="B3290" s="24" t="s">
        <v>35</v>
      </c>
      <c r="C3290" s="27">
        <v>720.0</v>
      </c>
    </row>
    <row r="3291">
      <c r="A3291" s="24" t="s">
        <v>69</v>
      </c>
      <c r="B3291" s="24" t="s">
        <v>33</v>
      </c>
      <c r="C3291" s="27">
        <v>690.0</v>
      </c>
    </row>
    <row r="3292">
      <c r="A3292" s="24" t="s">
        <v>70</v>
      </c>
      <c r="B3292" s="24" t="s">
        <v>41</v>
      </c>
      <c r="C3292" s="27">
        <v>630.0</v>
      </c>
    </row>
    <row r="3293">
      <c r="A3293" s="24" t="s">
        <v>69</v>
      </c>
      <c r="B3293" s="24" t="s">
        <v>66</v>
      </c>
      <c r="C3293" s="27">
        <v>795.0</v>
      </c>
    </row>
    <row r="3294">
      <c r="A3294" s="24" t="s">
        <v>70</v>
      </c>
      <c r="B3294" s="24" t="s">
        <v>64</v>
      </c>
      <c r="C3294" s="27">
        <v>405.0</v>
      </c>
    </row>
    <row r="3295">
      <c r="A3295" s="24" t="s">
        <v>70</v>
      </c>
      <c r="B3295" s="24" t="s">
        <v>65</v>
      </c>
      <c r="C3295" s="27">
        <v>300.0</v>
      </c>
    </row>
    <row r="3296">
      <c r="A3296" s="24" t="s">
        <v>69</v>
      </c>
      <c r="B3296" s="24" t="s">
        <v>21</v>
      </c>
      <c r="C3296" s="27">
        <v>870.0</v>
      </c>
    </row>
    <row r="3297">
      <c r="A3297" s="24" t="s">
        <v>69</v>
      </c>
      <c r="B3297" s="24" t="s">
        <v>45</v>
      </c>
      <c r="C3297" s="27">
        <v>225.0</v>
      </c>
    </row>
    <row r="3298">
      <c r="A3298" s="24" t="s">
        <v>69</v>
      </c>
      <c r="B3298" s="24" t="s">
        <v>33</v>
      </c>
      <c r="C3298" s="27">
        <v>690.0</v>
      </c>
    </row>
    <row r="3299">
      <c r="A3299" s="24" t="s">
        <v>69</v>
      </c>
      <c r="B3299" s="24" t="s">
        <v>55</v>
      </c>
      <c r="C3299" s="27">
        <v>1470.0</v>
      </c>
    </row>
    <row r="3300">
      <c r="A3300" s="24" t="s">
        <v>70</v>
      </c>
      <c r="B3300" s="24" t="s">
        <v>43</v>
      </c>
      <c r="C3300" s="27">
        <v>465.0</v>
      </c>
    </row>
    <row r="3301">
      <c r="A3301" s="24" t="s">
        <v>69</v>
      </c>
      <c r="B3301" s="24" t="s">
        <v>66</v>
      </c>
      <c r="C3301" s="27">
        <v>795.0</v>
      </c>
    </row>
    <row r="3302">
      <c r="A3302" s="24" t="s">
        <v>69</v>
      </c>
      <c r="B3302" s="24" t="s">
        <v>60</v>
      </c>
      <c r="C3302" s="27">
        <v>375.0</v>
      </c>
    </row>
    <row r="3303">
      <c r="A3303" s="24" t="s">
        <v>69</v>
      </c>
      <c r="B3303" s="24" t="s">
        <v>56</v>
      </c>
      <c r="C3303" s="27">
        <v>1680.0</v>
      </c>
    </row>
    <row r="3304">
      <c r="A3304" s="24" t="s">
        <v>69</v>
      </c>
      <c r="B3304" s="24" t="s">
        <v>44</v>
      </c>
      <c r="C3304" s="27">
        <v>240.0</v>
      </c>
    </row>
    <row r="3305">
      <c r="A3305" s="24" t="s">
        <v>70</v>
      </c>
      <c r="B3305" s="24" t="s">
        <v>23</v>
      </c>
      <c r="C3305" s="27">
        <v>900.0</v>
      </c>
    </row>
    <row r="3306">
      <c r="A3306" s="24" t="s">
        <v>69</v>
      </c>
      <c r="B3306" s="24" t="s">
        <v>55</v>
      </c>
      <c r="C3306" s="27">
        <v>1470.0</v>
      </c>
    </row>
    <row r="3307">
      <c r="A3307" s="24" t="s">
        <v>70</v>
      </c>
      <c r="B3307" s="24" t="s">
        <v>54</v>
      </c>
      <c r="C3307" s="27">
        <v>1095.0</v>
      </c>
    </row>
    <row r="3308">
      <c r="A3308" s="24" t="s">
        <v>69</v>
      </c>
      <c r="B3308" s="24" t="s">
        <v>27</v>
      </c>
      <c r="C3308" s="27">
        <v>630.0</v>
      </c>
    </row>
    <row r="3309">
      <c r="A3309" s="24" t="s">
        <v>70</v>
      </c>
      <c r="B3309" s="24" t="s">
        <v>34</v>
      </c>
      <c r="C3309" s="27">
        <v>240.0</v>
      </c>
    </row>
    <row r="3310">
      <c r="A3310" s="24" t="s">
        <v>69</v>
      </c>
      <c r="B3310" s="24" t="s">
        <v>57</v>
      </c>
      <c r="C3310" s="27">
        <v>1005.0</v>
      </c>
    </row>
    <row r="3311">
      <c r="A3311" s="24" t="s">
        <v>70</v>
      </c>
      <c r="B3311" s="24" t="s">
        <v>20</v>
      </c>
      <c r="C3311" s="27">
        <v>870.0</v>
      </c>
    </row>
    <row r="3312">
      <c r="A3312" s="24" t="s">
        <v>69</v>
      </c>
      <c r="B3312" s="24" t="s">
        <v>37</v>
      </c>
      <c r="C3312" s="27">
        <v>525.0</v>
      </c>
    </row>
    <row r="3313">
      <c r="A3313" s="24" t="s">
        <v>70</v>
      </c>
      <c r="B3313" s="24" t="s">
        <v>42</v>
      </c>
      <c r="C3313" s="27">
        <v>465.0</v>
      </c>
    </row>
    <row r="3314">
      <c r="A3314" s="24" t="s">
        <v>70</v>
      </c>
      <c r="B3314" s="24" t="s">
        <v>21</v>
      </c>
      <c r="C3314" s="27">
        <v>870.0</v>
      </c>
    </row>
    <row r="3315">
      <c r="A3315" s="24" t="s">
        <v>69</v>
      </c>
      <c r="B3315" s="24" t="s">
        <v>39</v>
      </c>
      <c r="C3315" s="27">
        <v>495.0</v>
      </c>
    </row>
    <row r="3316">
      <c r="A3316" s="24" t="s">
        <v>69</v>
      </c>
      <c r="B3316" s="24" t="s">
        <v>44</v>
      </c>
      <c r="C3316" s="27">
        <v>240.0</v>
      </c>
    </row>
    <row r="3317">
      <c r="A3317" s="24" t="s">
        <v>69</v>
      </c>
      <c r="B3317" s="24" t="s">
        <v>27</v>
      </c>
      <c r="C3317" s="27">
        <v>630.0</v>
      </c>
    </row>
    <row r="3318">
      <c r="A3318" s="24" t="s">
        <v>69</v>
      </c>
      <c r="B3318" s="24" t="s">
        <v>57</v>
      </c>
      <c r="C3318" s="27">
        <v>1005.0</v>
      </c>
    </row>
    <row r="3319">
      <c r="A3319" s="24" t="s">
        <v>70</v>
      </c>
      <c r="B3319" s="24" t="s">
        <v>33</v>
      </c>
      <c r="C3319" s="27">
        <v>675.0</v>
      </c>
    </row>
    <row r="3320">
      <c r="A3320" s="24" t="s">
        <v>69</v>
      </c>
      <c r="B3320" s="24" t="s">
        <v>40</v>
      </c>
      <c r="C3320" s="27">
        <v>330.0</v>
      </c>
    </row>
    <row r="3321">
      <c r="A3321" s="24" t="s">
        <v>70</v>
      </c>
      <c r="B3321" s="24" t="s">
        <v>66</v>
      </c>
      <c r="C3321" s="27">
        <v>780.0</v>
      </c>
    </row>
    <row r="3322">
      <c r="A3322" s="24" t="s">
        <v>69</v>
      </c>
      <c r="B3322" s="24" t="s">
        <v>39</v>
      </c>
      <c r="C3322" s="27">
        <v>495.0</v>
      </c>
    </row>
    <row r="3323">
      <c r="A3323" s="24" t="s">
        <v>69</v>
      </c>
      <c r="B3323" s="24" t="s">
        <v>31</v>
      </c>
      <c r="C3323" s="27">
        <v>915.0</v>
      </c>
    </row>
    <row r="3324">
      <c r="A3324" s="24" t="s">
        <v>69</v>
      </c>
      <c r="B3324" s="24" t="s">
        <v>47</v>
      </c>
      <c r="C3324" s="27">
        <v>195.0</v>
      </c>
    </row>
    <row r="3325">
      <c r="A3325" s="24" t="s">
        <v>69</v>
      </c>
      <c r="B3325" s="24" t="s">
        <v>40</v>
      </c>
      <c r="C3325" s="27">
        <v>330.0</v>
      </c>
    </row>
    <row r="3326">
      <c r="A3326" s="24" t="s">
        <v>70</v>
      </c>
      <c r="B3326" s="24" t="s">
        <v>60</v>
      </c>
      <c r="C3326" s="27">
        <v>375.0</v>
      </c>
    </row>
    <row r="3327">
      <c r="A3327" s="24" t="s">
        <v>69</v>
      </c>
      <c r="B3327" s="24" t="s">
        <v>62</v>
      </c>
      <c r="C3327" s="27">
        <v>60.0</v>
      </c>
    </row>
    <row r="3328">
      <c r="A3328" s="24" t="s">
        <v>69</v>
      </c>
      <c r="B3328" s="24" t="s">
        <v>51</v>
      </c>
      <c r="C3328" s="27">
        <v>645.0</v>
      </c>
    </row>
    <row r="3329">
      <c r="A3329" s="24" t="s">
        <v>69</v>
      </c>
      <c r="B3329" s="24" t="s">
        <v>30</v>
      </c>
      <c r="C3329" s="27">
        <v>630.0</v>
      </c>
    </row>
    <row r="3330">
      <c r="A3330" s="24" t="s">
        <v>70</v>
      </c>
      <c r="B3330" s="24" t="s">
        <v>55</v>
      </c>
      <c r="C3330" s="27">
        <v>1455.0</v>
      </c>
    </row>
    <row r="3331">
      <c r="A3331" s="24" t="s">
        <v>69</v>
      </c>
      <c r="B3331" s="24" t="s">
        <v>32</v>
      </c>
      <c r="C3331" s="27">
        <v>705.0</v>
      </c>
    </row>
    <row r="3332">
      <c r="A3332" s="24" t="s">
        <v>69</v>
      </c>
      <c r="B3332" s="24" t="s">
        <v>47</v>
      </c>
      <c r="C3332" s="27">
        <v>195.0</v>
      </c>
    </row>
    <row r="3333">
      <c r="A3333" s="24" t="s">
        <v>69</v>
      </c>
      <c r="B3333" s="24" t="s">
        <v>46</v>
      </c>
      <c r="C3333" s="27">
        <v>225.0</v>
      </c>
    </row>
    <row r="3334">
      <c r="A3334" s="24" t="s">
        <v>69</v>
      </c>
      <c r="B3334" s="24" t="s">
        <v>62</v>
      </c>
      <c r="C3334" s="27">
        <v>60.0</v>
      </c>
    </row>
    <row r="3335">
      <c r="A3335" s="24" t="s">
        <v>70</v>
      </c>
      <c r="B3335" s="24" t="s">
        <v>56</v>
      </c>
      <c r="C3335" s="27">
        <v>1665.0</v>
      </c>
    </row>
    <row r="3336">
      <c r="A3336" s="24" t="s">
        <v>69</v>
      </c>
      <c r="B3336" s="24" t="s">
        <v>24</v>
      </c>
      <c r="C3336" s="27">
        <v>795.0</v>
      </c>
    </row>
    <row r="3337">
      <c r="A3337" s="24" t="s">
        <v>69</v>
      </c>
      <c r="B3337" s="24" t="s">
        <v>30</v>
      </c>
      <c r="C3337" s="27">
        <v>630.0</v>
      </c>
    </row>
    <row r="3338">
      <c r="A3338" s="24" t="s">
        <v>70</v>
      </c>
      <c r="B3338" s="24" t="s">
        <v>44</v>
      </c>
      <c r="C3338" s="27">
        <v>240.0</v>
      </c>
    </row>
    <row r="3339">
      <c r="A3339" s="24" t="s">
        <v>69</v>
      </c>
      <c r="B3339" s="24" t="s">
        <v>32</v>
      </c>
      <c r="C3339" s="27">
        <v>705.0</v>
      </c>
    </row>
    <row r="3340">
      <c r="A3340" s="24" t="s">
        <v>69</v>
      </c>
      <c r="B3340" s="24" t="s">
        <v>63</v>
      </c>
      <c r="C3340" s="27">
        <v>375.0</v>
      </c>
    </row>
    <row r="3341">
      <c r="A3341" s="24" t="s">
        <v>70</v>
      </c>
      <c r="B3341" s="24" t="s">
        <v>27</v>
      </c>
      <c r="C3341" s="27">
        <v>615.0</v>
      </c>
    </row>
    <row r="3342">
      <c r="A3342" s="24" t="s">
        <v>69</v>
      </c>
      <c r="B3342" s="24" t="s">
        <v>58</v>
      </c>
      <c r="C3342" s="27">
        <v>1035.0</v>
      </c>
    </row>
    <row r="3343">
      <c r="A3343" s="24" t="s">
        <v>69</v>
      </c>
      <c r="B3343" s="24" t="s">
        <v>46</v>
      </c>
      <c r="C3343" s="27">
        <v>225.0</v>
      </c>
    </row>
    <row r="3344">
      <c r="A3344" s="24" t="s">
        <v>70</v>
      </c>
      <c r="B3344" s="24" t="s">
        <v>57</v>
      </c>
      <c r="C3344" s="27">
        <v>990.0</v>
      </c>
    </row>
    <row r="3345">
      <c r="A3345" s="24" t="s">
        <v>69</v>
      </c>
      <c r="B3345" s="24" t="s">
        <v>29</v>
      </c>
      <c r="C3345" s="27">
        <v>1260.0</v>
      </c>
    </row>
    <row r="3346">
      <c r="A3346" s="24" t="s">
        <v>70</v>
      </c>
      <c r="B3346" s="24" t="s">
        <v>37</v>
      </c>
      <c r="C3346" s="27">
        <v>525.0</v>
      </c>
    </row>
    <row r="3347">
      <c r="A3347" s="24" t="s">
        <v>69</v>
      </c>
      <c r="B3347" s="24" t="s">
        <v>63</v>
      </c>
      <c r="C3347" s="27">
        <v>375.0</v>
      </c>
    </row>
    <row r="3348">
      <c r="A3348" s="24" t="s">
        <v>69</v>
      </c>
      <c r="B3348" s="24" t="s">
        <v>38</v>
      </c>
      <c r="C3348" s="27">
        <v>765.0</v>
      </c>
    </row>
    <row r="3349">
      <c r="A3349" s="24" t="s">
        <v>69</v>
      </c>
      <c r="B3349" s="24" t="s">
        <v>61</v>
      </c>
      <c r="C3349" s="27">
        <v>75.0</v>
      </c>
    </row>
    <row r="3350">
      <c r="A3350" s="24" t="s">
        <v>69</v>
      </c>
      <c r="B3350" s="24" t="s">
        <v>58</v>
      </c>
      <c r="C3350" s="27">
        <v>1035.0</v>
      </c>
    </row>
    <row r="3351">
      <c r="A3351" s="24" t="s">
        <v>69</v>
      </c>
      <c r="B3351" s="24" t="s">
        <v>52</v>
      </c>
      <c r="C3351" s="27">
        <v>795.0</v>
      </c>
    </row>
    <row r="3352">
      <c r="A3352" s="24" t="s">
        <v>70</v>
      </c>
      <c r="B3352" s="24" t="s">
        <v>31</v>
      </c>
      <c r="C3352" s="27">
        <v>900.0</v>
      </c>
    </row>
    <row r="3353">
      <c r="A3353" s="24" t="s">
        <v>69</v>
      </c>
      <c r="B3353" s="24" t="s">
        <v>29</v>
      </c>
      <c r="C3353" s="27">
        <v>1260.0</v>
      </c>
    </row>
    <row r="3354">
      <c r="A3354" s="24" t="s">
        <v>70</v>
      </c>
      <c r="B3354" s="24" t="s">
        <v>40</v>
      </c>
      <c r="C3354" s="27">
        <v>330.0</v>
      </c>
    </row>
    <row r="3355">
      <c r="A3355" s="24" t="s">
        <v>69</v>
      </c>
      <c r="B3355" s="24" t="s">
        <v>38</v>
      </c>
      <c r="C3355" s="27">
        <v>765.0</v>
      </c>
    </row>
    <row r="3356">
      <c r="A3356" s="24" t="s">
        <v>70</v>
      </c>
      <c r="B3356" s="24" t="s">
        <v>51</v>
      </c>
      <c r="C3356" s="27">
        <v>630.0</v>
      </c>
    </row>
    <row r="3357">
      <c r="A3357" s="24" t="s">
        <v>69</v>
      </c>
      <c r="B3357" s="24" t="s">
        <v>25</v>
      </c>
      <c r="C3357" s="27">
        <v>900.0</v>
      </c>
    </row>
    <row r="3358">
      <c r="A3358" s="24" t="s">
        <v>69</v>
      </c>
      <c r="B3358" s="24" t="s">
        <v>52</v>
      </c>
      <c r="C3358" s="27">
        <v>795.0</v>
      </c>
    </row>
    <row r="3359">
      <c r="A3359" s="24" t="s">
        <v>70</v>
      </c>
      <c r="B3359" s="24" t="s">
        <v>62</v>
      </c>
      <c r="C3359" s="27">
        <v>60.0</v>
      </c>
    </row>
    <row r="3360">
      <c r="A3360" s="24" t="s">
        <v>69</v>
      </c>
      <c r="B3360" s="24" t="s">
        <v>25</v>
      </c>
      <c r="C3360" s="27">
        <v>900.0</v>
      </c>
    </row>
    <row r="3361">
      <c r="A3361" s="24" t="s">
        <v>69</v>
      </c>
      <c r="B3361" s="24" t="s">
        <v>67</v>
      </c>
      <c r="C3361" s="27">
        <v>990.0</v>
      </c>
    </row>
    <row r="3362">
      <c r="A3362" s="24" t="s">
        <v>70</v>
      </c>
      <c r="B3362" s="24" t="s">
        <v>30</v>
      </c>
      <c r="C3362" s="27">
        <v>630.0</v>
      </c>
    </row>
    <row r="3363">
      <c r="A3363" s="24" t="s">
        <v>69</v>
      </c>
      <c r="B3363" s="24" t="s">
        <v>67</v>
      </c>
      <c r="C3363" s="27">
        <v>990.0</v>
      </c>
    </row>
    <row r="3364">
      <c r="A3364" s="24" t="s">
        <v>69</v>
      </c>
      <c r="B3364" s="24" t="s">
        <v>53</v>
      </c>
      <c r="C3364" s="27">
        <v>1125.0</v>
      </c>
    </row>
    <row r="3365">
      <c r="A3365" s="24" t="s">
        <v>70</v>
      </c>
      <c r="B3365" s="24" t="s">
        <v>32</v>
      </c>
      <c r="C3365" s="27">
        <v>690.0</v>
      </c>
    </row>
    <row r="3366">
      <c r="A3366" s="24" t="s">
        <v>69</v>
      </c>
      <c r="B3366" s="24" t="s">
        <v>26</v>
      </c>
      <c r="C3366" s="27">
        <v>1020.0</v>
      </c>
    </row>
    <row r="3367">
      <c r="A3367" s="24" t="s">
        <v>69</v>
      </c>
      <c r="B3367" s="24" t="s">
        <v>53</v>
      </c>
      <c r="C3367" s="27">
        <v>1125.0</v>
      </c>
    </row>
    <row r="3368">
      <c r="A3368" s="24" t="s">
        <v>69</v>
      </c>
      <c r="B3368" s="24" t="s">
        <v>26</v>
      </c>
      <c r="C3368" s="27">
        <v>1020.0</v>
      </c>
    </row>
    <row r="3369">
      <c r="A3369" s="24" t="s">
        <v>69</v>
      </c>
      <c r="B3369" s="24" t="s">
        <v>28</v>
      </c>
      <c r="C3369" s="27">
        <v>615.0</v>
      </c>
    </row>
    <row r="3370">
      <c r="A3370" s="24" t="s">
        <v>69</v>
      </c>
      <c r="B3370" s="24" t="s">
        <v>28</v>
      </c>
      <c r="C3370" s="27">
        <v>615.0</v>
      </c>
    </row>
    <row r="3371">
      <c r="A3371" s="24" t="s">
        <v>70</v>
      </c>
      <c r="B3371" s="24" t="s">
        <v>24</v>
      </c>
      <c r="C3371" s="27">
        <v>780.0</v>
      </c>
    </row>
    <row r="3372">
      <c r="A3372" s="24" t="s">
        <v>69</v>
      </c>
      <c r="B3372" s="24" t="s">
        <v>68</v>
      </c>
      <c r="C3372" s="27">
        <v>60.0</v>
      </c>
    </row>
    <row r="3373">
      <c r="A3373" s="24" t="s">
        <v>69</v>
      </c>
      <c r="B3373" s="24" t="s">
        <v>69</v>
      </c>
      <c r="C3373" s="27">
        <v>0.0</v>
      </c>
    </row>
    <row r="3374">
      <c r="A3374" s="24" t="s">
        <v>69</v>
      </c>
      <c r="B3374" s="24" t="s">
        <v>59</v>
      </c>
      <c r="C3374" s="27">
        <v>960.0</v>
      </c>
    </row>
    <row r="3375">
      <c r="A3375" s="24" t="s">
        <v>69</v>
      </c>
      <c r="B3375" s="24" t="s">
        <v>68</v>
      </c>
      <c r="C3375" s="27">
        <v>60.0</v>
      </c>
    </row>
    <row r="3376">
      <c r="A3376" s="24" t="s">
        <v>69</v>
      </c>
      <c r="B3376" s="24" t="s">
        <v>70</v>
      </c>
      <c r="C3376" s="27">
        <v>30.0</v>
      </c>
    </row>
    <row r="3377">
      <c r="A3377" s="24" t="s">
        <v>69</v>
      </c>
      <c r="B3377" s="24" t="s">
        <v>69</v>
      </c>
      <c r="C3377" s="27">
        <v>0.0</v>
      </c>
    </row>
    <row r="3378">
      <c r="A3378" s="24" t="s">
        <v>70</v>
      </c>
      <c r="B3378" s="24" t="s">
        <v>29</v>
      </c>
      <c r="C3378" s="27">
        <v>1260.0</v>
      </c>
    </row>
    <row r="3379">
      <c r="A3379" s="24" t="s">
        <v>69</v>
      </c>
      <c r="B3379" s="24" t="s">
        <v>70</v>
      </c>
      <c r="C3379" s="27">
        <v>30.0</v>
      </c>
    </row>
    <row r="3380">
      <c r="A3380" s="24" t="s">
        <v>70</v>
      </c>
      <c r="B3380" s="24" t="s">
        <v>18</v>
      </c>
      <c r="C3380" s="27">
        <v>105.0</v>
      </c>
    </row>
    <row r="3381">
      <c r="A3381" s="24" t="s">
        <v>70</v>
      </c>
      <c r="B3381" s="24" t="s">
        <v>38</v>
      </c>
      <c r="C3381" s="27">
        <v>765.0</v>
      </c>
    </row>
    <row r="3382">
      <c r="A3382" s="24" t="s">
        <v>70</v>
      </c>
      <c r="B3382" s="24" t="s">
        <v>49</v>
      </c>
      <c r="C3382" s="27">
        <v>1560.0</v>
      </c>
    </row>
    <row r="3383">
      <c r="A3383" s="24" t="s">
        <v>70</v>
      </c>
      <c r="B3383" s="24" t="s">
        <v>61</v>
      </c>
      <c r="C3383" s="27">
        <v>60.0</v>
      </c>
    </row>
    <row r="3384">
      <c r="A3384" s="24" t="s">
        <v>70</v>
      </c>
      <c r="B3384" s="24" t="s">
        <v>35</v>
      </c>
      <c r="C3384" s="27">
        <v>720.0</v>
      </c>
    </row>
    <row r="3385">
      <c r="A3385" s="24" t="s">
        <v>70</v>
      </c>
      <c r="B3385" s="24" t="s">
        <v>52</v>
      </c>
      <c r="C3385" s="27">
        <v>795.0</v>
      </c>
    </row>
    <row r="3386">
      <c r="A3386" s="24" t="s">
        <v>70</v>
      </c>
      <c r="B3386" s="24" t="s">
        <v>41</v>
      </c>
      <c r="C3386" s="27">
        <v>630.0</v>
      </c>
    </row>
    <row r="3387">
      <c r="A3387" s="24" t="s">
        <v>70</v>
      </c>
      <c r="B3387" s="24" t="s">
        <v>49</v>
      </c>
      <c r="C3387" s="27">
        <v>1560.0</v>
      </c>
    </row>
    <row r="3388">
      <c r="A3388" s="24" t="s">
        <v>70</v>
      </c>
      <c r="B3388" s="24" t="s">
        <v>25</v>
      </c>
      <c r="C3388" s="27">
        <v>900.0</v>
      </c>
    </row>
    <row r="3389">
      <c r="A3389" s="24" t="s">
        <v>70</v>
      </c>
      <c r="B3389" s="24" t="s">
        <v>64</v>
      </c>
      <c r="C3389" s="27">
        <v>405.0</v>
      </c>
    </row>
    <row r="3390">
      <c r="A3390" s="24" t="s">
        <v>70</v>
      </c>
      <c r="B3390" s="24" t="s">
        <v>67</v>
      </c>
      <c r="C3390" s="27">
        <v>990.0</v>
      </c>
    </row>
    <row r="3391">
      <c r="A3391" s="24" t="s">
        <v>70</v>
      </c>
      <c r="B3391" s="24" t="s">
        <v>65</v>
      </c>
      <c r="C3391" s="27">
        <v>300.0</v>
      </c>
    </row>
    <row r="3392">
      <c r="A3392" s="24" t="s">
        <v>70</v>
      </c>
      <c r="B3392" s="24" t="s">
        <v>53</v>
      </c>
      <c r="C3392" s="27">
        <v>1125.0</v>
      </c>
    </row>
    <row r="3393">
      <c r="A3393" s="24" t="s">
        <v>70</v>
      </c>
      <c r="B3393" s="24" t="s">
        <v>36</v>
      </c>
      <c r="C3393" s="27">
        <v>720.0</v>
      </c>
    </row>
    <row r="3394">
      <c r="A3394" s="24" t="s">
        <v>70</v>
      </c>
      <c r="B3394" s="24" t="s">
        <v>26</v>
      </c>
      <c r="C3394" s="27">
        <v>1005.0</v>
      </c>
    </row>
    <row r="3395">
      <c r="A3395" s="24" t="s">
        <v>70</v>
      </c>
      <c r="B3395" s="24" t="s">
        <v>50</v>
      </c>
      <c r="C3395" s="27">
        <v>1545.0</v>
      </c>
    </row>
    <row r="3396">
      <c r="A3396" s="24" t="s">
        <v>70</v>
      </c>
      <c r="B3396" s="24" t="s">
        <v>41</v>
      </c>
      <c r="C3396" s="27">
        <v>630.0</v>
      </c>
    </row>
    <row r="3397">
      <c r="A3397" s="24" t="s">
        <v>70</v>
      </c>
      <c r="B3397" s="24" t="s">
        <v>28</v>
      </c>
      <c r="C3397" s="27">
        <v>615.0</v>
      </c>
    </row>
    <row r="3398">
      <c r="A3398" s="24" t="s">
        <v>70</v>
      </c>
      <c r="B3398" s="24" t="s">
        <v>23</v>
      </c>
      <c r="C3398" s="27">
        <v>900.0</v>
      </c>
    </row>
    <row r="3399">
      <c r="A3399" s="24" t="s">
        <v>70</v>
      </c>
      <c r="B3399" s="24" t="s">
        <v>48</v>
      </c>
      <c r="C3399" s="27">
        <v>300.0</v>
      </c>
    </row>
    <row r="3400">
      <c r="A3400" s="24" t="s">
        <v>70</v>
      </c>
      <c r="B3400" s="24" t="s">
        <v>54</v>
      </c>
      <c r="C3400" s="27">
        <v>1095.0</v>
      </c>
    </row>
    <row r="3401">
      <c r="A3401" s="24" t="s">
        <v>70</v>
      </c>
      <c r="B3401" s="24" t="s">
        <v>59</v>
      </c>
      <c r="C3401" s="27">
        <v>945.0</v>
      </c>
    </row>
    <row r="3402">
      <c r="A3402" s="24" t="s">
        <v>70</v>
      </c>
      <c r="B3402" s="24" t="s">
        <v>68</v>
      </c>
      <c r="C3402" s="27">
        <v>60.0</v>
      </c>
    </row>
    <row r="3403">
      <c r="A3403" s="24" t="s">
        <v>70</v>
      </c>
      <c r="B3403" s="24" t="s">
        <v>36</v>
      </c>
      <c r="C3403" s="27">
        <v>720.0</v>
      </c>
    </row>
    <row r="3404">
      <c r="A3404" s="24" t="s">
        <v>70</v>
      </c>
      <c r="B3404" s="24" t="s">
        <v>69</v>
      </c>
      <c r="C3404" s="27">
        <v>30.0</v>
      </c>
    </row>
    <row r="3405">
      <c r="A3405" s="24" t="s">
        <v>70</v>
      </c>
      <c r="B3405" s="24" t="s">
        <v>20</v>
      </c>
      <c r="C3405" s="27">
        <v>870.0</v>
      </c>
    </row>
    <row r="3406">
      <c r="A3406" s="24" t="s">
        <v>70</v>
      </c>
      <c r="B3406" s="24" t="s">
        <v>43</v>
      </c>
      <c r="C3406" s="27">
        <v>465.0</v>
      </c>
    </row>
    <row r="3407">
      <c r="A3407" s="24" t="s">
        <v>70</v>
      </c>
      <c r="B3407" s="24" t="s">
        <v>71</v>
      </c>
      <c r="C3407" s="27">
        <v>105.0</v>
      </c>
    </row>
    <row r="3408">
      <c r="A3408" s="24" t="s">
        <v>70</v>
      </c>
      <c r="B3408" s="24" t="s">
        <v>21</v>
      </c>
      <c r="C3408" s="27">
        <v>870.0</v>
      </c>
    </row>
    <row r="3409">
      <c r="A3409" s="24" t="s">
        <v>70</v>
      </c>
      <c r="B3409" s="24" t="s">
        <v>50</v>
      </c>
      <c r="C3409" s="27">
        <v>1545.0</v>
      </c>
    </row>
    <row r="3410">
      <c r="A3410" s="24" t="s">
        <v>70</v>
      </c>
      <c r="B3410" s="24" t="s">
        <v>33</v>
      </c>
      <c r="C3410" s="27">
        <v>675.0</v>
      </c>
    </row>
    <row r="3411">
      <c r="A3411" s="24" t="s">
        <v>71</v>
      </c>
      <c r="B3411" s="24" t="s">
        <v>49</v>
      </c>
      <c r="C3411" s="27">
        <v>1650.0</v>
      </c>
    </row>
    <row r="3412">
      <c r="A3412" s="24" t="s">
        <v>70</v>
      </c>
      <c r="B3412" s="24" t="s">
        <v>66</v>
      </c>
      <c r="C3412" s="27">
        <v>780.0</v>
      </c>
    </row>
    <row r="3413">
      <c r="A3413" s="24" t="s">
        <v>70</v>
      </c>
      <c r="B3413" s="24" t="s">
        <v>23</v>
      </c>
      <c r="C3413" s="27">
        <v>900.0</v>
      </c>
    </row>
    <row r="3414">
      <c r="A3414" s="24" t="s">
        <v>71</v>
      </c>
      <c r="B3414" s="24" t="s">
        <v>22</v>
      </c>
      <c r="C3414" s="27">
        <v>915.0</v>
      </c>
    </row>
    <row r="3415">
      <c r="A3415" s="24" t="s">
        <v>70</v>
      </c>
      <c r="B3415" s="24" t="s">
        <v>54</v>
      </c>
      <c r="C3415" s="27">
        <v>1095.0</v>
      </c>
    </row>
    <row r="3416">
      <c r="A3416" s="24" t="s">
        <v>70</v>
      </c>
      <c r="B3416" s="24" t="s">
        <v>34</v>
      </c>
      <c r="C3416" s="27">
        <v>240.0</v>
      </c>
    </row>
    <row r="3417">
      <c r="A3417" s="24" t="s">
        <v>70</v>
      </c>
      <c r="B3417" s="24" t="s">
        <v>55</v>
      </c>
      <c r="C3417" s="27">
        <v>1455.0</v>
      </c>
    </row>
    <row r="3418">
      <c r="A3418" s="24" t="s">
        <v>71</v>
      </c>
      <c r="B3418" s="24" t="s">
        <v>35</v>
      </c>
      <c r="C3418" s="27">
        <v>735.0</v>
      </c>
    </row>
    <row r="3419">
      <c r="A3419" s="24" t="s">
        <v>70</v>
      </c>
      <c r="B3419" s="24" t="s">
        <v>20</v>
      </c>
      <c r="C3419" s="27">
        <v>870.0</v>
      </c>
    </row>
    <row r="3420">
      <c r="A3420" s="24" t="s">
        <v>71</v>
      </c>
      <c r="B3420" s="24" t="s">
        <v>41</v>
      </c>
      <c r="C3420" s="27">
        <v>630.0</v>
      </c>
    </row>
    <row r="3421">
      <c r="A3421" s="24" t="s">
        <v>70</v>
      </c>
      <c r="B3421" s="24" t="s">
        <v>42</v>
      </c>
      <c r="C3421" s="27">
        <v>465.0</v>
      </c>
    </row>
    <row r="3422">
      <c r="A3422" s="24" t="s">
        <v>70</v>
      </c>
      <c r="B3422" s="24" t="s">
        <v>44</v>
      </c>
      <c r="C3422" s="27">
        <v>240.0</v>
      </c>
    </row>
    <row r="3423">
      <c r="A3423" s="24" t="s">
        <v>71</v>
      </c>
      <c r="B3423" s="24" t="s">
        <v>64</v>
      </c>
      <c r="C3423" s="27">
        <v>420.0</v>
      </c>
    </row>
    <row r="3424">
      <c r="A3424" s="24" t="s">
        <v>70</v>
      </c>
      <c r="B3424" s="24" t="s">
        <v>21</v>
      </c>
      <c r="C3424" s="27">
        <v>870.0</v>
      </c>
    </row>
    <row r="3425">
      <c r="A3425" s="24" t="s">
        <v>70</v>
      </c>
      <c r="B3425" s="24" t="s">
        <v>27</v>
      </c>
      <c r="C3425" s="27">
        <v>615.0</v>
      </c>
    </row>
    <row r="3426">
      <c r="A3426" s="24" t="s">
        <v>70</v>
      </c>
      <c r="B3426" s="24" t="s">
        <v>33</v>
      </c>
      <c r="C3426" s="27">
        <v>675.0</v>
      </c>
    </row>
    <row r="3427">
      <c r="A3427" s="24" t="s">
        <v>70</v>
      </c>
      <c r="B3427" s="24" t="s">
        <v>57</v>
      </c>
      <c r="C3427" s="27">
        <v>990.0</v>
      </c>
    </row>
    <row r="3428">
      <c r="A3428" s="24" t="s">
        <v>71</v>
      </c>
      <c r="B3428" s="24" t="s">
        <v>43</v>
      </c>
      <c r="C3428" s="27">
        <v>390.0</v>
      </c>
    </row>
    <row r="3429">
      <c r="A3429" s="24" t="s">
        <v>70</v>
      </c>
      <c r="B3429" s="24" t="s">
        <v>66</v>
      </c>
      <c r="C3429" s="27">
        <v>780.0</v>
      </c>
    </row>
    <row r="3430">
      <c r="A3430" s="24" t="s">
        <v>70</v>
      </c>
      <c r="B3430" s="24" t="s">
        <v>37</v>
      </c>
      <c r="C3430" s="27">
        <v>525.0</v>
      </c>
    </row>
    <row r="3431">
      <c r="A3431" s="24" t="s">
        <v>71</v>
      </c>
      <c r="B3431" s="24" t="s">
        <v>50</v>
      </c>
      <c r="C3431" s="27">
        <v>1635.0</v>
      </c>
    </row>
    <row r="3432">
      <c r="A3432" s="24" t="s">
        <v>70</v>
      </c>
      <c r="B3432" s="24" t="s">
        <v>39</v>
      </c>
      <c r="C3432" s="27">
        <v>495.0</v>
      </c>
    </row>
    <row r="3433">
      <c r="A3433" s="24" t="s">
        <v>71</v>
      </c>
      <c r="B3433" s="24" t="s">
        <v>23</v>
      </c>
      <c r="C3433" s="27">
        <v>990.0</v>
      </c>
    </row>
    <row r="3434">
      <c r="A3434" s="24" t="s">
        <v>70</v>
      </c>
      <c r="B3434" s="24" t="s">
        <v>31</v>
      </c>
      <c r="C3434" s="27">
        <v>900.0</v>
      </c>
    </row>
    <row r="3435">
      <c r="A3435" s="24" t="s">
        <v>71</v>
      </c>
      <c r="B3435" s="24" t="s">
        <v>54</v>
      </c>
      <c r="C3435" s="27">
        <v>1185.0</v>
      </c>
    </row>
    <row r="3436">
      <c r="A3436" s="24" t="s">
        <v>70</v>
      </c>
      <c r="B3436" s="24" t="s">
        <v>40</v>
      </c>
      <c r="C3436" s="27">
        <v>330.0</v>
      </c>
    </row>
    <row r="3437">
      <c r="A3437" s="24" t="s">
        <v>70</v>
      </c>
      <c r="B3437" s="24" t="s">
        <v>45</v>
      </c>
      <c r="C3437" s="27">
        <v>225.0</v>
      </c>
    </row>
    <row r="3438">
      <c r="A3438" s="24" t="s">
        <v>71</v>
      </c>
      <c r="B3438" s="24" t="s">
        <v>34</v>
      </c>
      <c r="C3438" s="27">
        <v>330.0</v>
      </c>
    </row>
    <row r="3439">
      <c r="A3439" s="24" t="s">
        <v>70</v>
      </c>
      <c r="B3439" s="24" t="s">
        <v>51</v>
      </c>
      <c r="C3439" s="27">
        <v>630.0</v>
      </c>
    </row>
    <row r="3440">
      <c r="A3440" s="24" t="s">
        <v>71</v>
      </c>
      <c r="B3440" s="24" t="s">
        <v>20</v>
      </c>
      <c r="C3440" s="27">
        <v>960.0</v>
      </c>
    </row>
    <row r="3441">
      <c r="A3441" s="24" t="s">
        <v>70</v>
      </c>
      <c r="B3441" s="24" t="s">
        <v>47</v>
      </c>
      <c r="C3441" s="27">
        <v>180.0</v>
      </c>
    </row>
    <row r="3442">
      <c r="A3442" s="24" t="s">
        <v>70</v>
      </c>
      <c r="B3442" s="24" t="s">
        <v>56</v>
      </c>
      <c r="C3442" s="27">
        <v>1665.0</v>
      </c>
    </row>
    <row r="3443">
      <c r="A3443" s="24" t="s">
        <v>71</v>
      </c>
      <c r="B3443" s="24" t="s">
        <v>42</v>
      </c>
      <c r="C3443" s="27">
        <v>480.0</v>
      </c>
    </row>
    <row r="3444">
      <c r="A3444" s="24" t="s">
        <v>71</v>
      </c>
      <c r="B3444" s="24" t="s">
        <v>21</v>
      </c>
      <c r="C3444" s="27">
        <v>960.0</v>
      </c>
    </row>
    <row r="3445">
      <c r="A3445" s="24" t="s">
        <v>70</v>
      </c>
      <c r="B3445" s="24" t="s">
        <v>30</v>
      </c>
      <c r="C3445" s="27">
        <v>630.0</v>
      </c>
    </row>
    <row r="3446">
      <c r="A3446" s="24" t="s">
        <v>70</v>
      </c>
      <c r="B3446" s="24" t="s">
        <v>27</v>
      </c>
      <c r="C3446" s="27">
        <v>615.0</v>
      </c>
    </row>
    <row r="3447">
      <c r="A3447" s="24" t="s">
        <v>70</v>
      </c>
      <c r="B3447" s="24" t="s">
        <v>32</v>
      </c>
      <c r="C3447" s="27">
        <v>690.0</v>
      </c>
    </row>
    <row r="3448">
      <c r="A3448" s="24" t="s">
        <v>71</v>
      </c>
      <c r="B3448" s="24" t="s">
        <v>66</v>
      </c>
      <c r="C3448" s="27">
        <v>690.0</v>
      </c>
    </row>
    <row r="3449">
      <c r="A3449" s="24" t="s">
        <v>70</v>
      </c>
      <c r="B3449" s="24" t="s">
        <v>57</v>
      </c>
      <c r="C3449" s="27">
        <v>990.0</v>
      </c>
    </row>
    <row r="3450">
      <c r="A3450" s="24" t="s">
        <v>70</v>
      </c>
      <c r="B3450" s="24" t="s">
        <v>37</v>
      </c>
      <c r="C3450" s="27">
        <v>525.0</v>
      </c>
    </row>
    <row r="3451">
      <c r="A3451" s="24" t="s">
        <v>71</v>
      </c>
      <c r="B3451" s="24" t="s">
        <v>60</v>
      </c>
      <c r="C3451" s="27">
        <v>465.0</v>
      </c>
    </row>
    <row r="3452">
      <c r="A3452" s="24" t="s">
        <v>70</v>
      </c>
      <c r="B3452" s="24" t="s">
        <v>24</v>
      </c>
      <c r="C3452" s="27">
        <v>780.0</v>
      </c>
    </row>
    <row r="3453">
      <c r="A3453" s="24" t="s">
        <v>70</v>
      </c>
      <c r="B3453" s="24" t="s">
        <v>63</v>
      </c>
      <c r="C3453" s="27">
        <v>360.0</v>
      </c>
    </row>
    <row r="3454">
      <c r="A3454" s="24" t="s">
        <v>70</v>
      </c>
      <c r="B3454" s="24" t="s">
        <v>31</v>
      </c>
      <c r="C3454" s="27">
        <v>900.0</v>
      </c>
    </row>
    <row r="3455">
      <c r="A3455" s="24" t="s">
        <v>71</v>
      </c>
      <c r="B3455" s="24" t="s">
        <v>55</v>
      </c>
      <c r="C3455" s="27">
        <v>1545.0</v>
      </c>
    </row>
    <row r="3456">
      <c r="A3456" s="24" t="s">
        <v>70</v>
      </c>
      <c r="B3456" s="24" t="s">
        <v>58</v>
      </c>
      <c r="C3456" s="27">
        <v>1035.0</v>
      </c>
    </row>
    <row r="3457">
      <c r="A3457" s="24" t="s">
        <v>70</v>
      </c>
      <c r="B3457" s="24" t="s">
        <v>29</v>
      </c>
      <c r="C3457" s="27">
        <v>1260.0</v>
      </c>
    </row>
    <row r="3458">
      <c r="A3458" s="24" t="s">
        <v>70</v>
      </c>
      <c r="B3458" s="24" t="s">
        <v>51</v>
      </c>
      <c r="C3458" s="27">
        <v>630.0</v>
      </c>
    </row>
    <row r="3459">
      <c r="A3459" s="24" t="s">
        <v>71</v>
      </c>
      <c r="B3459" s="24" t="s">
        <v>56</v>
      </c>
      <c r="C3459" s="27">
        <v>1755.0</v>
      </c>
    </row>
    <row r="3460">
      <c r="A3460" s="24" t="s">
        <v>70</v>
      </c>
      <c r="B3460" s="24" t="s">
        <v>38</v>
      </c>
      <c r="C3460" s="27">
        <v>765.0</v>
      </c>
    </row>
    <row r="3461">
      <c r="A3461" s="24" t="s">
        <v>71</v>
      </c>
      <c r="B3461" s="24" t="s">
        <v>44</v>
      </c>
      <c r="C3461" s="27">
        <v>135.0</v>
      </c>
    </row>
    <row r="3462">
      <c r="A3462" s="24" t="s">
        <v>70</v>
      </c>
      <c r="B3462" s="24" t="s">
        <v>47</v>
      </c>
      <c r="C3462" s="27">
        <v>180.0</v>
      </c>
    </row>
    <row r="3463">
      <c r="A3463" s="24" t="s">
        <v>71</v>
      </c>
      <c r="B3463" s="24" t="s">
        <v>27</v>
      </c>
      <c r="C3463" s="27">
        <v>705.0</v>
      </c>
    </row>
    <row r="3464">
      <c r="A3464" s="24" t="s">
        <v>70</v>
      </c>
      <c r="B3464" s="24" t="s">
        <v>52</v>
      </c>
      <c r="C3464" s="27">
        <v>795.0</v>
      </c>
    </row>
    <row r="3465">
      <c r="A3465" s="24" t="s">
        <v>70</v>
      </c>
      <c r="B3465" s="24" t="s">
        <v>62</v>
      </c>
      <c r="C3465" s="27">
        <v>60.0</v>
      </c>
    </row>
    <row r="3466">
      <c r="A3466" s="24" t="s">
        <v>71</v>
      </c>
      <c r="B3466" s="24" t="s">
        <v>57</v>
      </c>
      <c r="C3466" s="27">
        <v>1080.0</v>
      </c>
    </row>
    <row r="3467">
      <c r="A3467" s="24" t="s">
        <v>70</v>
      </c>
      <c r="B3467" s="24" t="s">
        <v>25</v>
      </c>
      <c r="C3467" s="27">
        <v>900.0</v>
      </c>
    </row>
    <row r="3468">
      <c r="A3468" s="24" t="s">
        <v>71</v>
      </c>
      <c r="B3468" s="24" t="s">
        <v>37</v>
      </c>
      <c r="C3468" s="27">
        <v>615.0</v>
      </c>
    </row>
    <row r="3469">
      <c r="A3469" s="24" t="s">
        <v>70</v>
      </c>
      <c r="B3469" s="24" t="s">
        <v>30</v>
      </c>
      <c r="C3469" s="27">
        <v>630.0</v>
      </c>
    </row>
    <row r="3470">
      <c r="A3470" s="24" t="s">
        <v>70</v>
      </c>
      <c r="B3470" s="24" t="s">
        <v>67</v>
      </c>
      <c r="C3470" s="27">
        <v>990.0</v>
      </c>
    </row>
    <row r="3471">
      <c r="A3471" s="24" t="s">
        <v>71</v>
      </c>
      <c r="B3471" s="24" t="s">
        <v>39</v>
      </c>
      <c r="C3471" s="27">
        <v>585.0</v>
      </c>
    </row>
    <row r="3472">
      <c r="A3472" s="24" t="s">
        <v>70</v>
      </c>
      <c r="B3472" s="24" t="s">
        <v>32</v>
      </c>
      <c r="C3472" s="27">
        <v>690.0</v>
      </c>
    </row>
    <row r="3473">
      <c r="A3473" s="24" t="s">
        <v>71</v>
      </c>
      <c r="B3473" s="24" t="s">
        <v>31</v>
      </c>
      <c r="C3473" s="27">
        <v>990.0</v>
      </c>
    </row>
    <row r="3474">
      <c r="A3474" s="24" t="s">
        <v>70</v>
      </c>
      <c r="B3474" s="24" t="s">
        <v>53</v>
      </c>
      <c r="C3474" s="27">
        <v>1125.0</v>
      </c>
    </row>
    <row r="3475">
      <c r="A3475" s="24" t="s">
        <v>70</v>
      </c>
      <c r="B3475" s="24" t="s">
        <v>46</v>
      </c>
      <c r="C3475" s="27">
        <v>225.0</v>
      </c>
    </row>
    <row r="3476">
      <c r="A3476" s="24" t="s">
        <v>71</v>
      </c>
      <c r="B3476" s="24" t="s">
        <v>51</v>
      </c>
      <c r="C3476" s="27">
        <v>720.0</v>
      </c>
    </row>
    <row r="3477">
      <c r="A3477" s="24" t="s">
        <v>70</v>
      </c>
      <c r="B3477" s="24" t="s">
        <v>28</v>
      </c>
      <c r="C3477" s="27">
        <v>615.0</v>
      </c>
    </row>
    <row r="3478">
      <c r="A3478" s="24" t="s">
        <v>70</v>
      </c>
      <c r="B3478" s="24" t="s">
        <v>24</v>
      </c>
      <c r="C3478" s="27">
        <v>780.0</v>
      </c>
    </row>
    <row r="3479">
      <c r="A3479" s="24" t="s">
        <v>70</v>
      </c>
      <c r="B3479" s="24" t="s">
        <v>63</v>
      </c>
      <c r="C3479" s="27">
        <v>360.0</v>
      </c>
    </row>
    <row r="3480">
      <c r="A3480" s="24" t="s">
        <v>70</v>
      </c>
      <c r="B3480" s="24" t="s">
        <v>48</v>
      </c>
      <c r="C3480" s="27">
        <v>300.0</v>
      </c>
    </row>
    <row r="3481">
      <c r="A3481" s="24" t="s">
        <v>71</v>
      </c>
      <c r="B3481" s="24" t="s">
        <v>62</v>
      </c>
      <c r="C3481" s="27">
        <v>90.0</v>
      </c>
    </row>
    <row r="3482">
      <c r="A3482" s="24" t="s">
        <v>70</v>
      </c>
      <c r="B3482" s="24" t="s">
        <v>58</v>
      </c>
      <c r="C3482" s="27">
        <v>1035.0</v>
      </c>
    </row>
    <row r="3483">
      <c r="A3483" s="24" t="s">
        <v>70</v>
      </c>
      <c r="B3483" s="24" t="s">
        <v>59</v>
      </c>
      <c r="C3483" s="27">
        <v>945.0</v>
      </c>
    </row>
    <row r="3484">
      <c r="A3484" s="24" t="s">
        <v>71</v>
      </c>
      <c r="B3484" s="24" t="s">
        <v>30</v>
      </c>
      <c r="C3484" s="27">
        <v>720.0</v>
      </c>
    </row>
    <row r="3485">
      <c r="A3485" s="24" t="s">
        <v>70</v>
      </c>
      <c r="B3485" s="24" t="s">
        <v>29</v>
      </c>
      <c r="C3485" s="27">
        <v>1260.0</v>
      </c>
    </row>
    <row r="3486">
      <c r="A3486" s="24" t="s">
        <v>70</v>
      </c>
      <c r="B3486" s="24" t="s">
        <v>68</v>
      </c>
      <c r="C3486" s="27">
        <v>60.0</v>
      </c>
    </row>
    <row r="3487">
      <c r="A3487" s="24" t="s">
        <v>70</v>
      </c>
      <c r="B3487" s="24" t="s">
        <v>38</v>
      </c>
      <c r="C3487" s="27">
        <v>765.0</v>
      </c>
    </row>
    <row r="3488">
      <c r="A3488" s="24" t="s">
        <v>70</v>
      </c>
      <c r="B3488" s="24" t="s">
        <v>70</v>
      </c>
      <c r="C3488" s="27">
        <v>0.0</v>
      </c>
    </row>
    <row r="3489">
      <c r="A3489" s="24" t="s">
        <v>71</v>
      </c>
      <c r="B3489" s="24" t="s">
        <v>46</v>
      </c>
      <c r="C3489" s="27">
        <v>225.0</v>
      </c>
    </row>
    <row r="3490">
      <c r="A3490" s="24" t="s">
        <v>70</v>
      </c>
      <c r="B3490" s="24" t="s">
        <v>61</v>
      </c>
      <c r="C3490" s="27">
        <v>60.0</v>
      </c>
    </row>
    <row r="3491">
      <c r="A3491" s="24" t="s">
        <v>70</v>
      </c>
      <c r="B3491" s="24" t="s">
        <v>71</v>
      </c>
      <c r="C3491" s="27">
        <v>105.0</v>
      </c>
    </row>
    <row r="3492">
      <c r="A3492" s="24" t="s">
        <v>71</v>
      </c>
      <c r="B3492" s="24" t="s">
        <v>24</v>
      </c>
      <c r="C3492" s="27">
        <v>870.0</v>
      </c>
    </row>
    <row r="3493">
      <c r="A3493" s="24" t="s">
        <v>71</v>
      </c>
      <c r="B3493" s="24" t="s">
        <v>18</v>
      </c>
      <c r="C3493" s="27">
        <v>15.0</v>
      </c>
    </row>
    <row r="3494">
      <c r="A3494" s="24" t="s">
        <v>71</v>
      </c>
      <c r="B3494" s="24" t="s">
        <v>63</v>
      </c>
      <c r="C3494" s="27">
        <v>450.0</v>
      </c>
    </row>
    <row r="3495">
      <c r="A3495" s="24" t="s">
        <v>71</v>
      </c>
      <c r="B3495" s="24" t="s">
        <v>49</v>
      </c>
      <c r="C3495" s="27">
        <v>1650.0</v>
      </c>
    </row>
    <row r="3496">
      <c r="A3496" s="24" t="s">
        <v>70</v>
      </c>
      <c r="B3496" s="24" t="s">
        <v>25</v>
      </c>
      <c r="C3496" s="27">
        <v>900.0</v>
      </c>
    </row>
    <row r="3497">
      <c r="A3497" s="24" t="s">
        <v>71</v>
      </c>
      <c r="B3497" s="24" t="s">
        <v>22</v>
      </c>
      <c r="C3497" s="27">
        <v>915.0</v>
      </c>
    </row>
    <row r="3498">
      <c r="A3498" s="24" t="s">
        <v>71</v>
      </c>
      <c r="B3498" s="24" t="s">
        <v>35</v>
      </c>
      <c r="C3498" s="27">
        <v>735.0</v>
      </c>
    </row>
    <row r="3499">
      <c r="A3499" s="24" t="s">
        <v>70</v>
      </c>
      <c r="B3499" s="24" t="s">
        <v>67</v>
      </c>
      <c r="C3499" s="27">
        <v>990.0</v>
      </c>
    </row>
    <row r="3500">
      <c r="A3500" s="24" t="s">
        <v>70</v>
      </c>
      <c r="B3500" s="24" t="s">
        <v>53</v>
      </c>
      <c r="C3500" s="27">
        <v>1125.0</v>
      </c>
    </row>
    <row r="3501">
      <c r="A3501" s="24" t="s">
        <v>71</v>
      </c>
      <c r="B3501" s="24" t="s">
        <v>29</v>
      </c>
      <c r="C3501" s="27">
        <v>1350.0</v>
      </c>
    </row>
    <row r="3502">
      <c r="A3502" s="24" t="s">
        <v>71</v>
      </c>
      <c r="B3502" s="24" t="s">
        <v>41</v>
      </c>
      <c r="C3502" s="27">
        <v>630.0</v>
      </c>
    </row>
    <row r="3503">
      <c r="A3503" s="24" t="s">
        <v>70</v>
      </c>
      <c r="B3503" s="24" t="s">
        <v>26</v>
      </c>
      <c r="C3503" s="27">
        <v>1005.0</v>
      </c>
    </row>
    <row r="3504">
      <c r="A3504" s="24" t="s">
        <v>71</v>
      </c>
      <c r="B3504" s="24" t="s">
        <v>38</v>
      </c>
      <c r="C3504" s="27">
        <v>855.0</v>
      </c>
    </row>
    <row r="3505">
      <c r="A3505" s="24" t="s">
        <v>71</v>
      </c>
      <c r="B3505" s="24" t="s">
        <v>64</v>
      </c>
      <c r="C3505" s="27">
        <v>420.0</v>
      </c>
    </row>
    <row r="3506">
      <c r="A3506" s="24" t="s">
        <v>71</v>
      </c>
      <c r="B3506" s="24" t="s">
        <v>65</v>
      </c>
      <c r="C3506" s="27">
        <v>315.0</v>
      </c>
    </row>
    <row r="3507">
      <c r="A3507" s="24" t="s">
        <v>71</v>
      </c>
      <c r="B3507" s="24" t="s">
        <v>61</v>
      </c>
      <c r="C3507" s="27">
        <v>150.0</v>
      </c>
    </row>
    <row r="3508">
      <c r="A3508" s="24" t="s">
        <v>71</v>
      </c>
      <c r="B3508" s="24" t="s">
        <v>52</v>
      </c>
      <c r="C3508" s="27">
        <v>885.0</v>
      </c>
    </row>
    <row r="3509">
      <c r="A3509" s="24" t="s">
        <v>71</v>
      </c>
      <c r="B3509" s="24" t="s">
        <v>36</v>
      </c>
      <c r="C3509" s="27">
        <v>735.0</v>
      </c>
    </row>
    <row r="3510">
      <c r="A3510" s="24" t="s">
        <v>70</v>
      </c>
      <c r="B3510" s="24" t="s">
        <v>59</v>
      </c>
      <c r="C3510" s="27">
        <v>945.0</v>
      </c>
    </row>
    <row r="3511">
      <c r="A3511" s="24" t="s">
        <v>71</v>
      </c>
      <c r="B3511" s="24" t="s">
        <v>25</v>
      </c>
      <c r="C3511" s="27">
        <v>990.0</v>
      </c>
    </row>
    <row r="3512">
      <c r="A3512" s="24" t="s">
        <v>71</v>
      </c>
      <c r="B3512" s="24" t="s">
        <v>67</v>
      </c>
      <c r="C3512" s="27">
        <v>1080.0</v>
      </c>
    </row>
    <row r="3513">
      <c r="A3513" s="24" t="s">
        <v>71</v>
      </c>
      <c r="B3513" s="24" t="s">
        <v>43</v>
      </c>
      <c r="C3513" s="27">
        <v>390.0</v>
      </c>
    </row>
    <row r="3514">
      <c r="A3514" s="24" t="s">
        <v>70</v>
      </c>
      <c r="B3514" s="24" t="s">
        <v>68</v>
      </c>
      <c r="C3514" s="27">
        <v>60.0</v>
      </c>
    </row>
    <row r="3515">
      <c r="A3515" s="24" t="s">
        <v>71</v>
      </c>
      <c r="B3515" s="24" t="s">
        <v>53</v>
      </c>
      <c r="C3515" s="27">
        <v>1215.0</v>
      </c>
    </row>
    <row r="3516">
      <c r="A3516" s="24" t="s">
        <v>71</v>
      </c>
      <c r="B3516" s="24" t="s">
        <v>50</v>
      </c>
      <c r="C3516" s="27">
        <v>1635.0</v>
      </c>
    </row>
    <row r="3517">
      <c r="A3517" s="24" t="s">
        <v>70</v>
      </c>
      <c r="B3517" s="24" t="s">
        <v>69</v>
      </c>
      <c r="C3517" s="27">
        <v>30.0</v>
      </c>
    </row>
    <row r="3518">
      <c r="A3518" s="24" t="s">
        <v>71</v>
      </c>
      <c r="B3518" s="24" t="s">
        <v>26</v>
      </c>
      <c r="C3518" s="27">
        <v>1095.0</v>
      </c>
    </row>
    <row r="3519">
      <c r="A3519" s="24" t="s">
        <v>71</v>
      </c>
      <c r="B3519" s="24" t="s">
        <v>23</v>
      </c>
      <c r="C3519" s="27">
        <v>990.0</v>
      </c>
    </row>
    <row r="3520">
      <c r="A3520" s="24" t="s">
        <v>70</v>
      </c>
      <c r="B3520" s="24" t="s">
        <v>70</v>
      </c>
      <c r="C3520" s="27">
        <v>0.0</v>
      </c>
    </row>
    <row r="3521">
      <c r="A3521" s="24" t="s">
        <v>71</v>
      </c>
      <c r="B3521" s="24" t="s">
        <v>28</v>
      </c>
      <c r="C3521" s="27">
        <v>705.0</v>
      </c>
    </row>
    <row r="3522">
      <c r="A3522" s="24" t="s">
        <v>71</v>
      </c>
      <c r="B3522" s="24" t="s">
        <v>54</v>
      </c>
      <c r="C3522" s="27">
        <v>1185.0</v>
      </c>
    </row>
    <row r="3523">
      <c r="A3523" s="24" t="s">
        <v>71</v>
      </c>
      <c r="B3523" s="24" t="s">
        <v>59</v>
      </c>
      <c r="C3523" s="27">
        <v>1035.0</v>
      </c>
    </row>
    <row r="3524">
      <c r="A3524" s="24" t="s">
        <v>70</v>
      </c>
      <c r="B3524" s="24" t="s">
        <v>71</v>
      </c>
      <c r="C3524" s="27">
        <v>105.0</v>
      </c>
    </row>
    <row r="3525">
      <c r="A3525" s="24" t="s">
        <v>71</v>
      </c>
      <c r="B3525" s="24" t="s">
        <v>34</v>
      </c>
      <c r="C3525" s="27">
        <v>330.0</v>
      </c>
    </row>
    <row r="3526">
      <c r="A3526" s="24" t="s">
        <v>71</v>
      </c>
      <c r="B3526" s="24" t="s">
        <v>68</v>
      </c>
      <c r="C3526" s="27">
        <v>90.0</v>
      </c>
    </row>
    <row r="3527">
      <c r="A3527" s="24" t="s">
        <v>71</v>
      </c>
      <c r="B3527" s="24" t="s">
        <v>18</v>
      </c>
      <c r="C3527" s="27">
        <v>15.0</v>
      </c>
    </row>
    <row r="3528">
      <c r="A3528" s="24" t="s">
        <v>71</v>
      </c>
      <c r="B3528" s="24" t="s">
        <v>69</v>
      </c>
      <c r="C3528" s="27">
        <v>120.0</v>
      </c>
    </row>
    <row r="3529">
      <c r="A3529" s="24" t="s">
        <v>71</v>
      </c>
      <c r="B3529" s="24" t="s">
        <v>20</v>
      </c>
      <c r="C3529" s="27">
        <v>960.0</v>
      </c>
    </row>
    <row r="3530">
      <c r="A3530" s="24" t="s">
        <v>71</v>
      </c>
      <c r="B3530" s="24" t="s">
        <v>22</v>
      </c>
      <c r="C3530" s="27">
        <v>915.0</v>
      </c>
    </row>
    <row r="3531">
      <c r="A3531" s="24" t="s">
        <v>71</v>
      </c>
      <c r="B3531" s="24" t="s">
        <v>70</v>
      </c>
      <c r="C3531" s="27">
        <v>105.0</v>
      </c>
    </row>
    <row r="3532">
      <c r="A3532" s="24" t="s">
        <v>71</v>
      </c>
      <c r="B3532" s="24" t="s">
        <v>21</v>
      </c>
      <c r="C3532" s="27">
        <v>960.0</v>
      </c>
    </row>
    <row r="3533">
      <c r="A3533" s="24" t="s">
        <v>71</v>
      </c>
      <c r="B3533" s="24" t="s">
        <v>71</v>
      </c>
      <c r="C3533" s="27">
        <v>0.0</v>
      </c>
    </row>
    <row r="3534">
      <c r="A3534" s="24" t="s">
        <v>71</v>
      </c>
      <c r="B3534" s="24" t="s">
        <v>33</v>
      </c>
      <c r="C3534" s="27">
        <v>765.0</v>
      </c>
    </row>
    <row r="3535">
      <c r="A3535" s="24" t="s">
        <v>71</v>
      </c>
      <c r="B3535" s="24" t="s">
        <v>35</v>
      </c>
      <c r="C3535" s="27">
        <v>735.0</v>
      </c>
    </row>
    <row r="3536">
      <c r="A3536" s="24" t="s">
        <v>71</v>
      </c>
      <c r="B3536" s="24" t="s">
        <v>66</v>
      </c>
      <c r="C3536" s="27">
        <v>690.0</v>
      </c>
    </row>
    <row r="3537">
      <c r="A3537" s="24" t="s">
        <v>71</v>
      </c>
      <c r="B3537" s="24" t="s">
        <v>41</v>
      </c>
      <c r="C3537" s="27">
        <v>630.0</v>
      </c>
    </row>
    <row r="3538">
      <c r="A3538" s="24" t="s">
        <v>71</v>
      </c>
      <c r="B3538" s="24" t="s">
        <v>60</v>
      </c>
      <c r="C3538" s="27">
        <v>465.0</v>
      </c>
    </row>
    <row r="3539">
      <c r="A3539" s="24" t="s">
        <v>71</v>
      </c>
      <c r="B3539" s="24" t="s">
        <v>45</v>
      </c>
      <c r="C3539" s="27">
        <v>225.0</v>
      </c>
    </row>
    <row r="3540">
      <c r="A3540" s="24" t="s">
        <v>71</v>
      </c>
      <c r="B3540" s="24" t="s">
        <v>65</v>
      </c>
      <c r="C3540" s="27">
        <v>315.0</v>
      </c>
    </row>
    <row r="3541">
      <c r="A3541" s="24" t="s">
        <v>71</v>
      </c>
      <c r="B3541" s="24" t="s">
        <v>55</v>
      </c>
      <c r="C3541" s="27">
        <v>1545.0</v>
      </c>
    </row>
    <row r="3542">
      <c r="A3542" s="24" t="s">
        <v>71</v>
      </c>
      <c r="B3542" s="24" t="s">
        <v>36</v>
      </c>
      <c r="C3542" s="27">
        <v>735.0</v>
      </c>
    </row>
    <row r="3543">
      <c r="A3543" s="24" t="s">
        <v>71</v>
      </c>
      <c r="B3543" s="24" t="s">
        <v>43</v>
      </c>
      <c r="C3543" s="27">
        <v>390.0</v>
      </c>
    </row>
    <row r="3544">
      <c r="A3544" s="24" t="s">
        <v>71</v>
      </c>
      <c r="B3544" s="24" t="s">
        <v>56</v>
      </c>
      <c r="C3544" s="27">
        <v>1755.0</v>
      </c>
    </row>
    <row r="3545">
      <c r="A3545" s="24" t="s">
        <v>71</v>
      </c>
      <c r="B3545" s="24" t="s">
        <v>50</v>
      </c>
      <c r="C3545" s="27">
        <v>1635.0</v>
      </c>
    </row>
    <row r="3546">
      <c r="A3546" s="24" t="s">
        <v>71</v>
      </c>
      <c r="B3546" s="24" t="s">
        <v>44</v>
      </c>
      <c r="C3546" s="27">
        <v>135.0</v>
      </c>
    </row>
    <row r="3547">
      <c r="A3547" s="24" t="s">
        <v>71</v>
      </c>
      <c r="B3547" s="24" t="s">
        <v>27</v>
      </c>
      <c r="C3547" s="27">
        <v>705.0</v>
      </c>
    </row>
    <row r="3548">
      <c r="A3548" s="24" t="s">
        <v>71</v>
      </c>
      <c r="B3548" s="24" t="s">
        <v>57</v>
      </c>
      <c r="C3548" s="27">
        <v>1080.0</v>
      </c>
    </row>
    <row r="3549">
      <c r="A3549" s="24" t="s">
        <v>71</v>
      </c>
      <c r="B3549" s="24" t="s">
        <v>37</v>
      </c>
      <c r="C3549" s="27">
        <v>615.0</v>
      </c>
    </row>
    <row r="3550">
      <c r="A3550" s="24" t="s">
        <v>71</v>
      </c>
      <c r="B3550" s="24" t="s">
        <v>54</v>
      </c>
      <c r="C3550" s="27">
        <v>1185.0</v>
      </c>
    </row>
    <row r="3551">
      <c r="A3551" s="24" t="s">
        <v>71</v>
      </c>
      <c r="B3551" s="24" t="s">
        <v>39</v>
      </c>
      <c r="C3551" s="27">
        <v>585.0</v>
      </c>
    </row>
    <row r="3552">
      <c r="A3552" s="24" t="s">
        <v>71</v>
      </c>
      <c r="B3552" s="24" t="s">
        <v>34</v>
      </c>
      <c r="C3552" s="27">
        <v>330.0</v>
      </c>
    </row>
    <row r="3553">
      <c r="A3553" s="24" t="s">
        <v>71</v>
      </c>
      <c r="B3553" s="24" t="s">
        <v>31</v>
      </c>
      <c r="C3553" s="27">
        <v>990.0</v>
      </c>
    </row>
    <row r="3554">
      <c r="A3554" s="24" t="s">
        <v>71</v>
      </c>
      <c r="B3554" s="24" t="s">
        <v>20</v>
      </c>
      <c r="C3554" s="27">
        <v>960.0</v>
      </c>
    </row>
    <row r="3555">
      <c r="A3555" s="24" t="s">
        <v>71</v>
      </c>
      <c r="B3555" s="24" t="s">
        <v>40</v>
      </c>
      <c r="C3555" s="27">
        <v>420.0</v>
      </c>
    </row>
    <row r="3556">
      <c r="A3556" s="24" t="s">
        <v>71</v>
      </c>
      <c r="B3556" s="24" t="s">
        <v>42</v>
      </c>
      <c r="C3556" s="27">
        <v>480.0</v>
      </c>
    </row>
    <row r="3557">
      <c r="A3557" s="24" t="s">
        <v>71</v>
      </c>
      <c r="B3557" s="24" t="s">
        <v>51</v>
      </c>
      <c r="C3557" s="27">
        <v>720.0</v>
      </c>
    </row>
    <row r="3558">
      <c r="A3558" s="24" t="s">
        <v>71</v>
      </c>
      <c r="B3558" s="24" t="s">
        <v>21</v>
      </c>
      <c r="C3558" s="27">
        <v>960.0</v>
      </c>
    </row>
    <row r="3559">
      <c r="A3559" s="24" t="s">
        <v>71</v>
      </c>
      <c r="B3559" s="24" t="s">
        <v>47</v>
      </c>
      <c r="C3559" s="27">
        <v>195.0</v>
      </c>
    </row>
    <row r="3560">
      <c r="A3560" s="24" t="s">
        <v>71</v>
      </c>
      <c r="B3560" s="24" t="s">
        <v>62</v>
      </c>
      <c r="C3560" s="27">
        <v>90.0</v>
      </c>
    </row>
    <row r="3561">
      <c r="A3561" s="24" t="s">
        <v>71</v>
      </c>
      <c r="B3561" s="24" t="s">
        <v>33</v>
      </c>
      <c r="C3561" s="27">
        <v>765.0</v>
      </c>
    </row>
    <row r="3562">
      <c r="A3562" s="24" t="s">
        <v>71</v>
      </c>
      <c r="B3562" s="24" t="s">
        <v>66</v>
      </c>
      <c r="C3562" s="27">
        <v>690.0</v>
      </c>
    </row>
    <row r="3563">
      <c r="A3563" s="24" t="s">
        <v>71</v>
      </c>
      <c r="B3563" s="24" t="s">
        <v>30</v>
      </c>
      <c r="C3563" s="27">
        <v>720.0</v>
      </c>
    </row>
    <row r="3564">
      <c r="A3564" s="24" t="s">
        <v>71</v>
      </c>
      <c r="B3564" s="24" t="s">
        <v>60</v>
      </c>
      <c r="C3564" s="27">
        <v>465.0</v>
      </c>
    </row>
    <row r="3565">
      <c r="A3565" s="24" t="s">
        <v>71</v>
      </c>
      <c r="B3565" s="24" t="s">
        <v>32</v>
      </c>
      <c r="C3565" s="27">
        <v>780.0</v>
      </c>
    </row>
    <row r="3566">
      <c r="A3566" s="24" t="s">
        <v>71</v>
      </c>
      <c r="B3566" s="24" t="s">
        <v>46</v>
      </c>
      <c r="C3566" s="27">
        <v>225.0</v>
      </c>
    </row>
    <row r="3567">
      <c r="A3567" s="24" t="s">
        <v>71</v>
      </c>
      <c r="B3567" s="24" t="s">
        <v>45</v>
      </c>
      <c r="C3567" s="27">
        <v>225.0</v>
      </c>
    </row>
    <row r="3568">
      <c r="A3568" s="24" t="s">
        <v>71</v>
      </c>
      <c r="B3568" s="24" t="s">
        <v>24</v>
      </c>
      <c r="C3568" s="27">
        <v>870.0</v>
      </c>
    </row>
    <row r="3569">
      <c r="A3569" s="24" t="s">
        <v>71</v>
      </c>
      <c r="B3569" s="24" t="s">
        <v>55</v>
      </c>
      <c r="C3569" s="27">
        <v>1545.0</v>
      </c>
    </row>
    <row r="3570">
      <c r="A3570" s="24" t="s">
        <v>71</v>
      </c>
      <c r="B3570" s="24" t="s">
        <v>63</v>
      </c>
      <c r="C3570" s="27">
        <v>450.0</v>
      </c>
    </row>
    <row r="3571">
      <c r="A3571" s="24" t="s">
        <v>71</v>
      </c>
      <c r="B3571" s="24" t="s">
        <v>58</v>
      </c>
      <c r="C3571" s="27">
        <v>1125.0</v>
      </c>
    </row>
    <row r="3572">
      <c r="A3572" s="24" t="s">
        <v>71</v>
      </c>
      <c r="B3572" s="24" t="s">
        <v>56</v>
      </c>
      <c r="C3572" s="27">
        <v>1755.0</v>
      </c>
    </row>
    <row r="3573">
      <c r="A3573" s="24" t="s">
        <v>71</v>
      </c>
      <c r="B3573" s="24" t="s">
        <v>29</v>
      </c>
      <c r="C3573" s="27">
        <v>1350.0</v>
      </c>
    </row>
    <row r="3574">
      <c r="A3574" s="24" t="s">
        <v>71</v>
      </c>
      <c r="B3574" s="24" t="s">
        <v>44</v>
      </c>
      <c r="C3574" s="27">
        <v>135.0</v>
      </c>
    </row>
    <row r="3575">
      <c r="A3575" s="24" t="s">
        <v>71</v>
      </c>
      <c r="B3575" s="24" t="s">
        <v>38</v>
      </c>
      <c r="C3575" s="27">
        <v>855.0</v>
      </c>
    </row>
    <row r="3576">
      <c r="A3576" s="24" t="s">
        <v>71</v>
      </c>
      <c r="B3576" s="24" t="s">
        <v>27</v>
      </c>
      <c r="C3576" s="27">
        <v>705.0</v>
      </c>
    </row>
    <row r="3577">
      <c r="A3577" s="24" t="s">
        <v>71</v>
      </c>
      <c r="B3577" s="24" t="s">
        <v>61</v>
      </c>
      <c r="C3577" s="27">
        <v>150.0</v>
      </c>
    </row>
    <row r="3578">
      <c r="A3578" s="24" t="s">
        <v>71</v>
      </c>
      <c r="B3578" s="24" t="s">
        <v>52</v>
      </c>
      <c r="C3578" s="27">
        <v>885.0</v>
      </c>
    </row>
    <row r="3579">
      <c r="A3579" s="24" t="s">
        <v>71</v>
      </c>
      <c r="B3579" s="24" t="s">
        <v>57</v>
      </c>
      <c r="C3579" s="27">
        <v>1080.0</v>
      </c>
    </row>
    <row r="3580">
      <c r="A3580" s="24" t="s">
        <v>71</v>
      </c>
      <c r="B3580" s="24" t="s">
        <v>37</v>
      </c>
      <c r="C3580" s="27">
        <v>615.0</v>
      </c>
    </row>
    <row r="3581">
      <c r="A3581" s="24" t="s">
        <v>71</v>
      </c>
      <c r="B3581" s="24" t="s">
        <v>25</v>
      </c>
      <c r="C3581" s="27">
        <v>990.0</v>
      </c>
    </row>
    <row r="3582">
      <c r="A3582" s="24" t="s">
        <v>71</v>
      </c>
      <c r="B3582" s="24" t="s">
        <v>39</v>
      </c>
      <c r="C3582" s="27">
        <v>585.0</v>
      </c>
    </row>
    <row r="3583">
      <c r="A3583" s="24" t="s">
        <v>71</v>
      </c>
      <c r="B3583" s="24" t="s">
        <v>67</v>
      </c>
      <c r="C3583" s="27">
        <v>1080.0</v>
      </c>
    </row>
    <row r="3584">
      <c r="A3584" s="24" t="s">
        <v>71</v>
      </c>
      <c r="B3584" s="24" t="s">
        <v>53</v>
      </c>
      <c r="C3584" s="27">
        <v>1215.0</v>
      </c>
    </row>
    <row r="3585">
      <c r="A3585" s="24" t="s">
        <v>71</v>
      </c>
      <c r="B3585" s="24" t="s">
        <v>31</v>
      </c>
      <c r="C3585" s="27">
        <v>990.0</v>
      </c>
    </row>
    <row r="3586">
      <c r="A3586" s="24" t="s">
        <v>71</v>
      </c>
      <c r="B3586" s="24" t="s">
        <v>26</v>
      </c>
      <c r="C3586" s="27">
        <v>1095.0</v>
      </c>
    </row>
    <row r="3587">
      <c r="A3587" s="24" t="s">
        <v>71</v>
      </c>
      <c r="B3587" s="24" t="s">
        <v>40</v>
      </c>
      <c r="C3587" s="27">
        <v>420.0</v>
      </c>
    </row>
    <row r="3588">
      <c r="A3588" s="24" t="s">
        <v>71</v>
      </c>
      <c r="B3588" s="24" t="s">
        <v>51</v>
      </c>
      <c r="C3588" s="27">
        <v>720.0</v>
      </c>
    </row>
    <row r="3589">
      <c r="A3589" s="24" t="s">
        <v>71</v>
      </c>
      <c r="B3589" s="24" t="s">
        <v>28</v>
      </c>
      <c r="C3589" s="27">
        <v>705.0</v>
      </c>
    </row>
    <row r="3590">
      <c r="A3590" s="24" t="s">
        <v>71</v>
      </c>
      <c r="B3590" s="24" t="s">
        <v>48</v>
      </c>
      <c r="C3590" s="27">
        <v>315.0</v>
      </c>
    </row>
    <row r="3591">
      <c r="A3591" s="24" t="s">
        <v>71</v>
      </c>
      <c r="B3591" s="24" t="s">
        <v>62</v>
      </c>
      <c r="C3591" s="27">
        <v>90.0</v>
      </c>
    </row>
    <row r="3592">
      <c r="A3592" s="24" t="s">
        <v>71</v>
      </c>
      <c r="B3592" s="24" t="s">
        <v>59</v>
      </c>
      <c r="C3592" s="27">
        <v>1035.0</v>
      </c>
    </row>
    <row r="3593">
      <c r="A3593" s="24" t="s">
        <v>71</v>
      </c>
      <c r="B3593" s="24" t="s">
        <v>68</v>
      </c>
      <c r="C3593" s="27">
        <v>90.0</v>
      </c>
    </row>
    <row r="3594">
      <c r="A3594" s="24" t="s">
        <v>71</v>
      </c>
      <c r="B3594" s="24" t="s">
        <v>69</v>
      </c>
      <c r="C3594" s="27">
        <v>120.0</v>
      </c>
    </row>
    <row r="3595">
      <c r="A3595" s="24" t="s">
        <v>71</v>
      </c>
      <c r="B3595" s="24" t="s">
        <v>32</v>
      </c>
      <c r="C3595" s="27">
        <v>780.0</v>
      </c>
    </row>
    <row r="3596">
      <c r="A3596" s="24" t="s">
        <v>71</v>
      </c>
      <c r="B3596" s="24" t="s">
        <v>70</v>
      </c>
      <c r="C3596" s="27">
        <v>105.0</v>
      </c>
    </row>
    <row r="3597">
      <c r="A3597" s="24" t="s">
        <v>71</v>
      </c>
      <c r="B3597" s="24" t="s">
        <v>46</v>
      </c>
      <c r="C3597" s="27">
        <v>225.0</v>
      </c>
    </row>
    <row r="3598">
      <c r="A3598" s="24" t="s">
        <v>71</v>
      </c>
      <c r="B3598" s="24" t="s">
        <v>71</v>
      </c>
      <c r="C3598" s="27">
        <v>0.0</v>
      </c>
    </row>
    <row r="3599">
      <c r="A3599" s="24" t="s">
        <v>71</v>
      </c>
      <c r="B3599" s="24" t="s">
        <v>24</v>
      </c>
      <c r="C3599" s="27">
        <v>870.0</v>
      </c>
    </row>
    <row r="3600">
      <c r="A3600" s="24" t="s">
        <v>71</v>
      </c>
      <c r="B3600" s="24" t="s">
        <v>63</v>
      </c>
      <c r="C3600" s="27">
        <v>450.0</v>
      </c>
    </row>
    <row r="3601">
      <c r="A3601" s="24" t="s">
        <v>71</v>
      </c>
      <c r="B3601" s="24" t="s">
        <v>58</v>
      </c>
      <c r="C3601" s="27">
        <v>1125.0</v>
      </c>
    </row>
    <row r="3602">
      <c r="A3602" s="24" t="s">
        <v>71</v>
      </c>
      <c r="B3602" s="24" t="s">
        <v>29</v>
      </c>
      <c r="C3602" s="27">
        <v>1350.0</v>
      </c>
    </row>
    <row r="3603">
      <c r="A3603" s="24" t="s">
        <v>71</v>
      </c>
      <c r="B3603" s="24" t="s">
        <v>38</v>
      </c>
      <c r="C3603" s="27">
        <v>855.0</v>
      </c>
    </row>
    <row r="3604">
      <c r="A3604" s="24" t="s">
        <v>71</v>
      </c>
      <c r="B3604" s="24" t="s">
        <v>61</v>
      </c>
      <c r="C3604" s="27">
        <v>150.0</v>
      </c>
    </row>
    <row r="3605">
      <c r="A3605" s="24" t="s">
        <v>71</v>
      </c>
      <c r="B3605" s="24" t="s">
        <v>52</v>
      </c>
      <c r="C3605" s="27">
        <v>885.0</v>
      </c>
    </row>
    <row r="3606">
      <c r="A3606" s="24" t="s">
        <v>71</v>
      </c>
      <c r="B3606" s="24" t="s">
        <v>25</v>
      </c>
      <c r="C3606" s="27">
        <v>990.0</v>
      </c>
    </row>
    <row r="3607">
      <c r="A3607" s="24" t="s">
        <v>71</v>
      </c>
      <c r="B3607" s="24" t="s">
        <v>67</v>
      </c>
      <c r="C3607" s="27">
        <v>1080.0</v>
      </c>
    </row>
    <row r="3608">
      <c r="A3608" s="24" t="s">
        <v>71</v>
      </c>
      <c r="B3608" s="24" t="s">
        <v>53</v>
      </c>
      <c r="C3608" s="27">
        <v>1215.0</v>
      </c>
    </row>
    <row r="3609">
      <c r="A3609" s="24" t="s">
        <v>71</v>
      </c>
      <c r="B3609" s="24" t="s">
        <v>26</v>
      </c>
      <c r="C3609" s="27">
        <v>1095.0</v>
      </c>
    </row>
    <row r="3610">
      <c r="A3610" s="24" t="s">
        <v>71</v>
      </c>
      <c r="B3610" s="24" t="s">
        <v>28</v>
      </c>
      <c r="C3610" s="27">
        <v>705.0</v>
      </c>
    </row>
    <row r="3611">
      <c r="A3611" s="24" t="s">
        <v>71</v>
      </c>
      <c r="B3611" s="24" t="s">
        <v>48</v>
      </c>
      <c r="C3611" s="27">
        <v>315.0</v>
      </c>
    </row>
    <row r="3612">
      <c r="A3612" s="24" t="s">
        <v>71</v>
      </c>
      <c r="B3612" s="24" t="s">
        <v>59</v>
      </c>
      <c r="C3612" s="27">
        <v>1035.0</v>
      </c>
    </row>
    <row r="3613">
      <c r="A3613" s="24" t="s">
        <v>71</v>
      </c>
      <c r="B3613" s="24" t="s">
        <v>68</v>
      </c>
      <c r="C3613" s="27">
        <v>90.0</v>
      </c>
    </row>
    <row r="3614">
      <c r="A3614" s="24" t="s">
        <v>71</v>
      </c>
      <c r="B3614" s="24" t="s">
        <v>69</v>
      </c>
      <c r="C3614" s="27">
        <v>120.0</v>
      </c>
    </row>
    <row r="3615">
      <c r="A3615" s="24" t="s">
        <v>71</v>
      </c>
      <c r="B3615" s="24" t="s">
        <v>70</v>
      </c>
      <c r="C3615" s="27">
        <v>105.0</v>
      </c>
    </row>
    <row r="3616">
      <c r="A3616" s="24" t="s">
        <v>71</v>
      </c>
      <c r="B3616" s="24" t="s">
        <v>71</v>
      </c>
      <c r="C3616" s="27">
        <v>0.0</v>
      </c>
    </row>
  </sheetData>
  <drawing r:id="rId1"/>
</worksheet>
</file>